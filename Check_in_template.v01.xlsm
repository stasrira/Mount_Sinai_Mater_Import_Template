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0_ncr:8100000_{1321D4FC-7D5E-48F7-BDC4-0D7CF22E098B}" xr6:coauthVersionLast="34" xr6:coauthVersionMax="34" xr10:uidLastSave="{00000000-0000-0000-0000-000000000000}"/>
  <bookViews>
    <workbookView xWindow="0" yWindow="0" windowWidth="64320" windowHeight="17280" xr2:uid="{00000000-000D-0000-FFFF-FFFF00000000}"/>
  </bookViews>
  <sheets>
    <sheet name="RawData" sheetId="1" r:id="rId1"/>
    <sheet name="Validated" sheetId="2" r:id="rId2"/>
    <sheet name="Dictionary" sheetId="3" r:id="rId3"/>
    <sheet name="FlatbedScans" sheetId="10" r:id="rId4"/>
    <sheet name="FieldSettings" sheetId="5" r:id="rId5"/>
    <sheet name="Configuration" sheetId="9" r:id="rId6"/>
    <sheet name="Legend &amp; Instructions" sheetId="7" r:id="rId7"/>
  </sheets>
  <functionGroups builtInGroupCount="19"/>
  <definedNames>
    <definedName name="_xlnm._FilterDatabase" localSheetId="3" hidden="1">FlatbedScans!$B$1:$B$97</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03" i="10" l="1"/>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<sst xmlns="http://schemas.openxmlformats.org/spreadsheetml/2006/main" count="1461" uniqueCount="591">
  <si>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</si>
  <si>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</si>
  <si>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</si>
  <si>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</si>
  <si>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</si>
  <si>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</si>
  <si>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</si>
  <si>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</si>
  <si>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</si>
  <si>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</si>
  <si>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</si>
  <si>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</si>
  <si>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</si>
  <si>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</si>
  <si>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</si>
  <si>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</si>
  <si>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</si>
  <si>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</si>
  <si>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</si>
  <si>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</si>
  <si>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</si>
  <si>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</si>
  <si>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</si>
  <si>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</si>
  <si>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</si>
  <si>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</si>
  <si>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</si>
  <si>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</si>
  <si>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</si>
  <si>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</si>
  <si>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</si>
  <si>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</si>
  <si>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</si>
  <si>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</si>
  <si>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</si>
  <si>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</si>
  <si>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</si>
  <si>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</si>
  <si>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</si>
  <si>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</si>
  <si>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</si>
  <si>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</si>
  <si>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</si>
  <si>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</si>
  <si>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Mu__ Muscle biopsy</t>
  </si>
  <si>
    <t>Adi_ Adipose biopsy</t>
  </si>
  <si>
    <t>Sto_ Stool</t>
  </si>
  <si>
    <t>Uri_ Urine</t>
  </si>
  <si>
    <t>BPx_ Blood PAXgene</t>
  </si>
  <si>
    <t>BEd_ Blood EDTA</t>
  </si>
  <si>
    <t>BEpl EDTA plasma</t>
  </si>
  <si>
    <t>BEc_ Blood EDTA cells</t>
  </si>
  <si>
    <t>BWbc Blood WBC</t>
  </si>
  <si>
    <t>Pit_ Pituitary</t>
  </si>
  <si>
    <t>CL__ Cell Line</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</si>
  <si>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</si>
  <si>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</si>
  <si>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</si>
  <si>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</si>
  <si>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</si>
  <si>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</si>
  <si>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</si>
  <si>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</si>
  <si>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</si>
  <si>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</si>
  <si>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</si>
  <si>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</si>
  <si>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</si>
  <si>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</si>
  <si>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</si>
  <si>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</si>
  <si>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</si>
  <si>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</si>
  <si>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</si>
  <si>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</si>
  <si>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Muscle biopsy</t>
  </si>
  <si>
    <t>Adipose biopsy</t>
  </si>
  <si>
    <t>Stool</t>
  </si>
  <si>
    <t>Urine</t>
  </si>
  <si>
    <t>Blood PAXgene</t>
  </si>
  <si>
    <t>Blood EDTA</t>
  </si>
  <si>
    <t>EDTA plasma</t>
  </si>
  <si>
    <t>Blood EDTA cells</t>
  </si>
  <si>
    <t>Blood WBC</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</si>
  <si>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</si>
  <si>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</si>
  <si>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</si>
  <si>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</si>
  <si>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</si>
  <si>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</si>
  <si>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</si>
  <si>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</si>
  <si>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</si>
  <si>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</si>
  <si>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</si>
  <si>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</si>
  <si>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</si>
  <si>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</si>
  <si>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</si>
  <si>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</si>
  <si>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</si>
  <si>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</si>
  <si>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</si>
  <si>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</si>
  <si>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</si>
  <si>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</si>
  <si>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</si>
  <si>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</si>
  <si>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</si>
  <si>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</si>
  <si>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</si>
  <si>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02</t>
  </si>
  <si>
    <t>03</t>
  </si>
  <si>
    <t>04</t>
  </si>
  <si>
    <t>05</t>
  </si>
  <si>
    <t>06</t>
  </si>
  <si>
    <t>07</t>
  </si>
  <si>
    <t>08</t>
  </si>
  <si>
    <t>09</t>
  </si>
  <si>
    <t>10</t>
  </si>
  <si>
    <t>11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</si>
  <si>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</si>
  <si>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</si>
  <si>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</si>
  <si>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</si>
  <si>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</si>
  <si>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</si>
  <si>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</si>
  <si>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</si>
  <si>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</si>
  <si>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</si>
  <si>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</si>
  <si>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</si>
  <si>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</si>
  <si>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</si>
  <si>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</si>
  <si>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</si>
  <si>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</si>
  <si>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</si>
  <si>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</si>
  <si>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</si>
  <si>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</si>
  <si>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</si>
  <si>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</si>
  <si>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</si>
  <si>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</si>
  <si>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</si>
  <si>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</si>
  <si>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</si>
  <si>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</si>
  <si>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</si>
  <si>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</si>
  <si>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</si>
  <si>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</si>
  <si>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</si>
  <si>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</si>
  <si>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</si>
  <si>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</si>
  <si>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</si>
  <si>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</si>
  <si>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</si>
  <si>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</si>
  <si>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micrograms</t>
  </si>
  <si>
    <t>microliters</t>
  </si>
  <si>
    <t>Freezer</t>
  </si>
  <si>
    <t>MT_14f_Crothall14193</t>
  </si>
  <si>
    <t>MT_19f_Croth</t>
  </si>
  <si>
    <t>MT_TestLIMS_integr</t>
  </si>
  <si>
    <t>Exclude From Export</t>
  </si>
  <si>
    <t>MT_Study ID</t>
  </si>
  <si>
    <t>MT_Source Aliquot Label</t>
  </si>
  <si>
    <t>MT_Vessel ID</t>
  </si>
  <si>
    <t>MT_Comments</t>
  </si>
  <si>
    <t>Freezer Section</t>
  </si>
  <si>
    <t>Box_Plate_p3</t>
  </si>
  <si>
    <t>Row_p4</t>
  </si>
  <si>
    <t>Column_p5</t>
  </si>
  <si>
    <t>Test Section 1</t>
  </si>
  <si>
    <t>milligrams</t>
  </si>
  <si>
    <t>milliliters</t>
  </si>
  <si>
    <t>14f_14193_Section1</t>
  </si>
  <si>
    <t>14f_14193_Section2</t>
  </si>
  <si>
    <t>14f_14193_Section3</t>
  </si>
  <si>
    <t>PAXgene tube</t>
  </si>
  <si>
    <t>Eppendorf tube</t>
  </si>
  <si>
    <t>Cryovial</t>
  </si>
  <si>
    <t>Test Section 2</t>
  </si>
  <si>
    <t xml:space="preserve">McGill University </t>
  </si>
  <si>
    <t>McGill U.</t>
  </si>
  <si>
    <t>plasma</t>
  </si>
  <si>
    <t>Whole Blood</t>
  </si>
  <si>
    <t>Pituitary Gland</t>
  </si>
  <si>
    <t>Blood EDTA plasma</t>
  </si>
  <si>
    <t>Muscle Tissue</t>
  </si>
  <si>
    <t>Adipose Tissue</t>
  </si>
  <si>
    <t>Running</t>
  </si>
  <si>
    <t>Sedentary</t>
  </si>
  <si>
    <t>MUSCLE BX 3HR POST EX</t>
  </si>
  <si>
    <t>MUSCLE BX PRE EX</t>
  </si>
  <si>
    <t>MUSCLE BX POST EX</t>
  </si>
  <si>
    <t>Calculation overwrites existing value</t>
  </si>
  <si>
    <t>AW3</t>
  </si>
  <si>
    <t>U3</t>
  </si>
  <si>
    <t>Q3</t>
  </si>
  <si>
    <t>A3</t>
  </si>
  <si>
    <t>I3</t>
  </si>
  <si>
    <t>M3</t>
  </si>
  <si>
    <t>AC3</t>
  </si>
  <si>
    <t>AS3</t>
  </si>
  <si>
    <t xml:space="preserve">Ad__Adipose </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</si>
  <si>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</si>
  <si>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</si>
  <si>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</si>
  <si>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</si>
  <si>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</si>
  <si>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</si>
  <si>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</si>
  <si>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</si>
  <si>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</si>
  <si>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B__Brown Fat</t>
  </si>
  <si>
    <t>Pl__Plasma</t>
  </si>
  <si>
    <t xml:space="preserve">mRNA library </t>
  </si>
  <si>
    <t xml:space="preserve">1W_1week post </t>
  </si>
  <si>
    <t xml:space="preserve">U.Texas Health Science Center </t>
  </si>
  <si>
    <t xml:space="preserve">UT. HSC </t>
  </si>
  <si>
    <t>U. Texas Medical Branch</t>
  </si>
  <si>
    <t>UT. Medical</t>
  </si>
  <si>
    <t xml:space="preserve">24h_24hr post </t>
  </si>
  <si>
    <t>Brown fat</t>
  </si>
  <si>
    <t>Bu__WBC/Buffy</t>
  </si>
  <si>
    <t xml:space="preserve">2W_2weeks post </t>
  </si>
  <si>
    <t>Total RNA library</t>
  </si>
  <si>
    <t>Co__Colon</t>
  </si>
  <si>
    <t>Colon</t>
  </si>
  <si>
    <t>Fe__Bone</t>
  </si>
  <si>
    <t xml:space="preserve">3W_3weeks post </t>
  </si>
  <si>
    <t>Femur/Tibia (bone)</t>
  </si>
  <si>
    <t xml:space="preserve">48h_48hr post </t>
  </si>
  <si>
    <t>Gastrocnemius Muscle</t>
  </si>
  <si>
    <t>Mu__Muscle biopsy</t>
  </si>
  <si>
    <t>He__Heart</t>
  </si>
  <si>
    <t>Heart</t>
  </si>
  <si>
    <t>Hippocampus</t>
  </si>
  <si>
    <t>Hp__Hippocampus</t>
  </si>
  <si>
    <t xml:space="preserve">6-8h_ 6-8hr post </t>
  </si>
  <si>
    <t>Ki__Kidney</t>
  </si>
  <si>
    <t xml:space="preserve">8W_8weeks post </t>
  </si>
  <si>
    <t>Kidney</t>
  </si>
  <si>
    <t>Li_Liver</t>
  </si>
  <si>
    <t>Liver</t>
  </si>
  <si>
    <t>Lu__Lung</t>
  </si>
  <si>
    <t>Lung</t>
  </si>
  <si>
    <t xml:space="preserve">Ov__Ovary </t>
  </si>
  <si>
    <t>Ovary</t>
  </si>
  <si>
    <t>PFC_Pre-Frontal Ctx</t>
  </si>
  <si>
    <t>Pre-Frontal Cortex</t>
  </si>
  <si>
    <t>SI__Sm Intestine</t>
  </si>
  <si>
    <t>Small Intestine</t>
  </si>
  <si>
    <t>Sp__Spleen</t>
  </si>
  <si>
    <t>Spleen</t>
  </si>
  <si>
    <t>Te__Testes</t>
  </si>
  <si>
    <t>Testes</t>
  </si>
  <si>
    <t>Vastus Lateralis Muscle</t>
  </si>
  <si>
    <t>VLM__Muscle</t>
  </si>
  <si>
    <t xml:space="preserve">Wb__Whole Blood </t>
  </si>
  <si>
    <t>WBC/Buffy</t>
  </si>
  <si>
    <t>White fat</t>
  </si>
  <si>
    <t>DropDown Values First Cell Of Lookup Range</t>
  </si>
  <si>
    <t>MT_Aliquot Type</t>
  </si>
  <si>
    <t>MT_Box Label</t>
  </si>
  <si>
    <t>MT_Aliquot Status</t>
  </si>
  <si>
    <t>MT_Aliqout Status</t>
  </si>
  <si>
    <t>Adr_Adrenal</t>
  </si>
  <si>
    <t>AdiP Adipose powder</t>
  </si>
  <si>
    <t>Adipose powder</t>
  </si>
  <si>
    <t>mitochondrial DNA</t>
  </si>
  <si>
    <t>mtD_ mitochondrial DNA</t>
  </si>
  <si>
    <t>mitochondrial RNA</t>
  </si>
  <si>
    <t>mtR_ mitochondrial RNA</t>
  </si>
  <si>
    <t>MuP_ Muscle powder</t>
  </si>
  <si>
    <t>Muscle powder</t>
  </si>
  <si>
    <t>Ad__Adipose</t>
  </si>
  <si>
    <t>ATAC_ ATACLibrary</t>
  </si>
  <si>
    <t>BSU</t>
  </si>
  <si>
    <t>East Carolina U.</t>
  </si>
  <si>
    <t>RRBS_RRBS Library</t>
  </si>
  <si>
    <t>B___Brown Fat</t>
  </si>
  <si>
    <t>BEc_Blood EDTA cells</t>
  </si>
  <si>
    <t>mRL_mRNA Library</t>
  </si>
  <si>
    <t>1W_1weekPost</t>
  </si>
  <si>
    <t>BPx_Blood PAXgene</t>
  </si>
  <si>
    <t>Bu__PBMC/Buffy</t>
  </si>
  <si>
    <t>CL__Cell Line</t>
  </si>
  <si>
    <t>2W_2weeksPost</t>
  </si>
  <si>
    <t>toRL_Total RNA Library</t>
  </si>
  <si>
    <t>3W_3weeksPost</t>
  </si>
  <si>
    <t>48h_48hrPost</t>
  </si>
  <si>
    <t>6-8h_ 6-8hrPost</t>
  </si>
  <si>
    <t>8W_8weeksPost</t>
  </si>
  <si>
    <t>Li__Liver</t>
  </si>
  <si>
    <t>3h_3hPost</t>
  </si>
  <si>
    <t>MuP_Muscle powder</t>
  </si>
  <si>
    <t>Oth_Other</t>
  </si>
  <si>
    <t>Ov__Ovary</t>
  </si>
  <si>
    <t>Pit_Pituitary</t>
  </si>
  <si>
    <t>Sto_Stool</t>
  </si>
  <si>
    <t>Uri_Urine</t>
  </si>
  <si>
    <t>VLM_Muscle</t>
  </si>
  <si>
    <t>SR0010305</t>
  </si>
  <si>
    <t>SR001122</t>
  </si>
  <si>
    <t>Test Records - Stas Test Load 2/23/2018</t>
  </si>
  <si>
    <t>SR001</t>
  </si>
  <si>
    <t>1</t>
  </si>
  <si>
    <t>SR001030502</t>
  </si>
  <si>
    <t>4</t>
  </si>
  <si>
    <t>SR002040701</t>
  </si>
  <si>
    <t>SR002</t>
  </si>
  <si>
    <t>Post-Training</t>
  </si>
  <si>
    <t>2</t>
  </si>
  <si>
    <t>SR002040702</t>
  </si>
  <si>
    <t>5</t>
  </si>
  <si>
    <t/>
  </si>
  <si>
    <t>2/23/2018</t>
  </si>
  <si>
    <t>7h_ 7hPost</t>
  </si>
  <si>
    <t>7hPost</t>
  </si>
  <si>
    <t>Hpt_Hypothalamus</t>
  </si>
  <si>
    <t>Hypothalamus</t>
  </si>
  <si>
    <t>BA3</t>
  </si>
  <si>
    <t>BC117131503</t>
  </si>
  <si>
    <t>BC1171315</t>
  </si>
  <si>
    <t>BC117</t>
  </si>
  <si>
    <t>15</t>
  </si>
  <si>
    <t>13</t>
  </si>
  <si>
    <t>19f_Section1</t>
  </si>
  <si>
    <t>19f_Section2</t>
  </si>
  <si>
    <t>19f_Section3</t>
  </si>
  <si>
    <t>Joslin Diabetes Center</t>
  </si>
  <si>
    <t>Joslin Diabetes Ctr</t>
  </si>
  <si>
    <t>7000164189</t>
  </si>
  <si>
    <t>8029178374</t>
  </si>
  <si>
    <t>8029178881</t>
  </si>
  <si>
    <t>8029178175</t>
  </si>
  <si>
    <t>8029178325</t>
  </si>
  <si>
    <t>A</t>
  </si>
  <si>
    <t>E</t>
  </si>
  <si>
    <t>H</t>
  </si>
  <si>
    <t>G</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</si>
  <si>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</si>
  <si>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</si>
  <si>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</si>
  <si>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</si>
  <si>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</si>
  <si>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</si>
  <si>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</si>
  <si>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</si>
  <si>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</si>
  <si>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</si>
  <si>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SELECT RawValue [Raw Value], iif(DefaultFlag = 1, '1','') [Default Flag], ValidatedValue [Validated Value] FROM dw_fw_dropdown_fields where FieldName = '{{search_field_name}}'</t>
  </si>
  <si>
    <t>Vessel ID Exists on RawData tab</t>
  </si>
  <si>
    <r>
      <rPr>
        <i/>
        <sz val="11"/>
        <color rgb="FF0070C0"/>
        <rFont val="Calibri"/>
        <family val="2"/>
        <scheme val="minor"/>
      </rPr>
      <t>Note: Range in the formula in E column of this page should point to the Vessel ID column on RawData tab and the cell address should point to the corresponded cell of the B column of this tab.For Example, cell D2 should have this formula:
=IF(B2="", "",COUNTIF(RawData!G:G,B2)&gt;0)</t>
    </r>
    <r>
      <rPr>
        <i/>
        <sz val="11"/>
        <color theme="1"/>
        <rFont val="Calibri"/>
        <family val="2"/>
        <scheme val="minor"/>
      </rPr>
      <t xml:space="preserve">
</t>
    </r>
    <r>
      <rPr>
        <i/>
        <sz val="11"/>
        <color rgb="FFFF0000"/>
        <rFont val="Calibri"/>
        <family val="2"/>
        <scheme val="minor"/>
      </rPr>
      <t xml:space="preserve">* Few values in the first 4 columns are provided as an example only. </t>
    </r>
  </si>
  <si>
    <t>exec [Get_Dictionary_Values]  '{{search_field_name}}'</t>
  </si>
  <si>
    <t>Dict_DB_Select_Statment_old</t>
  </si>
  <si>
    <t>FieldSetting_Get_Statement</t>
  </si>
  <si>
    <t>FieldSetting_LastLoadedProfile</t>
  </si>
  <si>
    <t>FieldSetting_Range_First_Cell</t>
  </si>
  <si>
    <t>FieldSetting_Get_Profiles</t>
  </si>
  <si>
    <t>exec [Get_FieldSetting_Profiles]</t>
  </si>
  <si>
    <t>exec [Get_Field_Settings_byID]  {{profile_id}}</t>
  </si>
  <si>
    <t>Freezerworks ID</t>
  </si>
  <si>
    <t>Parent Aliquot ID</t>
  </si>
  <si>
    <t>MT_Date of Processing</t>
  </si>
  <si>
    <t>MT_NanoD_Conc</t>
  </si>
  <si>
    <t>MT_Abs_Ratio_260_280</t>
  </si>
  <si>
    <t>MT_Abs_Ratio_260_230</t>
  </si>
  <si>
    <t>MT_RIN_Number</t>
  </si>
  <si>
    <t>MT_Qbit_Conc</t>
  </si>
  <si>
    <t>MT_Fragment_Size</t>
  </si>
  <si>
    <t>MT_QC_Passed</t>
  </si>
  <si>
    <t>MT_Molarity_Calc</t>
  </si>
  <si>
    <t>Rack_p1</t>
  </si>
  <si>
    <t>Drawer_p2</t>
  </si>
  <si>
    <t>Nucleic acid sub-aliquots_LIMS to FW processing</t>
  </si>
  <si>
    <t>Scanning the box...</t>
  </si>
  <si>
    <t>8019497634</t>
  </si>
  <si>
    <t>8019497923</t>
  </si>
  <si>
    <t>8019497780</t>
  </si>
  <si>
    <t>8019497344</t>
  </si>
  <si>
    <t>8019497547</t>
  </si>
  <si>
    <t>8019497768</t>
  </si>
  <si>
    <t>8019497536</t>
  </si>
  <si>
    <t>8019497548</t>
  </si>
  <si>
    <t>8019497669</t>
  </si>
  <si>
    <t>8019497631</t>
  </si>
  <si>
    <t>8019497550</t>
  </si>
  <si>
    <t>8019497460</t>
  </si>
  <si>
    <t>8019497455</t>
  </si>
  <si>
    <t>8019497549</t>
  </si>
  <si>
    <t>8019497679</t>
  </si>
  <si>
    <t>8019497415</t>
  </si>
  <si>
    <t>8019497754</t>
  </si>
  <si>
    <t>8019497413</t>
  </si>
  <si>
    <t>8019497564</t>
  </si>
  <si>
    <t>8019497342</t>
  </si>
  <si>
    <t>8019497518</t>
  </si>
  <si>
    <t>8019497935</t>
  </si>
  <si>
    <t>8019497384</t>
  </si>
  <si>
    <t>8019497456</t>
  </si>
  <si>
    <t>8019497744</t>
  </si>
  <si>
    <t>8019497750</t>
  </si>
  <si>
    <t>8019497656</t>
  </si>
  <si>
    <t>8019498224</t>
  </si>
  <si>
    <t>8019497673</t>
  </si>
  <si>
    <t>8019497487</t>
  </si>
  <si>
    <t>8019497747</t>
  </si>
  <si>
    <t>8019497539</t>
  </si>
  <si>
    <t>8019497538</t>
  </si>
  <si>
    <t>8019497467</t>
  </si>
  <si>
    <t>8019497840</t>
  </si>
  <si>
    <t>8019497764</t>
  </si>
  <si>
    <t>8019497899</t>
  </si>
  <si>
    <t>8019497480</t>
  </si>
  <si>
    <t>8019497769</t>
  </si>
  <si>
    <t>8019497875</t>
  </si>
  <si>
    <t>8019497350</t>
  </si>
  <si>
    <t>8019497749</t>
  </si>
  <si>
    <t>8019497552</t>
  </si>
  <si>
    <t>8019497571</t>
  </si>
  <si>
    <t>8019497362</t>
  </si>
  <si>
    <t>8019497671</t>
  </si>
  <si>
    <t>8019497537</t>
  </si>
  <si>
    <t>8019497726</t>
  </si>
  <si>
    <t>8019497346</t>
  </si>
  <si>
    <t>8019497842</t>
  </si>
  <si>
    <t>8019498046</t>
  </si>
  <si>
    <t>8019497570</t>
  </si>
  <si>
    <t>8019497551</t>
  </si>
  <si>
    <t>8019497340</t>
  </si>
  <si>
    <t>8019497766</t>
  </si>
  <si>
    <t>8019497761</t>
  </si>
  <si>
    <t>8019497767</t>
  </si>
  <si>
    <t>8019497654</t>
  </si>
  <si>
    <t>8019497400</t>
  </si>
  <si>
    <t>8019497755</t>
  </si>
  <si>
    <t>8019497542</t>
  </si>
  <si>
    <t>8019497464</t>
  </si>
  <si>
    <t>8019498118</t>
  </si>
  <si>
    <t>8019497472</t>
  </si>
  <si>
    <t>8019497825</t>
  </si>
  <si>
    <t>8019497533</t>
  </si>
  <si>
    <t>8019498215</t>
  </si>
  <si>
    <t>8019497459</t>
  </si>
  <si>
    <t>8019497640</t>
  </si>
  <si>
    <t>8019497407</t>
  </si>
  <si>
    <t>8019498134</t>
  </si>
  <si>
    <t>8019497441</t>
  </si>
  <si>
    <t>8019497826</t>
  </si>
  <si>
    <t>8019497838</t>
  </si>
  <si>
    <t>8019498044</t>
  </si>
  <si>
    <t>8019497745</t>
  </si>
  <si>
    <t>8019497695</t>
  </si>
  <si>
    <t>8019497559</t>
  </si>
  <si>
    <t>8019497683</t>
  </si>
  <si>
    <t>8019497560</t>
  </si>
  <si>
    <t>8019497628</t>
  </si>
  <si>
    <t>8019497660</t>
  </si>
  <si>
    <t>8019497934</t>
  </si>
  <si>
    <t>8019497558</t>
  </si>
  <si>
    <t>8019497355</t>
  </si>
  <si>
    <t>8019497454</t>
  </si>
  <si>
    <t>8019497762</t>
  </si>
  <si>
    <t>8019497596</t>
  </si>
  <si>
    <t>8019497760</t>
  </si>
  <si>
    <t>8019497963</t>
  </si>
  <si>
    <t>8019497681</t>
  </si>
  <si>
    <t>8019497360</t>
  </si>
  <si>
    <t>8019498113</t>
  </si>
  <si>
    <t>8019497739</t>
  </si>
  <si>
    <t>8019497643</t>
  </si>
  <si>
    <t>8019497699</t>
  </si>
  <si>
    <t>FBS_HostIP</t>
  </si>
  <si>
    <t>10.90.121.149</t>
  </si>
  <si>
    <t>FBS_ScpiPort</t>
  </si>
  <si>
    <t>FBS_Winsock_Ver</t>
  </si>
  <si>
    <t>FBS_ReadScanDelay</t>
  </si>
  <si>
    <t>FBS_ScanResultsTargetLocation</t>
  </si>
  <si>
    <t>FBS_ScanResultsColumnsUsed</t>
  </si>
  <si>
    <t>FBS_ScanResultsStatusLocation</t>
  </si>
  <si>
    <t>F2</t>
  </si>
  <si>
    <t>512</t>
  </si>
  <si>
    <t>Position</t>
  </si>
  <si>
    <t>Tube ID</t>
  </si>
  <si>
    <t>Status</t>
  </si>
  <si>
    <t>Rack ID</t>
  </si>
  <si>
    <t>A01</t>
  </si>
  <si>
    <t>OK</t>
  </si>
  <si>
    <t>B01</t>
  </si>
  <si>
    <t>C01</t>
  </si>
  <si>
    <t>D01</t>
  </si>
  <si>
    <t>E01</t>
  </si>
  <si>
    <t>F01</t>
  </si>
  <si>
    <t>G01</t>
  </si>
  <si>
    <t>H01</t>
  </si>
  <si>
    <t>A02</t>
  </si>
  <si>
    <t>B02</t>
  </si>
  <si>
    <t>C02</t>
  </si>
  <si>
    <t>D02</t>
  </si>
  <si>
    <t>E02</t>
  </si>
  <si>
    <t>F02</t>
  </si>
  <si>
    <t>G02</t>
  </si>
  <si>
    <t>H02</t>
  </si>
  <si>
    <t>A03</t>
  </si>
  <si>
    <t>B03</t>
  </si>
  <si>
    <t>C03</t>
  </si>
  <si>
    <t>D03</t>
  </si>
  <si>
    <t>E03</t>
  </si>
  <si>
    <t>F03</t>
  </si>
  <si>
    <t>G03</t>
  </si>
  <si>
    <t>H03</t>
  </si>
  <si>
    <t>A04</t>
  </si>
  <si>
    <t>B04</t>
  </si>
  <si>
    <t>C04</t>
  </si>
  <si>
    <t>D04</t>
  </si>
  <si>
    <t>E04</t>
  </si>
  <si>
    <t>F04</t>
  </si>
  <si>
    <t>G04</t>
  </si>
  <si>
    <t>H04</t>
  </si>
  <si>
    <t>A05</t>
  </si>
  <si>
    <t>B05</t>
  </si>
  <si>
    <t>C05</t>
  </si>
  <si>
    <t>D05</t>
  </si>
  <si>
    <t>E05</t>
  </si>
  <si>
    <t>F05</t>
  </si>
  <si>
    <t>G05</t>
  </si>
  <si>
    <t>H05</t>
  </si>
  <si>
    <t>A06</t>
  </si>
  <si>
    <t>B06</t>
  </si>
  <si>
    <t>C06</t>
  </si>
  <si>
    <t>D06</t>
  </si>
  <si>
    <t>E06</t>
  </si>
  <si>
    <t>F06</t>
  </si>
  <si>
    <t>G06</t>
  </si>
  <si>
    <t>H06</t>
  </si>
  <si>
    <t>A07</t>
  </si>
  <si>
    <t>B07</t>
  </si>
  <si>
    <t>C07</t>
  </si>
  <si>
    <t>D07</t>
  </si>
  <si>
    <t>E07</t>
  </si>
  <si>
    <t>F07</t>
  </si>
  <si>
    <t>G07</t>
  </si>
  <si>
    <t>H07</t>
  </si>
  <si>
    <t>A08</t>
  </si>
  <si>
    <t>B08</t>
  </si>
  <si>
    <t>C08</t>
  </si>
  <si>
    <t>D08</t>
  </si>
  <si>
    <t>E08</t>
  </si>
  <si>
    <t>F08</t>
  </si>
  <si>
    <t>G08</t>
  </si>
  <si>
    <t>H08</t>
  </si>
  <si>
    <t>A09</t>
  </si>
  <si>
    <t>B09</t>
  </si>
  <si>
    <t>C09</t>
  </si>
  <si>
    <t>D09</t>
  </si>
  <si>
    <t>E09</t>
  </si>
  <si>
    <t>F09</t>
  </si>
  <si>
    <t>G09</t>
  </si>
  <si>
    <t>H09</t>
  </si>
  <si>
    <t>A10</t>
  </si>
  <si>
    <t>B10</t>
  </si>
  <si>
    <t>C10</t>
  </si>
  <si>
    <t>D10</t>
  </si>
  <si>
    <t>E10</t>
  </si>
  <si>
    <t>F10</t>
  </si>
  <si>
    <t>G10</t>
  </si>
  <si>
    <t>H10</t>
  </si>
  <si>
    <t>A11</t>
  </si>
  <si>
    <t>B11</t>
  </si>
  <si>
    <t>C11</t>
  </si>
  <si>
    <t>D11</t>
  </si>
  <si>
    <t>E11</t>
  </si>
  <si>
    <t>F11</t>
  </si>
  <si>
    <t>G11</t>
  </si>
  <si>
    <t>H11</t>
  </si>
  <si>
    <t>A12</t>
  </si>
  <si>
    <t>B12</t>
  </si>
  <si>
    <t>C12</t>
  </si>
  <si>
    <t>D12</t>
  </si>
  <si>
    <t>E12</t>
  </si>
  <si>
    <t>F12</t>
  </si>
  <si>
    <t>G12</t>
  </si>
  <si>
    <t>H12</t>
  </si>
  <si>
    <t>71654441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</si>
</sst>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i/>
      <sz val="11"/>
      <color rgb="FF0070C0"/>
      <name val="Calibri"/>
      <family val="2"/>
      <scheme val="minor"/>
    </font>
    <font>
      <i/>
      <sz val="11"/>
      <color rgb="FFFF0000"/>
      <name val="Calibri"/>
      <family val="2"/>
      <scheme val="minor"/>
    </font>
    <font>
      <sz val="11"/>
      <color rgb="FF000000"/>
      <name val="Calibri"/>
      <family val="2"/>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55">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14"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14" fontId="3" fillId="0" borderId="0" xfId="0" applyNumberFormat="1" applyFont="1" applyFill="1"/>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4" fillId="2" borderId="1" xfId="0" applyNumberFormat="1" applyFont="1" applyFill="1" applyBorder="1"/>
    <xf numFmtId="49" fontId="3" fillId="3" borderId="1" xfId="0" applyNumberFormat="1" applyFont="1" applyFill="1" applyBorder="1"/>
    <xf numFmtId="0" fontId="4" fillId="2" borderId="1" xfId="0" applyFont="1" applyFill="1" applyBorder="1"/>
    <xf numFmtId="49" fontId="1" fillId="0" borderId="0" xfId="0" applyNumberFormat="1" applyFont="1" applyAlignment="1">
      <alignment horizontal="center" vertical="center" wrapText="1"/>
    </xf>
    <xf numFmtId="49" fontId="23" fillId="0" borderId="0" xfId="0" applyNumberFormat="1" applyFont="1" applyAlignment="1">
      <alignment wrapText="1"/>
    </xf>
    <xf numFmtId="0" fontId="0" fillId="0" borderId="0" xfId="0" applyAlignment="1">
      <alignment wrapText="1"/>
    </xf>
    <xf numFmtId="0" fontId="0" fillId="0" borderId="0" xfId="0" quotePrefix="1" applyAlignment="1">
      <alignment wrapText="1"/>
    </xf>
    <xf numFmtId="49" fontId="0" fillId="0" borderId="0" xfId="0" applyNumberFormat="1" applyAlignment="1">
      <alignment wrapText="1"/>
    </xf>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8" fillId="0" borderId="0" xfId="0" applyFont="1" applyAlignment="1">
      <alignment horizontal="left" vertical="center" wrapText="1"/>
    </xf>
    <xf numFmtId="49" fontId="0" fillId="0" borderId="0" xfId="0" quotePrefix="1" applyNumberFormat="1"/>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1</xdr:row>
          <xdr:rowOff>0</xdr:rowOff>
        </xdr:from>
        <xdr:to>
          <xdr:col>7</xdr:col>
          <xdr:colOff>0</xdr:colOff>
          <xdr:row>2</xdr:row>
          <xdr:rowOff>76200</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6350</xdr:colOff>
      <xdr:row>2</xdr:row>
      <xdr:rowOff>63500</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6350</xdr:colOff>
      <xdr:row>2</xdr:row>
      <xdr:rowOff>63500</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581025</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5"/>
  <sheetViews>
    <sheetView tabSelected="1" zoomScaleNormal="100" workbookViewId="0">
      <selection activeCell="F1" sqref="F1"/>
    </sheetView>
  </sheetViews>
  <sheetFormatPr defaultColWidth="29.140625" defaultRowHeight="15" x14ac:dyDescent="0.25"/>
  <cols>
    <col min="1" max="1" width="17.28515625" style="24" bestFit="1" customWidth="1"/>
    <col min="2" max="2" width="17.7109375" style="32" bestFit="1" customWidth="1"/>
    <col min="3" max="3" width="24.140625" style="24" customWidth="1"/>
    <col min="4" max="4" width="26.7109375" style="24" customWidth="1"/>
    <col min="5" max="6" width="23.28515625" style="24" bestFit="1" customWidth="1"/>
    <col min="7" max="7" width="20.85546875" style="24" customWidth="1"/>
    <col min="8" max="8" width="20.85546875" style="24" bestFit="1" customWidth="1"/>
    <col min="9" max="9" width="27.140625" style="24" customWidth="1"/>
    <col min="10" max="10" width="24.42578125" style="24" customWidth="1"/>
    <col min="11" max="11" width="12.28515625" style="24" customWidth="1"/>
    <col min="12" max="12" width="16.140625" style="24" bestFit="1" customWidth="1"/>
    <col min="13" max="13" width="17.42578125" style="24" bestFit="1" customWidth="1"/>
    <col min="14" max="14" width="26.85546875" style="24" customWidth="1"/>
    <col min="15" max="15" width="24.28515625" style="24" bestFit="1" customWidth="1"/>
    <col min="16" max="16" width="14.42578125" style="24" bestFit="1" customWidth="1"/>
    <col min="17" max="16384" width="29.140625" style="25"/>
  </cols>
  <sheetData>
    <row r="1" spans="1:28" x14ac:dyDescent="0.25">
      <c r="A1" s="28" t="s">
        <v>6</v>
      </c>
      <c r="B1" s="29" t="s">
        <v>161</v>
      </c>
      <c r="C1" s="28" t="s">
        <v>7</v>
      </c>
      <c r="D1" s="28" t="s">
        <v>172</v>
      </c>
      <c r="E1" s="28" t="s">
        <v>169</v>
      </c>
      <c r="F1" s="28" t="s">
        <v>5</v>
      </c>
      <c r="G1" s="28" t="s">
        <v>368</v>
      </c>
      <c r="H1" s="28" t="s">
        <v>369</v>
      </c>
      <c r="I1" s="28" t="s">
        <v>170</v>
      </c>
      <c r="J1" s="28" t="s">
        <v>171</v>
      </c>
      <c r="K1" s="28" t="s">
        <v>268</v>
      </c>
      <c r="L1" s="28" t="s">
        <v>270</v>
      </c>
      <c r="M1" s="28" t="s">
        <v>370</v>
      </c>
      <c r="N1" s="28" t="s">
        <v>371</v>
      </c>
      <c r="O1" s="28" t="s">
        <v>372</v>
      </c>
      <c r="P1" s="28" t="s">
        <v>373</v>
      </c>
      <c r="Q1" s="27" t="s">
        <v>374</v>
      </c>
      <c r="R1" s="27" t="s">
        <v>375</v>
      </c>
      <c r="S1" s="27" t="s">
        <v>376</v>
      </c>
      <c r="T1" s="27" t="s">
        <v>377</v>
      </c>
      <c r="U1" s="27" t="s">
        <v>269</v>
      </c>
      <c r="V1" s="25" t="s">
        <v>378</v>
      </c>
      <c r="W1" s="25" t="s">
        <v>173</v>
      </c>
      <c r="X1" s="25" t="s">
        <v>379</v>
      </c>
      <c r="Y1" s="25" t="s">
        <v>380</v>
      </c>
      <c r="Z1" s="25" t="s">
        <v>174</v>
      </c>
      <c r="AA1" s="25" t="s">
        <v>175</v>
      </c>
      <c r="AB1" s="25" t="s">
        <v>176</v>
      </c>
    </row>
    <row r="2" spans="1:28" x14ac:dyDescent="0.25">
      <c r="A2" s="24" t="s">
        <v>312</v>
      </c>
      <c r="B2" s="32" t="s">
        <v>322</v>
      </c>
      <c r="C2" s="24" t="s">
        <v>0</v>
      </c>
      <c r="D2" s="24" t="s">
        <v>284</v>
      </c>
      <c r="E2" s="24" t="s">
        <v>329</v>
      </c>
      <c r="F2" s="24" t="s">
        <v>328</v>
      </c>
      <c r="G2" s="24" t="s">
        <v>340</v>
      </c>
      <c r="H2" s="24" t="s">
        <v>331</v>
      </c>
      <c r="I2" s="24" t="s">
        <v>87</v>
      </c>
      <c r="J2" s="24" t="s">
        <v>309</v>
      </c>
      <c r="K2" s="24" t="s">
        <v>332</v>
      </c>
      <c r="L2" s="24" t="s">
        <v>56</v>
      </c>
      <c r="M2" s="24" t="s">
        <v>338</v>
      </c>
      <c r="N2" s="24" t="s">
        <v>310</v>
      </c>
      <c r="O2" s="24" t="s">
        <v>330</v>
      </c>
      <c r="P2" s="24" t="s">
        <v>321</v>
      </c>
      <c r="R2" s="25" t="s">
        <v>126</v>
      </c>
      <c r="S2" s="25" t="s">
        <v>107</v>
      </c>
      <c r="T2" s="25" t="s">
        <v>101</v>
      </c>
      <c r="U2" s="25">
        <v>3</v>
      </c>
      <c r="V2" s="25" t="s">
        <v>179</v>
      </c>
      <c r="W2" s="25" t="s">
        <v>186</v>
      </c>
      <c r="X2" s="25">
        <v>1</v>
      </c>
      <c r="Y2" s="25">
        <v>1</v>
      </c>
      <c r="Z2" s="25">
        <v>3</v>
      </c>
      <c r="AA2" s="25" t="s">
        <v>346</v>
      </c>
      <c r="AB2" s="25">
        <v>2</v>
      </c>
    </row>
    <row r="3" spans="1:28" x14ac:dyDescent="0.25">
      <c r="A3" s="24" t="s">
        <v>318</v>
      </c>
      <c r="B3" s="32" t="s">
        <v>322</v>
      </c>
      <c r="C3" s="24" t="s">
        <v>0</v>
      </c>
      <c r="D3" s="24" t="s">
        <v>284</v>
      </c>
      <c r="E3" s="24" t="s">
        <v>308</v>
      </c>
      <c r="F3" s="24" t="s">
        <v>313</v>
      </c>
      <c r="G3" s="24" t="s">
        <v>342</v>
      </c>
      <c r="H3" s="24" t="s">
        <v>114</v>
      </c>
      <c r="I3" s="24" t="s">
        <v>87</v>
      </c>
      <c r="J3" s="24" t="s">
        <v>309</v>
      </c>
      <c r="K3" s="24" t="s">
        <v>21</v>
      </c>
      <c r="L3" s="24" t="s">
        <v>56</v>
      </c>
      <c r="M3" s="24" t="s">
        <v>338</v>
      </c>
      <c r="N3" s="24" t="s">
        <v>310</v>
      </c>
      <c r="O3" s="24" t="s">
        <v>311</v>
      </c>
      <c r="P3" s="24" t="s">
        <v>321</v>
      </c>
      <c r="R3" s="25" t="s">
        <v>126</v>
      </c>
      <c r="S3" s="25" t="s">
        <v>107</v>
      </c>
      <c r="T3" s="25" t="s">
        <v>101</v>
      </c>
      <c r="U3" s="25">
        <v>4</v>
      </c>
      <c r="V3" s="25" t="s">
        <v>179</v>
      </c>
      <c r="W3" s="25" t="s">
        <v>186</v>
      </c>
      <c r="X3" s="25">
        <v>1</v>
      </c>
      <c r="Y3" s="25">
        <v>1</v>
      </c>
      <c r="Z3" s="25">
        <v>3</v>
      </c>
      <c r="AA3" s="25" t="s">
        <v>345</v>
      </c>
      <c r="AB3" s="25">
        <v>3</v>
      </c>
    </row>
    <row r="4" spans="1:28" x14ac:dyDescent="0.25">
      <c r="A4" s="24" t="s">
        <v>314</v>
      </c>
      <c r="B4" s="32" t="s">
        <v>322</v>
      </c>
      <c r="C4" s="24" t="s">
        <v>3</v>
      </c>
      <c r="D4" s="24" t="s">
        <v>96</v>
      </c>
      <c r="E4" s="24" t="s">
        <v>315</v>
      </c>
      <c r="F4" s="24" t="s">
        <v>315</v>
      </c>
      <c r="G4" s="24" t="s">
        <v>341</v>
      </c>
      <c r="H4" s="24" t="s">
        <v>239</v>
      </c>
      <c r="I4" s="24" t="s">
        <v>88</v>
      </c>
      <c r="J4" s="24" t="s">
        <v>309</v>
      </c>
      <c r="K4" s="24" t="s">
        <v>122</v>
      </c>
      <c r="L4" s="24" t="s">
        <v>56</v>
      </c>
      <c r="M4" s="24" t="s">
        <v>338</v>
      </c>
      <c r="N4" s="24" t="s">
        <v>310</v>
      </c>
      <c r="O4" s="24" t="s">
        <v>316</v>
      </c>
      <c r="P4" s="24" t="s">
        <v>321</v>
      </c>
      <c r="Q4" s="25" t="s">
        <v>317</v>
      </c>
      <c r="R4" s="25" t="s">
        <v>127</v>
      </c>
      <c r="S4" s="25" t="s">
        <v>107</v>
      </c>
      <c r="T4" s="25" t="s">
        <v>101</v>
      </c>
      <c r="U4" s="25">
        <v>2</v>
      </c>
      <c r="V4" s="25" t="s">
        <v>179</v>
      </c>
      <c r="W4" s="25" t="s">
        <v>186</v>
      </c>
      <c r="X4" s="25">
        <v>1</v>
      </c>
      <c r="Y4" s="25">
        <v>1</v>
      </c>
      <c r="Z4" s="25">
        <v>3</v>
      </c>
      <c r="AA4" s="25" t="s">
        <v>343</v>
      </c>
      <c r="AB4" s="25">
        <v>3</v>
      </c>
    </row>
    <row r="5" spans="1:28" x14ac:dyDescent="0.25">
      <c r="A5" s="24" t="s">
        <v>320</v>
      </c>
      <c r="B5" s="32" t="s">
        <v>322</v>
      </c>
      <c r="C5" s="24" t="s">
        <v>3</v>
      </c>
      <c r="D5" s="24" t="s">
        <v>96</v>
      </c>
      <c r="E5" s="24" t="s">
        <v>315</v>
      </c>
      <c r="F5" s="24" t="s">
        <v>319</v>
      </c>
      <c r="G5" s="24" t="s">
        <v>339</v>
      </c>
      <c r="H5" s="24" t="s">
        <v>239</v>
      </c>
      <c r="I5" s="24" t="s">
        <v>88</v>
      </c>
      <c r="J5" s="24" t="s">
        <v>309</v>
      </c>
      <c r="K5" s="24" t="s">
        <v>122</v>
      </c>
      <c r="L5" s="24" t="s">
        <v>56</v>
      </c>
      <c r="M5" s="24" t="s">
        <v>338</v>
      </c>
      <c r="N5" s="24" t="s">
        <v>310</v>
      </c>
      <c r="O5" s="24" t="s">
        <v>316</v>
      </c>
      <c r="P5" s="24" t="s">
        <v>321</v>
      </c>
      <c r="Q5" s="25" t="s">
        <v>317</v>
      </c>
      <c r="R5" s="25" t="s">
        <v>127</v>
      </c>
      <c r="S5" s="25" t="s">
        <v>107</v>
      </c>
      <c r="T5" s="25" t="s">
        <v>101</v>
      </c>
      <c r="U5" s="25">
        <v>5</v>
      </c>
      <c r="V5" s="25" t="s">
        <v>179</v>
      </c>
      <c r="W5" s="25" t="s">
        <v>186</v>
      </c>
      <c r="X5" s="25">
        <v>1</v>
      </c>
      <c r="Y5" s="25">
        <v>1</v>
      </c>
      <c r="Z5" s="25">
        <v>3</v>
      </c>
      <c r="AA5" s="25" t="s">
        <v>344</v>
      </c>
      <c r="AB5" s="25">
        <v>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6</xdr:col>
                <xdr:colOff>0</xdr:colOff>
                <xdr:row>1</xdr:row>
                <xdr:rowOff>0</xdr:rowOff>
              </from>
              <to>
                <xdr:col>7</xdr:col>
                <xdr:colOff>66675</xdr:colOff>
                <xdr:row>2</xdr:row>
                <xdr:rowOff>66675</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2">
        <x14:dataValidation type="list" errorStyle="information" allowBlank="1" showInputMessage="1" showErrorMessage="1" xr:uid="{00000000-0002-0000-0000-000000000000}">
          <x14:formula1>
            <xm:f>Dictionary!$Y$3:$Y$8</xm:f>
          </x14:formula1>
          <xm:sqref>AT2:AT1048576</xm:sqref>
        </x14:dataValidation>
        <x14:dataValidation type="list" errorStyle="information" allowBlank="1" showInputMessage="1" showErrorMessage="1" xr:uid="{00000000-0002-0000-0000-000001000000}">
          <x14:formula1>
            <xm:f>Dictionary!$E$3:$E$6</xm:f>
          </x14:formula1>
          <xm:sqref>AC2:AC1048576</xm:sqref>
        </x14:dataValidation>
        <x14:dataValidation type="list" errorStyle="information" allowBlank="1" showInputMessage="1" showErrorMessage="1" xr:uid="{00000000-0002-0000-0000-000002000000}">
          <x14:formula1>
            <xm:f>Dictionary!$Q$3:$Q$6</xm:f>
          </x14:formula1>
          <xm:sqref>AI2:AI1048576</xm:sqref>
        </x14:dataValidation>
        <x14:dataValidation type="list" errorStyle="information" allowBlank="1" showInputMessage="1" showErrorMessage="1" xr:uid="{00000000-0002-0000-0000-000003000000}">
          <x14:formula1>
            <xm:f>Dictionary!$AC$3:$AC$4</xm:f>
          </x14:formula1>
          <xm:sqref>AS2:AS1048576 L2:L1048576</xm:sqref>
        </x14:dataValidation>
        <x14:dataValidation type="list" errorStyle="information" allowBlank="1" showInputMessage="1" showErrorMessage="1" xr:uid="{00000000-0002-0000-0000-000004000000}">
          <x14:formula1>
            <xm:f>Dictionary!$AK$3:$AK$6</xm:f>
          </x14:formula1>
          <xm:sqref>AV2:AV1048576</xm:sqref>
        </x14:dataValidation>
        <x14:dataValidation type="list" errorStyle="information" allowBlank="1" showInputMessage="1" showErrorMessage="1" xr:uid="{00000000-0002-0000-0000-000005000000}">
          <x14:formula1>
            <xm:f>Dictionary!$AS$3:$AS$10</xm:f>
          </x14:formula1>
          <xm:sqref>AW2:AW1048576 W2:W1048576</xm:sqref>
        </x14:dataValidation>
        <x14:dataValidation type="list" errorStyle="information" allowBlank="1" showInputMessage="1" showErrorMessage="1" xr:uid="{00000000-0002-0000-0000-000006000000}">
          <x14:formula1>
            <xm:f>Dictionary!$U$3:$U$22</xm:f>
          </x14:formula1>
          <xm:sqref>AD2:AD1048576</xm:sqref>
        </x14:dataValidation>
        <x14:dataValidation type="list" errorStyle="information" allowBlank="1" showInputMessage="1" showErrorMessage="1" xr:uid="{00000000-0002-0000-0000-000007000000}">
          <x14:formula1>
            <xm:f>Dictionary!$I$3:$I$75</xm:f>
          </x14:formula1>
          <xm:sqref>AH2:AH1048576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K2:K1048576</xm:sqref>
        </x14:dataValidation>
        <x14:dataValidation type="list" errorStyle="information" allowBlank="1" showInputMessage="1" showErrorMessage="1" xr:uid="{00000000-0002-0000-0000-000010000000}">
          <x14:formula1>
            <xm:f>Dictionary!#REF!</xm:f>
          </x14:formula1>
          <xm:sqref>AG2:AG1048576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B5"/>
  <sheetViews>
    <sheetView workbookViewId="0">
      <selection activeCell="A2" sqref="A2:XFD5"/>
    </sheetView>
  </sheetViews>
  <sheetFormatPr defaultColWidth="24.85546875" defaultRowHeight="15" x14ac:dyDescent="0.25"/>
  <cols>
    <col min="1" max="16" width="24.85546875" style="24"/>
    <col min="17" max="16384" width="24.85546875" style="25"/>
  </cols>
  <sheetData>
    <row r="1" spans="1:28" x14ac:dyDescent="0.25">
      <c r="A1" s="24" t="s">
        <v>6</v>
      </c>
      <c r="B1" s="24" t="s">
        <v>161</v>
      </c>
      <c r="C1" s="24" t="s">
        <v>7</v>
      </c>
      <c r="D1" s="24" t="s">
        <v>172</v>
      </c>
      <c r="E1" s="24" t="s">
        <v>169</v>
      </c>
      <c r="F1" s="24" t="s">
        <v>5</v>
      </c>
      <c r="G1" s="24" t="s">
        <v>368</v>
      </c>
      <c r="H1" s="24" t="s">
        <v>369</v>
      </c>
      <c r="I1" s="24" t="s">
        <v>170</v>
      </c>
      <c r="J1" s="24" t="s">
        <v>171</v>
      </c>
      <c r="K1" s="24" t="s">
        <v>268</v>
      </c>
      <c r="L1" s="24" t="s">
        <v>270</v>
      </c>
      <c r="M1" s="24" t="s">
        <v>370</v>
      </c>
      <c r="N1" s="24" t="s">
        <v>371</v>
      </c>
      <c r="O1" s="24" t="s">
        <v>372</v>
      </c>
      <c r="P1" s="24" t="s">
        <v>373</v>
      </c>
      <c r="Q1" s="25" t="s">
        <v>374</v>
      </c>
      <c r="R1" s="25" t="s">
        <v>375</v>
      </c>
      <c r="S1" s="25" t="s">
        <v>376</v>
      </c>
      <c r="T1" s="25" t="s">
        <v>377</v>
      </c>
      <c r="U1" s="25" t="s">
        <v>269</v>
      </c>
      <c r="V1" s="25" t="s">
        <v>378</v>
      </c>
      <c r="W1" s="25" t="s">
        <v>173</v>
      </c>
      <c r="X1" s="25" t="s">
        <v>379</v>
      </c>
      <c r="Y1" s="25" t="s">
        <v>380</v>
      </c>
      <c r="Z1" s="25" t="s">
        <v>174</v>
      </c>
      <c r="AA1" s="25" t="s">
        <v>175</v>
      </c>
      <c r="AB1" s="25" t="s">
        <v>176</v>
      </c>
    </row>
    <row r="2" spans="1:28" x14ac:dyDescent="0.25">
      <c r="A2" s="28" t="s">
        <v>312</v>
      </c>
      <c r="B2" s="28" t="s">
        <v>322</v>
      </c>
      <c r="C2" s="35" t="s">
        <v>0</v>
      </c>
      <c r="D2" s="35" t="s">
        <v>284</v>
      </c>
      <c r="E2" s="28" t="s">
        <v>329</v>
      </c>
      <c r="F2" s="28" t="s">
        <v>328</v>
      </c>
      <c r="G2" s="35" t="s">
        <v>340</v>
      </c>
      <c r="H2" s="36" t="s">
        <v>331</v>
      </c>
      <c r="I2" s="35" t="s">
        <v>87</v>
      </c>
      <c r="J2" s="28" t="s">
        <v>309</v>
      </c>
      <c r="K2" s="36" t="s">
        <v>332</v>
      </c>
      <c r="L2" s="35" t="s">
        <v>56</v>
      </c>
      <c r="M2" s="35" t="s">
        <v>338</v>
      </c>
      <c r="N2" s="28" t="s">
        <v>310</v>
      </c>
      <c r="O2" s="28" t="s">
        <v>330</v>
      </c>
      <c r="P2" s="28" t="s">
        <v>321</v>
      </c>
      <c r="Q2" s="27"/>
      <c r="R2" s="27" t="s">
        <v>126</v>
      </c>
      <c r="S2" s="37" t="s">
        <v>107</v>
      </c>
      <c r="T2" s="37" t="s">
        <v>101</v>
      </c>
      <c r="U2" s="27">
        <v>3</v>
      </c>
      <c r="V2" s="37" t="s">
        <v>179</v>
      </c>
      <c r="W2" s="37" t="s">
        <v>186</v>
      </c>
      <c r="X2" s="27">
        <v>1</v>
      </c>
      <c r="Y2" s="27">
        <v>1</v>
      </c>
      <c r="Z2" s="27">
        <v>3</v>
      </c>
      <c r="AA2" s="27" t="s">
        <v>346</v>
      </c>
      <c r="AB2" s="27">
        <v>2</v>
      </c>
    </row>
    <row r="3" spans="1:28" x14ac:dyDescent="0.25">
      <c r="A3" s="28" t="s">
        <v>318</v>
      </c>
      <c r="B3" s="28" t="s">
        <v>322</v>
      </c>
      <c r="C3" s="35" t="s">
        <v>0</v>
      </c>
      <c r="D3" s="35" t="s">
        <v>284</v>
      </c>
      <c r="E3" s="28" t="s">
        <v>308</v>
      </c>
      <c r="F3" s="28" t="s">
        <v>313</v>
      </c>
      <c r="G3" s="35" t="s">
        <v>342</v>
      </c>
      <c r="H3" s="36" t="s">
        <v>114</v>
      </c>
      <c r="I3" s="35" t="s">
        <v>87</v>
      </c>
      <c r="J3" s="28" t="s">
        <v>309</v>
      </c>
      <c r="K3" s="35" t="s">
        <v>21</v>
      </c>
      <c r="L3" s="35" t="s">
        <v>56</v>
      </c>
      <c r="M3" s="35" t="s">
        <v>338</v>
      </c>
      <c r="N3" s="28" t="s">
        <v>310</v>
      </c>
      <c r="O3" s="28" t="s">
        <v>311</v>
      </c>
      <c r="P3" s="28" t="s">
        <v>321</v>
      </c>
      <c r="Q3" s="27"/>
      <c r="R3" s="27" t="s">
        <v>126</v>
      </c>
      <c r="S3" s="37" t="s">
        <v>107</v>
      </c>
      <c r="T3" s="37" t="s">
        <v>101</v>
      </c>
      <c r="U3" s="27">
        <v>4</v>
      </c>
      <c r="V3" s="37" t="s">
        <v>179</v>
      </c>
      <c r="W3" s="37" t="s">
        <v>186</v>
      </c>
      <c r="X3" s="27">
        <v>1</v>
      </c>
      <c r="Y3" s="27">
        <v>1</v>
      </c>
      <c r="Z3" s="27">
        <v>3</v>
      </c>
      <c r="AA3" s="27" t="s">
        <v>345</v>
      </c>
      <c r="AB3" s="27">
        <v>3</v>
      </c>
    </row>
    <row r="4" spans="1:28" x14ac:dyDescent="0.25">
      <c r="A4" s="28" t="s">
        <v>314</v>
      </c>
      <c r="B4" s="28" t="s">
        <v>322</v>
      </c>
      <c r="C4" s="35" t="s">
        <v>3</v>
      </c>
      <c r="D4" s="35" t="s">
        <v>96</v>
      </c>
      <c r="E4" s="28" t="s">
        <v>315</v>
      </c>
      <c r="F4" s="28" t="s">
        <v>315</v>
      </c>
      <c r="G4" s="35" t="s">
        <v>341</v>
      </c>
      <c r="H4" s="35" t="s">
        <v>239</v>
      </c>
      <c r="I4" s="35" t="s">
        <v>88</v>
      </c>
      <c r="J4" s="28" t="s">
        <v>309</v>
      </c>
      <c r="K4" s="35" t="s">
        <v>122</v>
      </c>
      <c r="L4" s="35" t="s">
        <v>56</v>
      </c>
      <c r="M4" s="35" t="s">
        <v>338</v>
      </c>
      <c r="N4" s="28" t="s">
        <v>310</v>
      </c>
      <c r="O4" s="28" t="s">
        <v>316</v>
      </c>
      <c r="P4" s="28" t="s">
        <v>321</v>
      </c>
      <c r="Q4" s="27" t="s">
        <v>317</v>
      </c>
      <c r="R4" s="27" t="s">
        <v>127</v>
      </c>
      <c r="S4" s="37" t="s">
        <v>107</v>
      </c>
      <c r="T4" s="37" t="s">
        <v>101</v>
      </c>
      <c r="U4" s="27">
        <v>2</v>
      </c>
      <c r="V4" s="37" t="s">
        <v>179</v>
      </c>
      <c r="W4" s="37" t="s">
        <v>186</v>
      </c>
      <c r="X4" s="27">
        <v>1</v>
      </c>
      <c r="Y4" s="27">
        <v>1</v>
      </c>
      <c r="Z4" s="27">
        <v>3</v>
      </c>
      <c r="AA4" s="27" t="s">
        <v>343</v>
      </c>
      <c r="AB4" s="27">
        <v>3</v>
      </c>
    </row>
    <row r="5" spans="1:28" x14ac:dyDescent="0.25">
      <c r="A5" s="28" t="s">
        <v>320</v>
      </c>
      <c r="B5" s="28" t="s">
        <v>322</v>
      </c>
      <c r="C5" s="35" t="s">
        <v>3</v>
      </c>
      <c r="D5" s="35" t="s">
        <v>96</v>
      </c>
      <c r="E5" s="28" t="s">
        <v>315</v>
      </c>
      <c r="F5" s="28" t="s">
        <v>382</v>
      </c>
      <c r="G5" s="35" t="s">
        <v>339</v>
      </c>
      <c r="H5" s="35" t="s">
        <v>239</v>
      </c>
      <c r="I5" s="35" t="s">
        <v>88</v>
      </c>
      <c r="J5" s="28" t="s">
        <v>309</v>
      </c>
      <c r="K5" s="35" t="s">
        <v>122</v>
      </c>
      <c r="L5" s="35" t="s">
        <v>56</v>
      </c>
      <c r="M5" s="35" t="s">
        <v>338</v>
      </c>
      <c r="N5" s="28" t="s">
        <v>310</v>
      </c>
      <c r="O5" s="28" t="s">
        <v>316</v>
      </c>
      <c r="P5" s="28" t="s">
        <v>321</v>
      </c>
      <c r="Q5" s="27" t="s">
        <v>317</v>
      </c>
      <c r="R5" s="27" t="s">
        <v>127</v>
      </c>
      <c r="S5" s="37" t="s">
        <v>107</v>
      </c>
      <c r="T5" s="37" t="s">
        <v>101</v>
      </c>
      <c r="U5" s="27">
        <v>5</v>
      </c>
      <c r="V5" s="37" t="s">
        <v>179</v>
      </c>
      <c r="W5" s="37" t="s">
        <v>186</v>
      </c>
      <c r="X5" s="27">
        <v>1</v>
      </c>
      <c r="Y5" s="27">
        <v>1</v>
      </c>
      <c r="Z5" s="27">
        <v>3</v>
      </c>
      <c r="AA5" s="27" t="s">
        <v>344</v>
      </c>
      <c r="AB5" s="27">
        <v>2</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C98"/>
  <sheetViews>
    <sheetView topLeftCell="AO1" workbookViewId="0">
      <selection activeCell="BA3" sqref="BA3"/>
    </sheetView>
  </sheetViews>
  <sheetFormatPr defaultColWidth="13.85546875" defaultRowHeight="15" x14ac:dyDescent="0.25"/>
  <cols>
    <col min="1" max="1" width="16.5703125" style="5" customWidth="1"/>
    <col min="2" max="2" width="7.5703125" style="30" customWidth="1"/>
    <col min="3" max="3" width="12.7109375" style="5" bestFit="1" customWidth="1"/>
    <col min="4" max="4" width="16.7109375" style="5" customWidth="1"/>
    <col min="5" max="5" width="16.140625" style="5" bestFit="1" customWidth="1"/>
    <col min="6" max="6" width="8.42578125" style="30" customWidth="1"/>
    <col min="7" max="7" width="16.140625" style="5" bestFit="1" customWidth="1"/>
    <col min="8" max="8" width="13.85546875" style="5"/>
    <col min="9" max="9" width="22.85546875" style="5" bestFit="1" customWidth="1"/>
    <col min="10" max="10" width="13.85546875" style="5"/>
    <col min="11" max="11" width="22.85546875" style="5" bestFit="1" customWidth="1"/>
    <col min="12" max="12" width="17.140625" style="5" customWidth="1"/>
    <col min="13" max="13" width="21" style="5" bestFit="1" customWidth="1"/>
    <col min="14" max="14" width="13.85546875" style="5"/>
    <col min="15" max="15" width="21" style="5" bestFit="1" customWidth="1"/>
    <col min="16" max="20" width="13.85546875" style="5"/>
    <col min="21" max="21" width="22.5703125" style="5" bestFit="1" customWidth="1"/>
    <col min="22" max="22" width="13.85546875" style="5"/>
    <col min="23" max="23" width="22.5703125" style="5" bestFit="1" customWidth="1"/>
    <col min="24" max="35" width="13.85546875" style="5"/>
    <col min="41" max="41" width="17.42578125" customWidth="1"/>
    <col min="47" max="47" width="21.140625" bestFit="1" customWidth="1"/>
    <col min="49" max="55" width="13.85546875" style="5"/>
  </cols>
  <sheetData>
    <row r="1" spans="1:55" ht="49.5" customHeight="1" x14ac:dyDescent="0.25">
      <c r="A1" s="45" t="s">
        <v>7</v>
      </c>
      <c r="B1" s="45"/>
      <c r="C1" s="45"/>
      <c r="D1" s="30"/>
      <c r="E1" s="44" t="s">
        <v>4</v>
      </c>
      <c r="F1" s="44"/>
      <c r="G1" s="44"/>
      <c r="I1" s="44" t="s">
        <v>161</v>
      </c>
      <c r="J1" s="44"/>
      <c r="K1" s="44"/>
      <c r="L1" s="30"/>
      <c r="M1" s="44" t="s">
        <v>86</v>
      </c>
      <c r="N1" s="44"/>
      <c r="O1" s="44"/>
      <c r="Q1" s="44" t="s">
        <v>6</v>
      </c>
      <c r="R1" s="44"/>
      <c r="S1" s="44"/>
      <c r="U1" s="44" t="s">
        <v>5</v>
      </c>
      <c r="V1" s="44"/>
      <c r="W1" s="44"/>
      <c r="X1" s="30"/>
      <c r="Y1" s="44" t="s">
        <v>8</v>
      </c>
      <c r="Z1" s="44"/>
      <c r="AA1" s="44"/>
      <c r="AB1" s="30"/>
      <c r="AC1" s="44" t="s">
        <v>271</v>
      </c>
      <c r="AD1" s="44"/>
      <c r="AE1" s="44"/>
      <c r="AG1" s="44" t="s">
        <v>121</v>
      </c>
      <c r="AH1" s="44"/>
      <c r="AI1" s="44"/>
      <c r="AJ1" s="26"/>
      <c r="AK1" s="44" t="s">
        <v>9</v>
      </c>
      <c r="AL1" s="44"/>
      <c r="AM1" s="44"/>
      <c r="AN1" s="26"/>
      <c r="AO1" s="44" t="s">
        <v>164</v>
      </c>
      <c r="AP1" s="44"/>
      <c r="AQ1" s="44"/>
      <c r="AR1" s="26"/>
      <c r="AS1" s="44" t="s">
        <v>173</v>
      </c>
      <c r="AT1" s="44"/>
      <c r="AU1" s="44"/>
      <c r="AV1" s="26"/>
      <c r="AW1" s="44" t="s">
        <v>171</v>
      </c>
      <c r="AX1" s="44"/>
      <c r="AY1" s="44"/>
      <c r="BA1" s="44" t="s">
        <v>269</v>
      </c>
      <c r="BB1" s="44"/>
      <c r="BC1" s="44"/>
    </row>
    <row r="2" spans="1:55" ht="30" x14ac:dyDescent="0.25">
      <c r="A2" s="33" t="s">
        <v>14</v>
      </c>
      <c r="B2" s="31" t="s">
        <v>16</v>
      </c>
      <c r="C2" s="33" t="s">
        <v>15</v>
      </c>
      <c r="D2" s="34"/>
      <c r="E2" s="38" t="s">
        <v>14</v>
      </c>
      <c r="F2" s="31" t="s">
        <v>16</v>
      </c>
      <c r="G2" s="38" t="s">
        <v>15</v>
      </c>
      <c r="I2" s="33" t="s">
        <v>14</v>
      </c>
      <c r="J2" s="33" t="s">
        <v>16</v>
      </c>
      <c r="K2" s="33" t="s">
        <v>15</v>
      </c>
      <c r="L2" s="30"/>
      <c r="M2" s="33" t="s">
        <v>14</v>
      </c>
      <c r="N2" s="33" t="s">
        <v>16</v>
      </c>
      <c r="O2" s="33" t="s">
        <v>15</v>
      </c>
      <c r="Q2" s="33" t="s">
        <v>14</v>
      </c>
      <c r="R2" s="33" t="s">
        <v>16</v>
      </c>
      <c r="S2" s="33" t="s">
        <v>15</v>
      </c>
      <c r="U2" s="33" t="s">
        <v>14</v>
      </c>
      <c r="V2" s="33" t="s">
        <v>16</v>
      </c>
      <c r="W2" s="33" t="s">
        <v>15</v>
      </c>
      <c r="X2" s="30"/>
      <c r="Y2" s="33" t="s">
        <v>14</v>
      </c>
      <c r="Z2" s="33" t="s">
        <v>16</v>
      </c>
      <c r="AA2" s="33" t="s">
        <v>15</v>
      </c>
      <c r="AB2" s="30"/>
      <c r="AC2" s="33" t="s">
        <v>14</v>
      </c>
      <c r="AD2" s="33" t="s">
        <v>16</v>
      </c>
      <c r="AE2" s="33" t="s">
        <v>15</v>
      </c>
      <c r="AG2" s="33" t="s">
        <v>14</v>
      </c>
      <c r="AH2" s="33" t="s">
        <v>16</v>
      </c>
      <c r="AI2" s="33" t="s">
        <v>15</v>
      </c>
      <c r="AJ2" s="26"/>
      <c r="AK2" s="33" t="s">
        <v>14</v>
      </c>
      <c r="AL2" s="33" t="s">
        <v>16</v>
      </c>
      <c r="AM2" s="33" t="s">
        <v>15</v>
      </c>
      <c r="AN2" s="26"/>
      <c r="AO2" s="33" t="s">
        <v>14</v>
      </c>
      <c r="AP2" s="33" t="s">
        <v>16</v>
      </c>
      <c r="AQ2" s="33" t="s">
        <v>15</v>
      </c>
      <c r="AR2" s="26"/>
      <c r="AS2" s="33" t="s">
        <v>14</v>
      </c>
      <c r="AT2" s="33" t="s">
        <v>16</v>
      </c>
      <c r="AU2" s="33" t="s">
        <v>15</v>
      </c>
      <c r="AV2" s="26"/>
      <c r="AW2" s="43" t="s">
        <v>14</v>
      </c>
      <c r="AX2" s="43" t="s">
        <v>16</v>
      </c>
      <c r="AY2" s="43" t="s">
        <v>15</v>
      </c>
      <c r="BA2" s="43" t="s">
        <v>14</v>
      </c>
      <c r="BB2" s="43" t="s">
        <v>16</v>
      </c>
      <c r="BC2" s="43" t="s">
        <v>15</v>
      </c>
    </row>
    <row r="3" spans="1:55" x14ac:dyDescent="0.25">
      <c r="A3" t="s">
        <v>110</v>
      </c>
      <c r="B3"/>
      <c r="C3" t="s">
        <v>19</v>
      </c>
      <c r="D3" s="30"/>
      <c r="E3" t="s">
        <v>0</v>
      </c>
      <c r="F3" t="s">
        <v>312</v>
      </c>
      <c r="G3" t="s">
        <v>0</v>
      </c>
      <c r="H3" s="30"/>
      <c r="I3" t="s">
        <v>209</v>
      </c>
      <c r="J3"/>
      <c r="K3" t="s">
        <v>281</v>
      </c>
      <c r="L3" s="30"/>
      <c r="M3" t="s">
        <v>210</v>
      </c>
      <c r="N3"/>
      <c r="O3" t="s">
        <v>282</v>
      </c>
      <c r="P3" s="30"/>
      <c r="Q3" t="s">
        <v>87</v>
      </c>
      <c r="R3" t="s">
        <v>312</v>
      </c>
      <c r="S3" t="s">
        <v>87</v>
      </c>
      <c r="T3" s="30"/>
      <c r="U3" t="s">
        <v>211</v>
      </c>
      <c r="V3"/>
      <c r="W3" t="s">
        <v>283</v>
      </c>
      <c r="X3" s="30"/>
      <c r="Y3" t="s">
        <v>103</v>
      </c>
      <c r="Z3"/>
      <c r="AA3" t="s">
        <v>103</v>
      </c>
      <c r="AB3" s="30"/>
      <c r="AC3" t="s">
        <v>108</v>
      </c>
      <c r="AD3"/>
      <c r="AE3" t="s">
        <v>108</v>
      </c>
      <c r="AF3" s="30"/>
      <c r="AG3" t="s">
        <v>126</v>
      </c>
      <c r="AH3"/>
      <c r="AI3" t="s">
        <v>126</v>
      </c>
      <c r="AJ3" s="30"/>
      <c r="AK3" t="s">
        <v>162</v>
      </c>
      <c r="AM3" t="s">
        <v>162</v>
      </c>
      <c r="AN3" s="30"/>
      <c r="AO3" t="s">
        <v>165</v>
      </c>
      <c r="AP3" t="s">
        <v>312</v>
      </c>
      <c r="AQ3" t="s">
        <v>165</v>
      </c>
      <c r="AR3" s="30"/>
      <c r="AS3" t="s">
        <v>180</v>
      </c>
      <c r="AT3" t="s">
        <v>312</v>
      </c>
      <c r="AU3" t="s">
        <v>180</v>
      </c>
      <c r="AV3" s="30"/>
      <c r="AW3" s="5" t="s">
        <v>436</v>
      </c>
      <c r="AY3" s="5" t="s">
        <v>436</v>
      </c>
      <c r="BA3" s="54" t="s">
        <v>590</v>
      </c>
      <c r="BC3" s="54" t="s">
        <v>590</v>
      </c>
    </row>
    <row r="4" spans="1:55" x14ac:dyDescent="0.25">
      <c r="A4" t="s">
        <v>111</v>
      </c>
      <c r="B4"/>
      <c r="C4" t="s">
        <v>20</v>
      </c>
      <c r="D4" s="30"/>
      <c r="E4" t="s">
        <v>2</v>
      </c>
      <c r="F4"/>
      <c r="G4" t="s">
        <v>2</v>
      </c>
      <c r="H4" s="30"/>
      <c r="I4" t="s">
        <v>45</v>
      </c>
      <c r="J4"/>
      <c r="K4" t="s">
        <v>281</v>
      </c>
      <c r="L4" s="30"/>
      <c r="M4" t="s">
        <v>58</v>
      </c>
      <c r="N4"/>
      <c r="O4" t="s">
        <v>58</v>
      </c>
      <c r="P4" s="30"/>
      <c r="Q4" t="s">
        <v>88</v>
      </c>
      <c r="R4"/>
      <c r="S4" t="s">
        <v>88</v>
      </c>
      <c r="T4" s="30"/>
      <c r="U4" t="s">
        <v>90</v>
      </c>
      <c r="V4"/>
      <c r="W4" t="s">
        <v>90</v>
      </c>
      <c r="X4" s="30"/>
      <c r="Y4" t="s">
        <v>185</v>
      </c>
      <c r="Z4"/>
      <c r="AA4" t="s">
        <v>185</v>
      </c>
      <c r="AB4" s="30"/>
      <c r="AC4" t="s">
        <v>107</v>
      </c>
      <c r="AD4" t="s">
        <v>312</v>
      </c>
      <c r="AE4" t="s">
        <v>107</v>
      </c>
      <c r="AF4" s="30"/>
      <c r="AG4" t="s">
        <v>127</v>
      </c>
      <c r="AH4" t="s">
        <v>312</v>
      </c>
      <c r="AI4" t="s">
        <v>127</v>
      </c>
      <c r="AJ4" s="30"/>
      <c r="AK4" t="s">
        <v>163</v>
      </c>
      <c r="AL4" t="s">
        <v>312</v>
      </c>
      <c r="AM4" t="s">
        <v>163</v>
      </c>
      <c r="AN4" s="30"/>
      <c r="AO4" t="s">
        <v>166</v>
      </c>
      <c r="AQ4" t="s">
        <v>166</v>
      </c>
      <c r="AR4" s="30"/>
      <c r="AS4" t="s">
        <v>181</v>
      </c>
      <c r="AU4" t="s">
        <v>181</v>
      </c>
      <c r="AV4" s="30"/>
      <c r="AW4" s="5" t="s">
        <v>402</v>
      </c>
      <c r="AY4" s="5" t="s">
        <v>402</v>
      </c>
    </row>
    <row r="5" spans="1:55" x14ac:dyDescent="0.25">
      <c r="A5" t="s">
        <v>112</v>
      </c>
      <c r="B5"/>
      <c r="C5" t="s">
        <v>21</v>
      </c>
      <c r="D5" s="30"/>
      <c r="E5" t="s">
        <v>1</v>
      </c>
      <c r="F5"/>
      <c r="G5" t="s">
        <v>1</v>
      </c>
      <c r="H5" s="30"/>
      <c r="I5" t="s">
        <v>273</v>
      </c>
      <c r="J5"/>
      <c r="K5" t="s">
        <v>273</v>
      </c>
      <c r="L5" s="30"/>
      <c r="M5" t="s">
        <v>59</v>
      </c>
      <c r="N5"/>
      <c r="O5" t="s">
        <v>59</v>
      </c>
      <c r="P5" s="30"/>
      <c r="Q5" t="s">
        <v>74</v>
      </c>
      <c r="R5"/>
      <c r="S5" t="s">
        <v>74</v>
      </c>
      <c r="T5" s="30"/>
      <c r="U5" t="s">
        <v>212</v>
      </c>
      <c r="V5"/>
      <c r="W5" t="s">
        <v>284</v>
      </c>
      <c r="X5" s="30"/>
      <c r="Y5" t="s">
        <v>184</v>
      </c>
      <c r="Z5"/>
      <c r="AA5" t="s">
        <v>184</v>
      </c>
      <c r="AB5" s="30"/>
      <c r="AJ5" s="26"/>
      <c r="AK5" t="s">
        <v>178</v>
      </c>
      <c r="AM5" t="s">
        <v>178</v>
      </c>
      <c r="AN5" s="30"/>
      <c r="AO5" t="s">
        <v>167</v>
      </c>
      <c r="AQ5" t="s">
        <v>167</v>
      </c>
      <c r="AR5" s="30"/>
      <c r="AS5" t="s">
        <v>182</v>
      </c>
      <c r="AU5" t="s">
        <v>182</v>
      </c>
      <c r="AV5" s="30"/>
      <c r="AW5" s="5" t="s">
        <v>386</v>
      </c>
      <c r="AY5" s="5" t="s">
        <v>386</v>
      </c>
    </row>
    <row r="6" spans="1:55" x14ac:dyDescent="0.25">
      <c r="A6" t="s">
        <v>113</v>
      </c>
      <c r="B6"/>
      <c r="C6" t="s">
        <v>22</v>
      </c>
      <c r="D6" s="30"/>
      <c r="E6" t="s">
        <v>3</v>
      </c>
      <c r="F6"/>
      <c r="G6" t="s">
        <v>3</v>
      </c>
      <c r="H6" s="30"/>
      <c r="I6" t="s">
        <v>76</v>
      </c>
      <c r="J6"/>
      <c r="K6" t="s">
        <v>281</v>
      </c>
      <c r="L6" s="30"/>
      <c r="M6" t="s">
        <v>67</v>
      </c>
      <c r="N6"/>
      <c r="O6" t="s">
        <v>58</v>
      </c>
      <c r="P6" s="30"/>
      <c r="Q6" t="s">
        <v>89</v>
      </c>
      <c r="R6"/>
      <c r="S6" t="s">
        <v>89</v>
      </c>
      <c r="T6" s="30"/>
      <c r="U6" t="s">
        <v>91</v>
      </c>
      <c r="V6" t="s">
        <v>312</v>
      </c>
      <c r="W6" t="s">
        <v>91</v>
      </c>
      <c r="X6" s="30"/>
      <c r="Y6" t="s">
        <v>101</v>
      </c>
      <c r="Z6" t="s">
        <v>312</v>
      </c>
      <c r="AA6" t="s">
        <v>101</v>
      </c>
      <c r="AB6" s="30"/>
      <c r="AJ6" s="26"/>
      <c r="AK6" t="s">
        <v>179</v>
      </c>
      <c r="AM6" t="s">
        <v>179</v>
      </c>
      <c r="AN6" s="30"/>
      <c r="AO6" s="26"/>
      <c r="AP6" s="26"/>
      <c r="AQ6" s="26"/>
      <c r="AR6" s="26"/>
      <c r="AS6" t="s">
        <v>333</v>
      </c>
      <c r="AU6" t="s">
        <v>333</v>
      </c>
      <c r="AV6" s="30"/>
      <c r="AW6" s="5" t="s">
        <v>431</v>
      </c>
      <c r="AY6" s="5" t="s">
        <v>431</v>
      </c>
    </row>
    <row r="7" spans="1:55" x14ac:dyDescent="0.25">
      <c r="A7" t="s">
        <v>114</v>
      </c>
      <c r="B7"/>
      <c r="C7" t="s">
        <v>23</v>
      </c>
      <c r="D7" s="30"/>
      <c r="F7" s="5"/>
      <c r="I7" t="s">
        <v>274</v>
      </c>
      <c r="J7"/>
      <c r="K7" t="s">
        <v>273</v>
      </c>
      <c r="L7" s="30"/>
      <c r="M7" t="s">
        <v>68</v>
      </c>
      <c r="N7"/>
      <c r="O7" t="s">
        <v>59</v>
      </c>
      <c r="P7" s="30"/>
      <c r="U7" t="s">
        <v>336</v>
      </c>
      <c r="V7"/>
      <c r="W7" t="s">
        <v>337</v>
      </c>
      <c r="X7" s="30"/>
      <c r="Y7" t="s">
        <v>183</v>
      </c>
      <c r="Z7"/>
      <c r="AA7" t="s">
        <v>183</v>
      </c>
      <c r="AB7" s="30"/>
      <c r="AJ7" s="26"/>
      <c r="AK7" s="26"/>
      <c r="AL7" s="26"/>
      <c r="AM7" s="26"/>
      <c r="AN7" s="26"/>
      <c r="AO7" s="26"/>
      <c r="AP7" s="26"/>
      <c r="AQ7" s="26"/>
      <c r="AR7" s="26"/>
      <c r="AS7" t="s">
        <v>334</v>
      </c>
      <c r="AU7" t="s">
        <v>334</v>
      </c>
      <c r="AV7" s="30"/>
      <c r="AW7" s="5" t="s">
        <v>423</v>
      </c>
      <c r="AY7" s="5" t="s">
        <v>423</v>
      </c>
    </row>
    <row r="8" spans="1:55" x14ac:dyDescent="0.25">
      <c r="A8" t="s">
        <v>115</v>
      </c>
      <c r="B8"/>
      <c r="C8" t="s">
        <v>24</v>
      </c>
      <c r="D8" s="30"/>
      <c r="F8" s="5"/>
      <c r="I8" t="s">
        <v>194</v>
      </c>
      <c r="J8"/>
      <c r="K8" t="s">
        <v>281</v>
      </c>
      <c r="L8" s="30"/>
      <c r="M8" t="s">
        <v>213</v>
      </c>
      <c r="N8"/>
      <c r="O8" t="s">
        <v>214</v>
      </c>
      <c r="P8" s="30"/>
      <c r="U8" t="s">
        <v>337</v>
      </c>
      <c r="V8"/>
      <c r="W8" t="s">
        <v>337</v>
      </c>
      <c r="X8" s="30"/>
      <c r="Y8" t="s">
        <v>102</v>
      </c>
      <c r="Z8"/>
      <c r="AA8" t="s">
        <v>102</v>
      </c>
      <c r="AB8" s="30"/>
      <c r="AJ8" s="26"/>
      <c r="AK8" s="26"/>
      <c r="AL8" s="26"/>
      <c r="AM8" s="26"/>
      <c r="AN8" s="26"/>
      <c r="AO8" s="26"/>
      <c r="AP8" s="26"/>
      <c r="AQ8" s="26"/>
      <c r="AR8" s="26"/>
      <c r="AS8" t="s">
        <v>335</v>
      </c>
      <c r="AU8" t="s">
        <v>335</v>
      </c>
      <c r="AV8" s="30"/>
      <c r="AW8" s="5" t="s">
        <v>467</v>
      </c>
      <c r="AY8" s="5" t="s">
        <v>467</v>
      </c>
    </row>
    <row r="9" spans="1:55" x14ac:dyDescent="0.25">
      <c r="A9" t="s">
        <v>116</v>
      </c>
      <c r="B9"/>
      <c r="C9" t="s">
        <v>25</v>
      </c>
      <c r="D9" s="30"/>
      <c r="F9" s="5"/>
      <c r="I9" t="s">
        <v>272</v>
      </c>
      <c r="J9"/>
      <c r="K9" t="s">
        <v>272</v>
      </c>
      <c r="L9" s="30"/>
      <c r="M9" t="s">
        <v>215</v>
      </c>
      <c r="N9"/>
      <c r="O9" t="s">
        <v>285</v>
      </c>
      <c r="P9" s="30"/>
      <c r="U9" t="s">
        <v>187</v>
      </c>
      <c r="V9"/>
      <c r="W9" t="s">
        <v>188</v>
      </c>
      <c r="X9" s="30"/>
      <c r="AB9" s="30"/>
      <c r="AJ9" s="26"/>
      <c r="AK9" s="26"/>
      <c r="AL9" s="26"/>
      <c r="AM9" s="26"/>
      <c r="AN9" s="26"/>
      <c r="AO9" s="26"/>
      <c r="AP9" s="26"/>
      <c r="AQ9" s="26"/>
      <c r="AR9" s="26"/>
      <c r="AS9" t="s">
        <v>177</v>
      </c>
      <c r="AU9" t="s">
        <v>177</v>
      </c>
      <c r="AV9" s="30"/>
      <c r="AW9" s="5" t="s">
        <v>474</v>
      </c>
      <c r="AY9" s="5" t="s">
        <v>474</v>
      </c>
    </row>
    <row r="10" spans="1:55" x14ac:dyDescent="0.25">
      <c r="A10" t="s">
        <v>117</v>
      </c>
      <c r="B10"/>
      <c r="C10" t="s">
        <v>26</v>
      </c>
      <c r="D10" s="30"/>
      <c r="F10" s="5"/>
      <c r="I10" t="s">
        <v>216</v>
      </c>
      <c r="J10"/>
      <c r="K10" t="s">
        <v>272</v>
      </c>
      <c r="L10" s="30"/>
      <c r="M10" t="s">
        <v>62</v>
      </c>
      <c r="N10"/>
      <c r="O10" t="s">
        <v>62</v>
      </c>
      <c r="P10" s="30"/>
      <c r="U10" t="s">
        <v>100</v>
      </c>
      <c r="V10"/>
      <c r="W10" t="s">
        <v>100</v>
      </c>
      <c r="X10" s="30"/>
      <c r="AB10" s="30"/>
      <c r="AJ10" s="26"/>
      <c r="AK10" s="26"/>
      <c r="AL10" s="26"/>
      <c r="AM10" s="26"/>
      <c r="AN10" s="26"/>
      <c r="AO10" s="26"/>
      <c r="AP10" s="26"/>
      <c r="AQ10" s="26"/>
      <c r="AR10" s="26"/>
      <c r="AS10" t="s">
        <v>186</v>
      </c>
      <c r="AU10" t="s">
        <v>186</v>
      </c>
      <c r="AV10" s="30"/>
      <c r="AW10" s="5" t="s">
        <v>427</v>
      </c>
      <c r="AY10" s="5" t="s">
        <v>427</v>
      </c>
    </row>
    <row r="11" spans="1:55" x14ac:dyDescent="0.25">
      <c r="A11" t="s">
        <v>118</v>
      </c>
      <c r="B11"/>
      <c r="C11" t="s">
        <v>27</v>
      </c>
      <c r="D11" s="30"/>
      <c r="F11" s="5"/>
      <c r="I11" t="s">
        <v>217</v>
      </c>
      <c r="J11"/>
      <c r="K11" t="s">
        <v>217</v>
      </c>
      <c r="L11" s="30"/>
      <c r="M11" t="s">
        <v>71</v>
      </c>
      <c r="N11"/>
      <c r="O11" t="s">
        <v>62</v>
      </c>
      <c r="P11" s="30"/>
      <c r="U11" t="s">
        <v>74</v>
      </c>
      <c r="V11"/>
      <c r="W11" t="s">
        <v>74</v>
      </c>
      <c r="X11" s="30"/>
      <c r="AB11" s="30"/>
      <c r="AJ11" s="26"/>
      <c r="AK11" s="26"/>
      <c r="AL11" s="26"/>
      <c r="AM11" s="26"/>
      <c r="AN11" s="26"/>
      <c r="AO11" s="26"/>
      <c r="AP11" s="26"/>
      <c r="AQ11" s="26"/>
      <c r="AR11" s="26"/>
      <c r="AS11" s="26"/>
      <c r="AT11" s="26"/>
      <c r="AU11" s="26"/>
      <c r="AV11" s="26"/>
      <c r="AW11" s="5" t="s">
        <v>405</v>
      </c>
      <c r="AY11" s="5" t="s">
        <v>405</v>
      </c>
    </row>
    <row r="12" spans="1:55" x14ac:dyDescent="0.25">
      <c r="A12" t="s">
        <v>119</v>
      </c>
      <c r="B12"/>
      <c r="C12" t="s">
        <v>28</v>
      </c>
      <c r="D12" s="30"/>
      <c r="F12" s="5"/>
      <c r="I12" t="s">
        <v>218</v>
      </c>
      <c r="J12"/>
      <c r="K12" t="s">
        <v>217</v>
      </c>
      <c r="L12" s="30"/>
      <c r="M12" t="s">
        <v>60</v>
      </c>
      <c r="N12"/>
      <c r="O12" t="s">
        <v>60</v>
      </c>
      <c r="P12" s="30"/>
      <c r="U12" t="s">
        <v>93</v>
      </c>
      <c r="V12"/>
      <c r="W12" t="s">
        <v>93</v>
      </c>
      <c r="X12" s="30"/>
      <c r="AB12" s="30"/>
      <c r="AJ12" s="26"/>
      <c r="AK12" s="26"/>
      <c r="AL12" s="26"/>
      <c r="AM12" s="26"/>
      <c r="AN12" s="26"/>
      <c r="AO12" s="26"/>
      <c r="AP12" s="26"/>
      <c r="AQ12" s="26"/>
      <c r="AR12" s="26"/>
      <c r="AS12" s="26"/>
      <c r="AT12" s="26"/>
      <c r="AU12" s="26"/>
      <c r="AV12" s="26"/>
      <c r="AW12" s="5" t="s">
        <v>441</v>
      </c>
      <c r="AY12" s="5" t="s">
        <v>441</v>
      </c>
    </row>
    <row r="13" spans="1:55" x14ac:dyDescent="0.25">
      <c r="A13" t="s">
        <v>120</v>
      </c>
      <c r="B13"/>
      <c r="C13" t="s">
        <v>29</v>
      </c>
      <c r="D13" s="30"/>
      <c r="F13" s="5"/>
      <c r="I13" t="s">
        <v>219</v>
      </c>
      <c r="J13"/>
      <c r="K13" t="s">
        <v>286</v>
      </c>
      <c r="L13" s="30"/>
      <c r="M13" t="s">
        <v>61</v>
      </c>
      <c r="N13"/>
      <c r="O13" t="s">
        <v>61</v>
      </c>
      <c r="P13" s="30"/>
      <c r="U13" t="s">
        <v>123</v>
      </c>
      <c r="V13"/>
      <c r="W13" t="s">
        <v>123</v>
      </c>
      <c r="X13" s="30"/>
      <c r="AB13" s="30"/>
      <c r="AJ13" s="26"/>
      <c r="AK13" s="26"/>
      <c r="AL13" s="26"/>
      <c r="AM13" s="26"/>
      <c r="AN13" s="26"/>
      <c r="AO13" s="26"/>
      <c r="AP13" s="26"/>
      <c r="AQ13" s="26"/>
      <c r="AR13" s="26"/>
      <c r="AS13" s="26"/>
      <c r="AT13" s="26"/>
      <c r="AU13" s="26"/>
      <c r="AV13" s="26"/>
      <c r="AW13" s="5" t="s">
        <v>452</v>
      </c>
      <c r="AY13" s="5" t="s">
        <v>452</v>
      </c>
    </row>
    <row r="14" spans="1:55" x14ac:dyDescent="0.25">
      <c r="A14" t="s">
        <v>21</v>
      </c>
      <c r="B14"/>
      <c r="C14" t="s">
        <v>21</v>
      </c>
      <c r="D14" s="30"/>
      <c r="F14" s="5"/>
      <c r="I14" t="s">
        <v>51</v>
      </c>
      <c r="J14"/>
      <c r="K14" t="s">
        <v>287</v>
      </c>
      <c r="L14" s="30"/>
      <c r="M14" t="s">
        <v>69</v>
      </c>
      <c r="N14"/>
      <c r="O14" t="s">
        <v>60</v>
      </c>
      <c r="P14" s="30"/>
      <c r="U14" t="s">
        <v>94</v>
      </c>
      <c r="V14"/>
      <c r="W14" t="s">
        <v>123</v>
      </c>
      <c r="X14" s="30"/>
      <c r="AB14" s="30"/>
      <c r="AJ14" s="26"/>
      <c r="AK14" s="26"/>
      <c r="AL14" s="26"/>
      <c r="AM14" s="26"/>
      <c r="AN14" s="26"/>
      <c r="AO14" s="26"/>
      <c r="AP14" s="26"/>
      <c r="AQ14" s="26"/>
      <c r="AR14" s="26"/>
      <c r="AS14" s="26"/>
      <c r="AT14" s="26"/>
      <c r="AU14" s="26"/>
      <c r="AV14" s="26"/>
      <c r="AW14" s="5" t="s">
        <v>400</v>
      </c>
      <c r="AY14" s="5" t="s">
        <v>400</v>
      </c>
    </row>
    <row r="15" spans="1:55" x14ac:dyDescent="0.25">
      <c r="A15" t="s">
        <v>32</v>
      </c>
      <c r="B15"/>
      <c r="C15" t="s">
        <v>21</v>
      </c>
      <c r="D15" s="30"/>
      <c r="F15" s="5"/>
      <c r="I15" t="s">
        <v>49</v>
      </c>
      <c r="J15"/>
      <c r="K15" t="s">
        <v>287</v>
      </c>
      <c r="L15" s="30"/>
      <c r="M15" t="s">
        <v>70</v>
      </c>
      <c r="N15"/>
      <c r="O15" t="s">
        <v>61</v>
      </c>
      <c r="P15" s="30"/>
      <c r="U15" t="s">
        <v>124</v>
      </c>
      <c r="V15"/>
      <c r="W15" t="s">
        <v>124</v>
      </c>
      <c r="X15" s="30"/>
      <c r="AB15" s="30"/>
      <c r="AJ15" s="26"/>
      <c r="AK15" s="26"/>
      <c r="AL15" s="26"/>
      <c r="AM15" s="26"/>
      <c r="AN15" s="26"/>
      <c r="AO15" s="26"/>
      <c r="AP15" s="26"/>
      <c r="AQ15" s="26"/>
      <c r="AR15" s="26"/>
      <c r="AS15" s="26"/>
      <c r="AT15" s="26"/>
      <c r="AU15" s="26"/>
      <c r="AV15" s="26"/>
      <c r="AW15" s="5" t="s">
        <v>398</v>
      </c>
      <c r="AY15" s="5" t="s">
        <v>398</v>
      </c>
    </row>
    <row r="16" spans="1:55" x14ac:dyDescent="0.25">
      <c r="A16" t="s">
        <v>23</v>
      </c>
      <c r="B16" t="s">
        <v>312</v>
      </c>
      <c r="C16" t="s">
        <v>23</v>
      </c>
      <c r="D16" s="30"/>
      <c r="F16" s="5"/>
      <c r="I16" t="s">
        <v>50</v>
      </c>
      <c r="J16"/>
      <c r="K16" t="s">
        <v>220</v>
      </c>
      <c r="L16" s="30"/>
      <c r="M16" t="s">
        <v>275</v>
      </c>
      <c r="N16"/>
      <c r="O16" t="s">
        <v>276</v>
      </c>
      <c r="P16" s="30"/>
      <c r="U16" t="s">
        <v>98</v>
      </c>
      <c r="V16"/>
      <c r="W16" t="s">
        <v>124</v>
      </c>
      <c r="X16" s="30"/>
      <c r="AB16" s="30"/>
      <c r="AJ16" s="26"/>
      <c r="AK16" s="26"/>
      <c r="AL16" s="26"/>
      <c r="AM16" s="26"/>
      <c r="AN16" s="26"/>
      <c r="AO16" s="26"/>
      <c r="AP16" s="26"/>
      <c r="AQ16" s="26"/>
      <c r="AR16" s="26"/>
      <c r="AS16" s="26"/>
      <c r="AT16" s="26"/>
      <c r="AU16" s="26"/>
      <c r="AV16" s="26"/>
      <c r="AW16" s="5" t="s">
        <v>454</v>
      </c>
      <c r="AY16" s="5" t="s">
        <v>454</v>
      </c>
    </row>
    <row r="17" spans="1:51" x14ac:dyDescent="0.25">
      <c r="A17" t="s">
        <v>34</v>
      </c>
      <c r="B17"/>
      <c r="C17" t="s">
        <v>23</v>
      </c>
      <c r="D17" s="30"/>
      <c r="F17" s="5"/>
      <c r="I17" t="s">
        <v>80</v>
      </c>
      <c r="J17"/>
      <c r="K17" t="s">
        <v>287</v>
      </c>
      <c r="L17" s="30"/>
      <c r="M17" t="s">
        <v>277</v>
      </c>
      <c r="N17"/>
      <c r="O17" t="s">
        <v>278</v>
      </c>
      <c r="P17" s="30"/>
      <c r="U17" t="s">
        <v>125</v>
      </c>
      <c r="V17"/>
      <c r="W17" t="s">
        <v>125</v>
      </c>
      <c r="X17" s="30"/>
      <c r="AB17" s="30"/>
      <c r="AJ17" s="26"/>
      <c r="AK17" s="26"/>
      <c r="AL17" s="26"/>
      <c r="AM17" s="26"/>
      <c r="AN17" s="26"/>
      <c r="AO17" s="26"/>
      <c r="AP17" s="26"/>
      <c r="AQ17" s="26"/>
      <c r="AR17" s="26"/>
      <c r="AS17" s="26"/>
      <c r="AT17" s="26"/>
      <c r="AU17" s="26"/>
      <c r="AV17" s="26"/>
      <c r="AW17" s="5" t="s">
        <v>468</v>
      </c>
      <c r="AY17" s="5" t="s">
        <v>468</v>
      </c>
    </row>
    <row r="18" spans="1:51" x14ac:dyDescent="0.25">
      <c r="A18" t="s">
        <v>25</v>
      </c>
      <c r="B18"/>
      <c r="C18" t="s">
        <v>25</v>
      </c>
      <c r="D18" s="30"/>
      <c r="F18" s="5"/>
      <c r="I18" t="s">
        <v>82</v>
      </c>
      <c r="J18"/>
      <c r="K18" t="s">
        <v>287</v>
      </c>
      <c r="L18" s="30"/>
      <c r="M18" t="s">
        <v>221</v>
      </c>
      <c r="N18"/>
      <c r="O18" t="s">
        <v>288</v>
      </c>
      <c r="P18" s="30"/>
      <c r="U18" t="s">
        <v>95</v>
      </c>
      <c r="V18"/>
      <c r="W18" t="s">
        <v>125</v>
      </c>
      <c r="X18" s="30"/>
      <c r="AB18" s="30"/>
      <c r="AJ18" s="26"/>
      <c r="AK18" s="26"/>
      <c r="AL18" s="26"/>
      <c r="AM18" s="26"/>
      <c r="AN18" s="26"/>
      <c r="AO18" s="26"/>
      <c r="AP18" s="26"/>
      <c r="AQ18" s="26"/>
      <c r="AR18" s="26"/>
      <c r="AS18" s="26"/>
      <c r="AT18" s="26"/>
      <c r="AU18" s="26"/>
      <c r="AV18" s="26"/>
      <c r="AW18" s="5" t="s">
        <v>395</v>
      </c>
      <c r="AY18" s="5" t="s">
        <v>395</v>
      </c>
    </row>
    <row r="19" spans="1:51" x14ac:dyDescent="0.25">
      <c r="A19" t="s">
        <v>36</v>
      </c>
      <c r="B19"/>
      <c r="C19" t="s">
        <v>25</v>
      </c>
      <c r="D19" s="30"/>
      <c r="F19" s="5"/>
      <c r="I19" t="s">
        <v>192</v>
      </c>
      <c r="J19"/>
      <c r="K19" t="s">
        <v>220</v>
      </c>
      <c r="L19" s="30"/>
      <c r="M19" t="s">
        <v>276</v>
      </c>
      <c r="N19"/>
      <c r="O19" t="s">
        <v>276</v>
      </c>
      <c r="P19" s="30"/>
      <c r="U19" t="s">
        <v>92</v>
      </c>
      <c r="V19"/>
      <c r="W19" t="s">
        <v>92</v>
      </c>
      <c r="X19" s="30"/>
      <c r="AB19" s="30"/>
      <c r="AJ19" s="26"/>
      <c r="AK19" s="26"/>
      <c r="AL19" s="26"/>
      <c r="AM19" s="26"/>
      <c r="AN19" s="26"/>
      <c r="AO19" s="26"/>
      <c r="AP19" s="26"/>
      <c r="AQ19" s="26"/>
      <c r="AR19" s="26"/>
      <c r="AS19" s="26"/>
      <c r="AT19" s="26"/>
      <c r="AU19" s="26"/>
      <c r="AV19" s="26"/>
      <c r="AW19" s="5" t="s">
        <v>406</v>
      </c>
      <c r="AY19" s="5" t="s">
        <v>406</v>
      </c>
    </row>
    <row r="20" spans="1:51" x14ac:dyDescent="0.25">
      <c r="A20" t="s">
        <v>222</v>
      </c>
      <c r="B20"/>
      <c r="C20" t="s">
        <v>289</v>
      </c>
      <c r="D20" s="30"/>
      <c r="F20" s="5"/>
      <c r="I20" t="s">
        <v>79</v>
      </c>
      <c r="J20"/>
      <c r="K20" t="s">
        <v>290</v>
      </c>
      <c r="L20" s="30"/>
      <c r="M20" t="s">
        <v>278</v>
      </c>
      <c r="N20"/>
      <c r="O20" t="s">
        <v>278</v>
      </c>
      <c r="P20" s="30"/>
      <c r="U20" t="s">
        <v>96</v>
      </c>
      <c r="V20"/>
      <c r="W20" t="s">
        <v>96</v>
      </c>
      <c r="X20" s="30"/>
      <c r="AB20" s="30"/>
      <c r="AJ20" s="26"/>
      <c r="AK20" s="26"/>
      <c r="AL20" s="26"/>
      <c r="AM20" s="26"/>
      <c r="AN20" s="26"/>
      <c r="AO20" s="26"/>
      <c r="AP20" s="26"/>
      <c r="AQ20" s="26"/>
      <c r="AR20" s="26"/>
      <c r="AS20" s="26"/>
      <c r="AT20" s="26"/>
      <c r="AU20" s="26"/>
      <c r="AV20" s="26"/>
      <c r="AW20" s="5" t="s">
        <v>450</v>
      </c>
      <c r="AY20" s="5" t="s">
        <v>450</v>
      </c>
    </row>
    <row r="21" spans="1:51" x14ac:dyDescent="0.25">
      <c r="A21" t="s">
        <v>31</v>
      </c>
      <c r="B21"/>
      <c r="C21" t="s">
        <v>20</v>
      </c>
      <c r="D21" s="30"/>
      <c r="F21" s="5"/>
      <c r="I21" t="s">
        <v>83</v>
      </c>
      <c r="J21"/>
      <c r="K21" t="s">
        <v>291</v>
      </c>
      <c r="L21" s="30"/>
      <c r="M21" t="s">
        <v>55</v>
      </c>
      <c r="N21"/>
      <c r="O21" t="s">
        <v>55</v>
      </c>
      <c r="P21" s="30"/>
      <c r="U21" t="s">
        <v>97</v>
      </c>
      <c r="V21"/>
      <c r="W21" t="s">
        <v>97</v>
      </c>
      <c r="X21" s="30"/>
      <c r="AB21" s="30"/>
      <c r="AJ21" s="26"/>
      <c r="AK21" s="26"/>
      <c r="AL21" s="26"/>
      <c r="AM21" s="26"/>
      <c r="AN21" s="26"/>
      <c r="AO21" s="26"/>
      <c r="AP21" s="26"/>
      <c r="AQ21" s="26"/>
      <c r="AR21" s="26"/>
      <c r="AS21" s="26"/>
      <c r="AT21" s="26"/>
      <c r="AU21" s="26"/>
      <c r="AV21" s="26"/>
      <c r="AW21" s="5" t="s">
        <v>394</v>
      </c>
      <c r="AY21" s="5" t="s">
        <v>394</v>
      </c>
    </row>
    <row r="22" spans="1:51" x14ac:dyDescent="0.25">
      <c r="A22" t="s">
        <v>29</v>
      </c>
      <c r="B22"/>
      <c r="C22" t="s">
        <v>29</v>
      </c>
      <c r="D22" s="30"/>
      <c r="F22" s="5"/>
      <c r="I22" t="s">
        <v>48</v>
      </c>
      <c r="J22"/>
      <c r="K22" t="s">
        <v>290</v>
      </c>
      <c r="L22" s="30"/>
      <c r="M22" t="s">
        <v>74</v>
      </c>
      <c r="N22"/>
      <c r="O22" t="s">
        <v>55</v>
      </c>
      <c r="P22" s="30"/>
      <c r="U22" t="s">
        <v>225</v>
      </c>
      <c r="V22"/>
      <c r="W22" t="s">
        <v>226</v>
      </c>
      <c r="X22" s="30"/>
      <c r="AB22" s="30"/>
      <c r="AJ22" s="26"/>
      <c r="AK22" s="26"/>
      <c r="AL22" s="26"/>
      <c r="AM22" s="26"/>
      <c r="AN22" s="26"/>
      <c r="AO22" s="26"/>
      <c r="AP22" s="26"/>
      <c r="AQ22" s="26"/>
      <c r="AR22" s="26"/>
      <c r="AS22" s="26"/>
      <c r="AT22" s="26"/>
      <c r="AU22" s="26"/>
      <c r="AV22" s="26"/>
      <c r="AW22" s="5" t="s">
        <v>444</v>
      </c>
      <c r="AY22" s="5" t="s">
        <v>444</v>
      </c>
    </row>
    <row r="23" spans="1:51" x14ac:dyDescent="0.25">
      <c r="A23" t="s">
        <v>227</v>
      </c>
      <c r="B23"/>
      <c r="C23" t="s">
        <v>29</v>
      </c>
      <c r="D23" s="30"/>
      <c r="F23" s="5"/>
      <c r="I23" t="s">
        <v>228</v>
      </c>
      <c r="J23"/>
      <c r="K23" t="s">
        <v>286</v>
      </c>
      <c r="L23" s="30"/>
      <c r="M23" t="s">
        <v>57</v>
      </c>
      <c r="N23"/>
      <c r="O23" t="s">
        <v>57</v>
      </c>
      <c r="P23" s="30"/>
      <c r="U23" t="s">
        <v>223</v>
      </c>
      <c r="V23"/>
      <c r="W23" t="s">
        <v>224</v>
      </c>
      <c r="X23" s="30"/>
      <c r="AB23" s="30"/>
      <c r="AJ23" s="26"/>
      <c r="AK23" s="26"/>
      <c r="AL23" s="26"/>
      <c r="AM23" s="26"/>
      <c r="AN23" s="26"/>
      <c r="AO23" s="26"/>
      <c r="AP23" s="26"/>
      <c r="AQ23" s="26"/>
      <c r="AR23" s="26"/>
      <c r="AS23" s="26"/>
      <c r="AT23" s="26"/>
      <c r="AU23" s="26"/>
      <c r="AV23" s="26"/>
      <c r="AW23" s="5" t="s">
        <v>416</v>
      </c>
      <c r="AY23" s="5" t="s">
        <v>416</v>
      </c>
    </row>
    <row r="24" spans="1:51" x14ac:dyDescent="0.25">
      <c r="A24" t="s">
        <v>40</v>
      </c>
      <c r="B24"/>
      <c r="C24" t="s">
        <v>29</v>
      </c>
      <c r="D24" s="30"/>
      <c r="F24" s="5"/>
      <c r="I24" t="s">
        <v>229</v>
      </c>
      <c r="J24"/>
      <c r="K24" t="s">
        <v>291</v>
      </c>
      <c r="L24" s="30"/>
      <c r="M24" t="s">
        <v>66</v>
      </c>
      <c r="N24"/>
      <c r="O24" t="s">
        <v>57</v>
      </c>
      <c r="P24" s="30"/>
      <c r="U24" t="s">
        <v>99</v>
      </c>
      <c r="V24"/>
      <c r="W24" t="s">
        <v>99</v>
      </c>
      <c r="X24" s="30"/>
      <c r="AB24" s="30"/>
      <c r="AJ24" s="26"/>
      <c r="AK24" s="26"/>
      <c r="AL24" s="26"/>
      <c r="AM24" s="26"/>
      <c r="AN24" s="26"/>
      <c r="AO24" s="26"/>
      <c r="AP24" s="26"/>
      <c r="AQ24" s="26"/>
      <c r="AR24" s="26"/>
      <c r="AS24" s="26"/>
      <c r="AT24" s="26"/>
      <c r="AU24" s="26"/>
      <c r="AV24" s="26"/>
      <c r="AW24" s="5" t="s">
        <v>446</v>
      </c>
      <c r="AY24" s="5" t="s">
        <v>446</v>
      </c>
    </row>
    <row r="25" spans="1:51" x14ac:dyDescent="0.25">
      <c r="A25" t="s">
        <v>26</v>
      </c>
      <c r="B25"/>
      <c r="C25" t="s">
        <v>26</v>
      </c>
      <c r="D25" s="30"/>
      <c r="F25" s="5"/>
      <c r="I25" t="s">
        <v>52</v>
      </c>
      <c r="J25"/>
      <c r="K25" t="s">
        <v>291</v>
      </c>
      <c r="L25" s="30"/>
      <c r="M25" t="s">
        <v>73</v>
      </c>
      <c r="N25"/>
      <c r="O25" t="s">
        <v>64</v>
      </c>
      <c r="P25" s="30"/>
      <c r="X25" s="30"/>
      <c r="AB25" s="30"/>
      <c r="AJ25" s="26"/>
      <c r="AK25" s="26"/>
      <c r="AL25" s="26"/>
      <c r="AM25" s="26"/>
      <c r="AN25" s="26"/>
      <c r="AO25" s="26"/>
      <c r="AP25" s="26"/>
      <c r="AQ25" s="26"/>
      <c r="AR25" s="26"/>
      <c r="AS25" s="26"/>
      <c r="AT25" s="26"/>
      <c r="AU25" s="26"/>
      <c r="AV25" s="26"/>
      <c r="AW25" s="5" t="s">
        <v>420</v>
      </c>
      <c r="AY25" s="5" t="s">
        <v>420</v>
      </c>
    </row>
    <row r="26" spans="1:51" x14ac:dyDescent="0.25">
      <c r="A26" t="s">
        <v>37</v>
      </c>
      <c r="B26"/>
      <c r="C26" t="s">
        <v>26</v>
      </c>
      <c r="D26" s="30"/>
      <c r="F26" s="5"/>
      <c r="I26" t="s">
        <v>85</v>
      </c>
      <c r="J26"/>
      <c r="K26" t="s">
        <v>292</v>
      </c>
      <c r="L26" s="30"/>
      <c r="M26" t="s">
        <v>72</v>
      </c>
      <c r="N26"/>
      <c r="O26" t="s">
        <v>63</v>
      </c>
      <c r="P26" s="30"/>
      <c r="X26" s="30"/>
      <c r="AB26" s="30"/>
      <c r="AJ26" s="26"/>
      <c r="AK26" s="26"/>
      <c r="AL26" s="26"/>
      <c r="AM26" s="26"/>
      <c r="AN26" s="26"/>
      <c r="AO26" s="26"/>
      <c r="AP26" s="26"/>
      <c r="AQ26" s="26"/>
      <c r="AR26" s="26"/>
      <c r="AS26" s="26"/>
      <c r="AT26" s="26"/>
      <c r="AU26" s="26"/>
      <c r="AV26" s="26"/>
      <c r="AW26" s="5" t="s">
        <v>412</v>
      </c>
      <c r="AY26" s="5" t="s">
        <v>412</v>
      </c>
    </row>
    <row r="27" spans="1:51" x14ac:dyDescent="0.25">
      <c r="A27" t="s">
        <v>230</v>
      </c>
      <c r="B27"/>
      <c r="C27" t="s">
        <v>293</v>
      </c>
      <c r="D27" s="30"/>
      <c r="F27" s="5"/>
      <c r="I27" t="s">
        <v>54</v>
      </c>
      <c r="J27"/>
      <c r="K27" t="s">
        <v>292</v>
      </c>
      <c r="L27" s="30"/>
      <c r="M27" t="s">
        <v>64</v>
      </c>
      <c r="N27"/>
      <c r="O27" t="s">
        <v>64</v>
      </c>
      <c r="P27" s="30"/>
      <c r="X27" s="30"/>
      <c r="AB27" s="30"/>
      <c r="AJ27" s="26"/>
      <c r="AK27" s="26"/>
      <c r="AL27" s="26"/>
      <c r="AM27" s="26"/>
      <c r="AN27" s="26"/>
      <c r="AO27" s="26"/>
      <c r="AP27" s="26"/>
      <c r="AQ27" s="26"/>
      <c r="AR27" s="26"/>
      <c r="AS27" s="26"/>
      <c r="AT27" s="26"/>
      <c r="AU27" s="26"/>
      <c r="AV27" s="26"/>
      <c r="AW27" s="5" t="s">
        <v>403</v>
      </c>
      <c r="AY27" s="5" t="s">
        <v>403</v>
      </c>
    </row>
    <row r="28" spans="1:51" x14ac:dyDescent="0.25">
      <c r="A28" t="s">
        <v>24</v>
      </c>
      <c r="B28"/>
      <c r="C28" t="s">
        <v>24</v>
      </c>
      <c r="D28" s="30"/>
      <c r="F28" s="5"/>
      <c r="I28" t="s">
        <v>232</v>
      </c>
      <c r="J28"/>
      <c r="K28" t="s">
        <v>232</v>
      </c>
      <c r="L28" s="30"/>
      <c r="M28" t="s">
        <v>63</v>
      </c>
      <c r="N28"/>
      <c r="O28" t="s">
        <v>63</v>
      </c>
      <c r="P28" s="30"/>
      <c r="X28" s="30"/>
      <c r="AB28" s="30"/>
      <c r="AJ28" s="26"/>
      <c r="AK28" s="26"/>
      <c r="AL28" s="26"/>
      <c r="AM28" s="26"/>
      <c r="AN28" s="26"/>
      <c r="AO28" s="26"/>
      <c r="AP28" s="26"/>
      <c r="AQ28" s="26"/>
      <c r="AR28" s="26"/>
      <c r="AS28" s="26"/>
      <c r="AT28" s="26"/>
      <c r="AU28" s="26"/>
      <c r="AV28" s="26"/>
      <c r="AW28" s="5" t="s">
        <v>448</v>
      </c>
      <c r="AY28" s="5" t="s">
        <v>448</v>
      </c>
    </row>
    <row r="29" spans="1:51" x14ac:dyDescent="0.25">
      <c r="A29" t="s">
        <v>35</v>
      </c>
      <c r="B29"/>
      <c r="C29" t="s">
        <v>24</v>
      </c>
      <c r="D29" s="30"/>
      <c r="F29" s="5"/>
      <c r="I29" t="s">
        <v>233</v>
      </c>
      <c r="J29"/>
      <c r="K29" t="s">
        <v>232</v>
      </c>
      <c r="L29" s="30"/>
      <c r="M29" t="s">
        <v>65</v>
      </c>
      <c r="N29"/>
      <c r="O29" t="s">
        <v>56</v>
      </c>
      <c r="P29" s="30"/>
      <c r="X29" s="30"/>
      <c r="AB29" s="30"/>
      <c r="AJ29" s="26"/>
      <c r="AK29" s="26"/>
      <c r="AL29" s="26"/>
      <c r="AM29" s="26"/>
      <c r="AN29" s="26"/>
      <c r="AO29" s="26"/>
      <c r="AP29" s="26"/>
      <c r="AQ29" s="26"/>
      <c r="AR29" s="26"/>
      <c r="AS29" s="26"/>
      <c r="AT29" s="26"/>
      <c r="AU29" s="26"/>
      <c r="AV29" s="26"/>
      <c r="AW29" s="5" t="s">
        <v>389</v>
      </c>
      <c r="AY29" s="5" t="s">
        <v>389</v>
      </c>
    </row>
    <row r="30" spans="1:51" x14ac:dyDescent="0.25">
      <c r="A30" t="s">
        <v>27</v>
      </c>
      <c r="B30"/>
      <c r="C30" t="s">
        <v>27</v>
      </c>
      <c r="D30" s="30"/>
      <c r="F30" s="5"/>
      <c r="I30" t="s">
        <v>81</v>
      </c>
      <c r="J30"/>
      <c r="K30" t="s">
        <v>220</v>
      </c>
      <c r="L30" s="30"/>
      <c r="M30" t="s">
        <v>56</v>
      </c>
      <c r="N30" t="s">
        <v>312</v>
      </c>
      <c r="O30" t="s">
        <v>56</v>
      </c>
      <c r="P30" s="30"/>
      <c r="X30" s="30"/>
      <c r="AB30" s="30"/>
      <c r="AJ30" s="26"/>
      <c r="AK30" s="26"/>
      <c r="AL30" s="26"/>
      <c r="AM30" s="26"/>
      <c r="AN30" s="26"/>
      <c r="AO30" s="26"/>
      <c r="AP30" s="26"/>
      <c r="AQ30" s="26"/>
      <c r="AR30" s="26"/>
      <c r="AS30" s="26"/>
      <c r="AT30" s="26"/>
      <c r="AU30" s="26"/>
      <c r="AV30" s="26"/>
      <c r="AW30" s="5" t="s">
        <v>429</v>
      </c>
      <c r="AY30" s="5" t="s">
        <v>429</v>
      </c>
    </row>
    <row r="31" spans="1:51" x14ac:dyDescent="0.25">
      <c r="A31" t="s">
        <v>38</v>
      </c>
      <c r="B31"/>
      <c r="C31" t="s">
        <v>27</v>
      </c>
      <c r="D31" s="30"/>
      <c r="F31" s="5"/>
      <c r="I31" t="s">
        <v>234</v>
      </c>
      <c r="J31"/>
      <c r="K31" t="s">
        <v>234</v>
      </c>
      <c r="L31" s="30"/>
      <c r="M31" t="s">
        <v>231</v>
      </c>
      <c r="N31"/>
      <c r="O31" t="s">
        <v>294</v>
      </c>
      <c r="P31" s="30"/>
      <c r="X31" s="30"/>
      <c r="AB31" s="30"/>
      <c r="AJ31" s="26"/>
      <c r="AK31" s="26"/>
      <c r="AL31" s="26"/>
      <c r="AM31" s="26"/>
      <c r="AN31" s="26"/>
      <c r="AO31" s="26"/>
      <c r="AP31" s="26"/>
      <c r="AQ31" s="26"/>
      <c r="AR31" s="26"/>
      <c r="AS31" s="26"/>
      <c r="AT31" s="26"/>
      <c r="AU31" s="26"/>
      <c r="AV31" s="26"/>
      <c r="AW31" s="5" t="s">
        <v>415</v>
      </c>
      <c r="AY31" s="5" t="s">
        <v>415</v>
      </c>
    </row>
    <row r="32" spans="1:51" x14ac:dyDescent="0.25">
      <c r="A32" t="s">
        <v>235</v>
      </c>
      <c r="B32"/>
      <c r="C32" t="s">
        <v>295</v>
      </c>
      <c r="D32" s="30"/>
      <c r="F32" s="5"/>
      <c r="I32" t="s">
        <v>236</v>
      </c>
      <c r="J32"/>
      <c r="K32" t="s">
        <v>234</v>
      </c>
      <c r="L32" s="30"/>
      <c r="X32" s="30"/>
      <c r="AB32" s="30"/>
      <c r="AJ32" s="26"/>
      <c r="AK32" s="26"/>
      <c r="AL32" s="26"/>
      <c r="AM32" s="26"/>
      <c r="AN32" s="26"/>
      <c r="AO32" s="26"/>
      <c r="AP32" s="26"/>
      <c r="AQ32" s="26"/>
      <c r="AR32" s="26"/>
      <c r="AS32" s="26"/>
      <c r="AT32" s="26"/>
      <c r="AU32" s="26"/>
      <c r="AV32" s="26"/>
      <c r="AW32" s="5" t="s">
        <v>414</v>
      </c>
      <c r="AY32" s="5" t="s">
        <v>414</v>
      </c>
    </row>
    <row r="33" spans="1:51" x14ac:dyDescent="0.25">
      <c r="A33" t="s">
        <v>237</v>
      </c>
      <c r="B33"/>
      <c r="C33" t="s">
        <v>296</v>
      </c>
      <c r="D33" s="30"/>
      <c r="F33" s="5"/>
      <c r="I33" t="s">
        <v>238</v>
      </c>
      <c r="J33"/>
      <c r="K33" t="s">
        <v>239</v>
      </c>
      <c r="L33" s="30"/>
      <c r="X33" s="30"/>
      <c r="AB33" s="30"/>
      <c r="AJ33" s="26"/>
      <c r="AK33" s="26"/>
      <c r="AL33" s="26"/>
      <c r="AM33" s="26"/>
      <c r="AN33" s="26"/>
      <c r="AO33" s="26"/>
      <c r="AP33" s="26"/>
      <c r="AQ33" s="26"/>
      <c r="AR33" s="26"/>
      <c r="AS33" s="26"/>
      <c r="AT33" s="26"/>
      <c r="AU33" s="26"/>
      <c r="AV33" s="26"/>
      <c r="AW33" s="5" t="s">
        <v>443</v>
      </c>
      <c r="AY33" s="5" t="s">
        <v>443</v>
      </c>
    </row>
    <row r="34" spans="1:51" x14ac:dyDescent="0.25">
      <c r="A34" t="s">
        <v>28</v>
      </c>
      <c r="B34"/>
      <c r="C34" t="s">
        <v>28</v>
      </c>
      <c r="D34" s="30"/>
      <c r="F34" s="5"/>
      <c r="I34" t="s">
        <v>240</v>
      </c>
      <c r="J34"/>
      <c r="K34" t="s">
        <v>240</v>
      </c>
      <c r="L34" s="30"/>
      <c r="X34" s="30"/>
      <c r="AB34" s="30"/>
      <c r="AJ34" s="26"/>
      <c r="AK34" s="26"/>
      <c r="AL34" s="26"/>
      <c r="AM34" s="26"/>
      <c r="AN34" s="26"/>
      <c r="AO34" s="26"/>
      <c r="AP34" s="26"/>
      <c r="AQ34" s="26"/>
      <c r="AR34" s="26"/>
      <c r="AS34" s="26"/>
      <c r="AT34" s="26"/>
      <c r="AU34" s="26"/>
      <c r="AV34" s="26"/>
      <c r="AW34" s="5" t="s">
        <v>387</v>
      </c>
      <c r="AY34" s="5" t="s">
        <v>387</v>
      </c>
    </row>
    <row r="35" spans="1:51" x14ac:dyDescent="0.25">
      <c r="A35" t="s">
        <v>39</v>
      </c>
      <c r="B35"/>
      <c r="C35" t="s">
        <v>28</v>
      </c>
      <c r="D35" s="30"/>
      <c r="F35" s="5"/>
      <c r="I35" t="s">
        <v>241</v>
      </c>
      <c r="J35"/>
      <c r="K35" t="s">
        <v>240</v>
      </c>
      <c r="L35" s="30"/>
      <c r="X35" s="30"/>
      <c r="AB35" s="30"/>
      <c r="AJ35" s="26"/>
      <c r="AK35" s="26"/>
      <c r="AL35" s="26"/>
      <c r="AM35" s="26"/>
      <c r="AN35" s="26"/>
      <c r="AO35" s="26"/>
      <c r="AP35" s="26"/>
      <c r="AQ35" s="26"/>
      <c r="AR35" s="26"/>
      <c r="AS35" s="26"/>
      <c r="AT35" s="26"/>
      <c r="AU35" s="26"/>
      <c r="AV35" s="26"/>
      <c r="AW35" s="5" t="s">
        <v>390</v>
      </c>
      <c r="AY35" s="5" t="s">
        <v>390</v>
      </c>
    </row>
    <row r="36" spans="1:51" x14ac:dyDescent="0.25">
      <c r="A36" t="s">
        <v>22</v>
      </c>
      <c r="B36"/>
      <c r="C36" t="s">
        <v>22</v>
      </c>
      <c r="D36" s="30"/>
      <c r="F36" s="5"/>
      <c r="I36" t="s">
        <v>242</v>
      </c>
      <c r="J36"/>
      <c r="K36" t="s">
        <v>243</v>
      </c>
      <c r="L36" s="30"/>
      <c r="X36" s="30"/>
      <c r="AB36" s="30"/>
      <c r="AJ36" s="26"/>
      <c r="AK36" s="26"/>
      <c r="AL36" s="26"/>
      <c r="AM36" s="26"/>
      <c r="AN36" s="26"/>
      <c r="AO36" s="26"/>
      <c r="AP36" s="26"/>
      <c r="AQ36" s="26"/>
      <c r="AR36" s="26"/>
      <c r="AS36" s="26"/>
      <c r="AT36" s="26"/>
      <c r="AU36" s="26"/>
      <c r="AV36" s="26"/>
      <c r="AW36" s="5" t="s">
        <v>396</v>
      </c>
      <c r="AY36" s="5" t="s">
        <v>396</v>
      </c>
    </row>
    <row r="37" spans="1:51" x14ac:dyDescent="0.25">
      <c r="A37" t="s">
        <v>33</v>
      </c>
      <c r="B37"/>
      <c r="C37" t="s">
        <v>22</v>
      </c>
      <c r="D37" s="30"/>
      <c r="F37" s="5"/>
      <c r="I37" t="s">
        <v>243</v>
      </c>
      <c r="J37"/>
      <c r="K37" t="s">
        <v>243</v>
      </c>
      <c r="L37" s="30"/>
      <c r="X37" s="30"/>
      <c r="AB37" s="30"/>
      <c r="AJ37" s="26"/>
      <c r="AK37" s="26"/>
      <c r="AL37" s="26"/>
      <c r="AM37" s="26"/>
      <c r="AN37" s="26"/>
      <c r="AO37" s="26"/>
      <c r="AP37" s="26"/>
      <c r="AQ37" s="26"/>
      <c r="AR37" s="26"/>
      <c r="AS37" s="26"/>
      <c r="AT37" s="26"/>
      <c r="AU37" s="26"/>
      <c r="AV37" s="26"/>
      <c r="AW37" s="5" t="s">
        <v>393</v>
      </c>
      <c r="AY37" s="5" t="s">
        <v>393</v>
      </c>
    </row>
    <row r="38" spans="1:51" x14ac:dyDescent="0.25">
      <c r="A38" t="s">
        <v>244</v>
      </c>
      <c r="B38"/>
      <c r="C38" t="s">
        <v>297</v>
      </c>
      <c r="D38" s="30"/>
      <c r="F38" s="5"/>
      <c r="I38" t="s">
        <v>325</v>
      </c>
      <c r="J38"/>
      <c r="K38" t="s">
        <v>325</v>
      </c>
      <c r="L38" s="30"/>
      <c r="X38" s="30"/>
      <c r="AB38" s="30"/>
      <c r="AJ38" s="26"/>
      <c r="AK38" s="26"/>
      <c r="AL38" s="26"/>
      <c r="AM38" s="26"/>
      <c r="AN38" s="26"/>
      <c r="AO38" s="26"/>
      <c r="AP38" s="26"/>
      <c r="AQ38" s="26"/>
      <c r="AR38" s="26"/>
      <c r="AS38" s="26"/>
      <c r="AT38" s="26"/>
      <c r="AU38" s="26"/>
      <c r="AV38" s="26"/>
      <c r="AW38" s="5" t="s">
        <v>435</v>
      </c>
      <c r="AY38" s="5" t="s">
        <v>435</v>
      </c>
    </row>
    <row r="39" spans="1:51" x14ac:dyDescent="0.25">
      <c r="A39" t="s">
        <v>323</v>
      </c>
      <c r="B39"/>
      <c r="C39" t="s">
        <v>323</v>
      </c>
      <c r="D39" s="30"/>
      <c r="F39" s="5"/>
      <c r="I39" t="s">
        <v>326</v>
      </c>
      <c r="J39"/>
      <c r="K39" t="s">
        <v>325</v>
      </c>
      <c r="L39" s="30"/>
      <c r="X39" s="30"/>
      <c r="AB39" s="30"/>
      <c r="AJ39" s="26"/>
      <c r="AK39" s="26"/>
      <c r="AL39" s="26"/>
      <c r="AM39" s="26"/>
      <c r="AN39" s="26"/>
      <c r="AO39" s="26"/>
      <c r="AP39" s="26"/>
      <c r="AQ39" s="26"/>
      <c r="AR39" s="26"/>
      <c r="AS39" s="26"/>
      <c r="AT39" s="26"/>
      <c r="AU39" s="26"/>
      <c r="AV39" s="26"/>
      <c r="AW39" s="5" t="s">
        <v>425</v>
      </c>
      <c r="AY39" s="5" t="s">
        <v>425</v>
      </c>
    </row>
    <row r="40" spans="1:51" x14ac:dyDescent="0.25">
      <c r="A40" t="s">
        <v>324</v>
      </c>
      <c r="B40"/>
      <c r="C40" t="s">
        <v>323</v>
      </c>
      <c r="D40" s="30"/>
      <c r="F40" s="5"/>
      <c r="I40" t="s">
        <v>245</v>
      </c>
      <c r="J40"/>
      <c r="K40" t="s">
        <v>245</v>
      </c>
      <c r="L40" s="30"/>
      <c r="X40" s="30"/>
      <c r="AB40" s="30"/>
      <c r="AJ40" s="26"/>
      <c r="AK40" s="26"/>
      <c r="AL40" s="26"/>
      <c r="AM40" s="26"/>
      <c r="AN40" s="26"/>
      <c r="AO40" s="26"/>
      <c r="AP40" s="26"/>
      <c r="AQ40" s="26"/>
      <c r="AR40" s="26"/>
      <c r="AS40" s="26"/>
      <c r="AT40" s="26"/>
      <c r="AU40" s="26"/>
      <c r="AV40" s="26"/>
      <c r="AW40" s="5" t="s">
        <v>466</v>
      </c>
      <c r="AY40" s="5" t="s">
        <v>466</v>
      </c>
    </row>
    <row r="41" spans="1:51" x14ac:dyDescent="0.25">
      <c r="A41" t="s">
        <v>246</v>
      </c>
      <c r="B41"/>
      <c r="C41" t="s">
        <v>298</v>
      </c>
      <c r="D41" s="30"/>
      <c r="F41" s="5"/>
      <c r="I41" t="s">
        <v>247</v>
      </c>
      <c r="J41"/>
      <c r="K41" t="s">
        <v>245</v>
      </c>
      <c r="L41" s="30"/>
      <c r="X41" s="30"/>
      <c r="AB41" s="30"/>
      <c r="AJ41" s="26"/>
      <c r="AK41" s="26"/>
      <c r="AL41" s="26"/>
      <c r="AM41" s="26"/>
      <c r="AN41" s="26"/>
      <c r="AO41" s="26"/>
      <c r="AP41" s="26"/>
      <c r="AQ41" s="26"/>
      <c r="AR41" s="26"/>
      <c r="AS41" s="26"/>
      <c r="AT41" s="26"/>
      <c r="AU41" s="26"/>
      <c r="AV41" s="26"/>
      <c r="AW41" s="5" t="s">
        <v>460</v>
      </c>
      <c r="AY41" s="5" t="s">
        <v>460</v>
      </c>
    </row>
    <row r="42" spans="1:51" x14ac:dyDescent="0.25">
      <c r="A42" t="s">
        <v>104</v>
      </c>
      <c r="B42"/>
      <c r="C42" t="s">
        <v>19</v>
      </c>
      <c r="D42" s="30"/>
      <c r="F42" s="5"/>
      <c r="I42" t="s">
        <v>248</v>
      </c>
      <c r="J42"/>
      <c r="K42" t="s">
        <v>299</v>
      </c>
      <c r="L42" s="30"/>
      <c r="X42" s="30"/>
      <c r="AB42" s="30"/>
      <c r="AJ42" s="26"/>
      <c r="AK42" s="26"/>
      <c r="AL42" s="26"/>
      <c r="AM42" s="26"/>
      <c r="AN42" s="26"/>
      <c r="AO42" s="26"/>
      <c r="AP42" s="26"/>
      <c r="AQ42" s="26"/>
      <c r="AR42" s="26"/>
      <c r="AS42" s="26"/>
      <c r="AT42" s="26"/>
      <c r="AU42" s="26"/>
      <c r="AV42" s="26"/>
      <c r="AW42" s="5" t="s">
        <v>462</v>
      </c>
      <c r="AY42" s="5" t="s">
        <v>462</v>
      </c>
    </row>
    <row r="43" spans="1:51" x14ac:dyDescent="0.25">
      <c r="A43" t="s">
        <v>20</v>
      </c>
      <c r="B43"/>
      <c r="C43" t="s">
        <v>20</v>
      </c>
      <c r="D43" s="30"/>
      <c r="F43" s="5"/>
      <c r="I43" t="s">
        <v>249</v>
      </c>
      <c r="J43"/>
      <c r="K43" t="s">
        <v>299</v>
      </c>
      <c r="L43" s="30"/>
      <c r="X43" s="30"/>
      <c r="AB43" s="30"/>
      <c r="AJ43" s="26"/>
      <c r="AK43" s="26"/>
      <c r="AL43" s="26"/>
      <c r="AM43" s="26"/>
      <c r="AN43" s="26"/>
      <c r="AO43" s="26"/>
      <c r="AP43" s="26"/>
      <c r="AQ43" s="26"/>
      <c r="AR43" s="26"/>
      <c r="AS43" s="26"/>
      <c r="AT43" s="26"/>
      <c r="AU43" s="26"/>
      <c r="AV43" s="26"/>
      <c r="AW43" s="5" t="s">
        <v>401</v>
      </c>
      <c r="AY43" s="5" t="s">
        <v>401</v>
      </c>
    </row>
    <row r="44" spans="1:51" x14ac:dyDescent="0.25">
      <c r="A44" t="s">
        <v>197</v>
      </c>
      <c r="B44"/>
      <c r="C44" t="s">
        <v>300</v>
      </c>
      <c r="D44" s="30"/>
      <c r="F44" s="5"/>
      <c r="I44" t="s">
        <v>250</v>
      </c>
      <c r="J44"/>
      <c r="K44" t="s">
        <v>250</v>
      </c>
      <c r="L44" s="30"/>
      <c r="X44" s="30"/>
      <c r="AB44" s="30"/>
      <c r="AJ44" s="26"/>
      <c r="AK44" s="26"/>
      <c r="AL44" s="26"/>
      <c r="AM44" s="26"/>
      <c r="AN44" s="26"/>
      <c r="AO44" s="26"/>
      <c r="AP44" s="26"/>
      <c r="AQ44" s="26"/>
      <c r="AR44" s="26"/>
      <c r="AS44" s="26"/>
      <c r="AT44" s="26"/>
      <c r="AU44" s="26"/>
      <c r="AV44" s="26"/>
      <c r="AW44" s="5" t="s">
        <v>434</v>
      </c>
      <c r="AY44" s="5" t="s">
        <v>434</v>
      </c>
    </row>
    <row r="45" spans="1:51" x14ac:dyDescent="0.25">
      <c r="A45" t="s">
        <v>199</v>
      </c>
      <c r="B45"/>
      <c r="C45" t="s">
        <v>21</v>
      </c>
      <c r="D45" s="30"/>
      <c r="F45" s="5"/>
      <c r="I45" t="s">
        <v>251</v>
      </c>
      <c r="J45"/>
      <c r="K45" t="s">
        <v>250</v>
      </c>
      <c r="L45" s="30"/>
      <c r="X45" s="30"/>
      <c r="AB45" s="30"/>
      <c r="AJ45" s="26"/>
      <c r="AK45" s="26"/>
      <c r="AL45" s="26"/>
      <c r="AM45" s="26"/>
      <c r="AN45" s="26"/>
      <c r="AO45" s="26"/>
      <c r="AP45" s="26"/>
      <c r="AQ45" s="26"/>
      <c r="AR45" s="26"/>
      <c r="AS45" s="26"/>
      <c r="AT45" s="26"/>
      <c r="AU45" s="26"/>
      <c r="AV45" s="26"/>
      <c r="AW45" s="5" t="s">
        <v>426</v>
      </c>
      <c r="AY45" s="5" t="s">
        <v>426</v>
      </c>
    </row>
    <row r="46" spans="1:51" x14ac:dyDescent="0.25">
      <c r="A46" t="s">
        <v>198</v>
      </c>
      <c r="B46"/>
      <c r="C46" t="s">
        <v>19</v>
      </c>
      <c r="D46" s="30"/>
      <c r="F46" s="5"/>
      <c r="I46" t="s">
        <v>44</v>
      </c>
      <c r="J46"/>
      <c r="K46" t="s">
        <v>239</v>
      </c>
      <c r="L46" s="30"/>
      <c r="X46" s="30"/>
      <c r="AB46" s="30"/>
      <c r="AJ46" s="26"/>
      <c r="AK46" s="26"/>
      <c r="AL46" s="26"/>
      <c r="AM46" s="26"/>
      <c r="AN46" s="26"/>
      <c r="AO46" s="26"/>
      <c r="AP46" s="26"/>
      <c r="AQ46" s="26"/>
      <c r="AR46" s="26"/>
      <c r="AS46" s="26"/>
      <c r="AT46" s="26"/>
      <c r="AU46" s="26"/>
      <c r="AV46" s="26"/>
      <c r="AW46" s="5" t="s">
        <v>470</v>
      </c>
      <c r="AY46" s="5" t="s">
        <v>470</v>
      </c>
    </row>
    <row r="47" spans="1:51" x14ac:dyDescent="0.25">
      <c r="A47" t="s">
        <v>122</v>
      </c>
      <c r="B47"/>
      <c r="C47" t="s">
        <v>122</v>
      </c>
      <c r="D47" s="30"/>
      <c r="F47" s="5"/>
      <c r="I47" t="s">
        <v>239</v>
      </c>
      <c r="J47"/>
      <c r="K47" t="s">
        <v>239</v>
      </c>
      <c r="L47" s="30"/>
      <c r="X47" s="30"/>
      <c r="AB47" s="30"/>
      <c r="AJ47" s="26"/>
      <c r="AK47" s="26"/>
      <c r="AL47" s="26"/>
      <c r="AM47" s="26"/>
      <c r="AN47" s="26"/>
      <c r="AO47" s="26"/>
      <c r="AP47" s="26"/>
      <c r="AQ47" s="26"/>
      <c r="AR47" s="26"/>
      <c r="AS47" s="26"/>
      <c r="AT47" s="26"/>
      <c r="AU47" s="26"/>
      <c r="AV47" s="26"/>
      <c r="AW47" s="5" t="s">
        <v>463</v>
      </c>
      <c r="AY47" s="5" t="s">
        <v>463</v>
      </c>
    </row>
    <row r="48" spans="1:51" x14ac:dyDescent="0.25">
      <c r="A48" t="s">
        <v>74</v>
      </c>
      <c r="B48"/>
      <c r="C48" t="s">
        <v>122</v>
      </c>
      <c r="D48" s="30"/>
      <c r="F48" s="5"/>
      <c r="I48" t="s">
        <v>279</v>
      </c>
      <c r="J48" t="s">
        <v>312</v>
      </c>
      <c r="K48" t="s">
        <v>301</v>
      </c>
      <c r="L48" s="30"/>
      <c r="X48" s="30"/>
      <c r="AB48" s="30"/>
      <c r="AJ48" s="26"/>
      <c r="AK48" s="26"/>
      <c r="AL48" s="26"/>
      <c r="AM48" s="26"/>
      <c r="AN48" s="26"/>
      <c r="AO48" s="26"/>
      <c r="AP48" s="26"/>
      <c r="AQ48" s="26"/>
      <c r="AR48" s="26"/>
      <c r="AS48" s="26"/>
      <c r="AT48" s="26"/>
      <c r="AU48" s="26"/>
      <c r="AV48" s="26"/>
      <c r="AW48" s="5" t="s">
        <v>392</v>
      </c>
      <c r="AY48" s="5" t="s">
        <v>392</v>
      </c>
    </row>
    <row r="49" spans="1:51" x14ac:dyDescent="0.25">
      <c r="A49" t="s">
        <v>19</v>
      </c>
      <c r="B49"/>
      <c r="C49" t="s">
        <v>19</v>
      </c>
      <c r="D49" s="30"/>
      <c r="F49" s="5"/>
      <c r="I49" t="s">
        <v>75</v>
      </c>
      <c r="J49"/>
      <c r="K49" t="s">
        <v>239</v>
      </c>
      <c r="L49" s="30"/>
      <c r="X49" s="30"/>
      <c r="AB49" s="30"/>
      <c r="AJ49" s="26"/>
      <c r="AK49" s="26"/>
      <c r="AL49" s="26"/>
      <c r="AM49" s="26"/>
      <c r="AN49" s="26"/>
      <c r="AO49" s="26"/>
      <c r="AP49" s="26"/>
      <c r="AQ49" s="26"/>
      <c r="AR49" s="26"/>
      <c r="AS49" s="26"/>
      <c r="AT49" s="26"/>
      <c r="AU49" s="26"/>
      <c r="AV49" s="26"/>
      <c r="AW49" s="5" t="s">
        <v>383</v>
      </c>
      <c r="AY49" s="5" t="s">
        <v>383</v>
      </c>
    </row>
    <row r="50" spans="1:51" x14ac:dyDescent="0.25">
      <c r="A50" t="s">
        <v>30</v>
      </c>
      <c r="B50"/>
      <c r="C50" t="s">
        <v>19</v>
      </c>
      <c r="D50" s="30"/>
      <c r="F50" s="5"/>
      <c r="I50" t="s">
        <v>280</v>
      </c>
      <c r="J50"/>
      <c r="K50" t="s">
        <v>301</v>
      </c>
      <c r="L50" s="30"/>
      <c r="X50" s="30"/>
      <c r="AB50" s="30"/>
      <c r="AJ50" s="26"/>
      <c r="AK50" s="26"/>
      <c r="AL50" s="26"/>
      <c r="AM50" s="26"/>
      <c r="AN50" s="26"/>
      <c r="AO50" s="26"/>
      <c r="AP50" s="26"/>
      <c r="AQ50" s="26"/>
      <c r="AR50" s="26"/>
      <c r="AS50" s="26"/>
      <c r="AT50" s="26"/>
      <c r="AU50" s="26"/>
      <c r="AV50" s="26"/>
      <c r="AW50" s="5" t="s">
        <v>451</v>
      </c>
      <c r="AY50" s="5" t="s">
        <v>451</v>
      </c>
    </row>
    <row r="51" spans="1:51" x14ac:dyDescent="0.25">
      <c r="A51" t="s">
        <v>195</v>
      </c>
      <c r="B51"/>
      <c r="C51" t="s">
        <v>21</v>
      </c>
      <c r="D51" s="30"/>
      <c r="F51" s="5"/>
      <c r="I51" t="s">
        <v>193</v>
      </c>
      <c r="J51"/>
      <c r="K51" t="s">
        <v>239</v>
      </c>
      <c r="L51" s="30"/>
      <c r="X51" s="30"/>
      <c r="AB51" s="30"/>
      <c r="AJ51" s="26"/>
      <c r="AK51" s="26"/>
      <c r="AL51" s="26"/>
      <c r="AM51" s="26"/>
      <c r="AN51" s="26"/>
      <c r="AO51" s="26"/>
      <c r="AP51" s="26"/>
      <c r="AQ51" s="26"/>
      <c r="AR51" s="26"/>
      <c r="AS51" s="26"/>
      <c r="AT51" s="26"/>
      <c r="AU51" s="26"/>
      <c r="AV51" s="26"/>
      <c r="AW51" s="5" t="s">
        <v>477</v>
      </c>
      <c r="AY51" s="5" t="s">
        <v>477</v>
      </c>
    </row>
    <row r="52" spans="1:51" x14ac:dyDescent="0.25">
      <c r="A52" t="s">
        <v>196</v>
      </c>
      <c r="B52"/>
      <c r="C52" t="s">
        <v>19</v>
      </c>
      <c r="D52" s="30"/>
      <c r="F52" s="5"/>
      <c r="I52" t="s">
        <v>55</v>
      </c>
      <c r="J52"/>
      <c r="K52" t="s">
        <v>302</v>
      </c>
      <c r="L52" s="30"/>
      <c r="X52" s="30"/>
      <c r="AB52" s="30"/>
      <c r="AJ52" s="26"/>
      <c r="AK52" s="26"/>
      <c r="AL52" s="26"/>
      <c r="AM52" s="26"/>
      <c r="AN52" s="26"/>
      <c r="AO52" s="26"/>
      <c r="AP52" s="26"/>
      <c r="AQ52" s="26"/>
      <c r="AR52" s="26"/>
      <c r="AS52" s="26"/>
      <c r="AT52" s="26"/>
      <c r="AU52" s="26"/>
      <c r="AV52" s="26"/>
      <c r="AW52" s="5" t="s">
        <v>440</v>
      </c>
      <c r="AY52" s="5" t="s">
        <v>440</v>
      </c>
    </row>
    <row r="53" spans="1:51" x14ac:dyDescent="0.25">
      <c r="A53" t="s">
        <v>105</v>
      </c>
      <c r="B53"/>
      <c r="C53" t="s">
        <v>19</v>
      </c>
      <c r="D53" s="30"/>
      <c r="F53" s="5"/>
      <c r="I53" t="s">
        <v>74</v>
      </c>
      <c r="J53"/>
      <c r="K53" t="s">
        <v>302</v>
      </c>
      <c r="L53" s="30"/>
      <c r="X53" s="30"/>
      <c r="AB53" s="30"/>
      <c r="AJ53" s="26"/>
      <c r="AK53" s="26"/>
      <c r="AL53" s="26"/>
      <c r="AM53" s="26"/>
      <c r="AN53" s="26"/>
      <c r="AO53" s="26"/>
      <c r="AP53" s="26"/>
      <c r="AQ53" s="26"/>
      <c r="AR53" s="26"/>
      <c r="AS53" s="26"/>
      <c r="AT53" s="26"/>
      <c r="AU53" s="26"/>
      <c r="AV53" s="26"/>
      <c r="AW53" s="5" t="s">
        <v>409</v>
      </c>
      <c r="AY53" s="5" t="s">
        <v>409</v>
      </c>
    </row>
    <row r="54" spans="1:51" x14ac:dyDescent="0.25">
      <c r="A54" t="s">
        <v>43</v>
      </c>
      <c r="B54"/>
      <c r="C54" t="s">
        <v>27</v>
      </c>
      <c r="D54" s="30"/>
      <c r="F54" s="5"/>
      <c r="I54" t="s">
        <v>252</v>
      </c>
      <c r="J54"/>
      <c r="K54" t="s">
        <v>303</v>
      </c>
      <c r="L54" s="30"/>
      <c r="X54" s="30"/>
      <c r="AB54" s="30"/>
      <c r="AJ54" s="26"/>
      <c r="AK54" s="26"/>
      <c r="AL54" s="26"/>
      <c r="AM54" s="26"/>
      <c r="AN54" s="26"/>
      <c r="AO54" s="26"/>
      <c r="AP54" s="26"/>
      <c r="AQ54" s="26"/>
      <c r="AR54" s="26"/>
      <c r="AS54" s="26"/>
      <c r="AT54" s="26"/>
      <c r="AU54" s="26"/>
      <c r="AV54" s="26"/>
      <c r="AW54" s="5" t="s">
        <v>464</v>
      </c>
      <c r="AY54" s="5" t="s">
        <v>464</v>
      </c>
    </row>
    <row r="55" spans="1:51" x14ac:dyDescent="0.25">
      <c r="A55" t="s">
        <v>42</v>
      </c>
      <c r="B55"/>
      <c r="C55" t="s">
        <v>21</v>
      </c>
      <c r="D55" s="30"/>
      <c r="F55" s="5"/>
      <c r="I55" t="s">
        <v>253</v>
      </c>
      <c r="J55"/>
      <c r="K55" t="s">
        <v>252</v>
      </c>
      <c r="L55" s="30"/>
      <c r="X55" s="30"/>
      <c r="AB55" s="30"/>
      <c r="AJ55" s="26"/>
      <c r="AK55" s="26"/>
      <c r="AL55" s="26"/>
      <c r="AM55" s="26"/>
      <c r="AN55" s="26"/>
      <c r="AO55" s="26"/>
      <c r="AP55" s="26"/>
      <c r="AQ55" s="26"/>
      <c r="AR55" s="26"/>
      <c r="AS55" s="26"/>
      <c r="AT55" s="26"/>
      <c r="AU55" s="26"/>
      <c r="AV55" s="26"/>
      <c r="AW55" s="5" t="s">
        <v>391</v>
      </c>
      <c r="AY55" s="5" t="s">
        <v>391</v>
      </c>
    </row>
    <row r="56" spans="1:51" x14ac:dyDescent="0.25">
      <c r="A56" t="s">
        <v>41</v>
      </c>
      <c r="B56"/>
      <c r="C56" t="s">
        <v>19</v>
      </c>
      <c r="D56" s="30"/>
      <c r="F56" s="5"/>
      <c r="I56" t="s">
        <v>254</v>
      </c>
      <c r="J56"/>
      <c r="K56" t="s">
        <v>254</v>
      </c>
      <c r="L56" s="30"/>
      <c r="X56" s="30"/>
      <c r="AB56" s="30"/>
      <c r="AJ56" s="26"/>
      <c r="AK56" s="26"/>
      <c r="AL56" s="26"/>
      <c r="AM56" s="26"/>
      <c r="AN56" s="26"/>
      <c r="AO56" s="26"/>
      <c r="AP56" s="26"/>
      <c r="AQ56" s="26"/>
      <c r="AR56" s="26"/>
      <c r="AS56" s="26"/>
      <c r="AT56" s="26"/>
      <c r="AU56" s="26"/>
      <c r="AV56" s="26"/>
      <c r="AW56" s="5" t="s">
        <v>428</v>
      </c>
      <c r="AY56" s="5" t="s">
        <v>428</v>
      </c>
    </row>
    <row r="57" spans="1:51" x14ac:dyDescent="0.25">
      <c r="B57" s="5"/>
      <c r="D57" s="30"/>
      <c r="F57" s="5"/>
      <c r="I57" t="s">
        <v>53</v>
      </c>
      <c r="J57"/>
      <c r="K57" t="s">
        <v>304</v>
      </c>
      <c r="L57" s="30"/>
      <c r="X57" s="30"/>
      <c r="AB57" s="30"/>
      <c r="AJ57" s="26"/>
      <c r="AK57" s="26"/>
      <c r="AL57" s="26"/>
      <c r="AM57" s="26"/>
      <c r="AN57" s="26"/>
      <c r="AO57" s="26"/>
      <c r="AP57" s="26"/>
      <c r="AQ57" s="26"/>
      <c r="AR57" s="26"/>
      <c r="AS57" s="26"/>
      <c r="AT57" s="26"/>
      <c r="AU57" s="26"/>
      <c r="AV57" s="26"/>
      <c r="AW57" s="5" t="s">
        <v>411</v>
      </c>
      <c r="AY57" s="5" t="s">
        <v>411</v>
      </c>
    </row>
    <row r="58" spans="1:51" x14ac:dyDescent="0.25">
      <c r="B58" s="5"/>
      <c r="D58" s="30"/>
      <c r="F58" s="5"/>
      <c r="I58" t="s">
        <v>84</v>
      </c>
      <c r="J58"/>
      <c r="K58" t="s">
        <v>304</v>
      </c>
      <c r="L58" s="30"/>
      <c r="X58" s="30"/>
      <c r="AB58" s="30"/>
      <c r="AJ58" s="26"/>
      <c r="AK58" s="26"/>
      <c r="AL58" s="26"/>
      <c r="AM58" s="26"/>
      <c r="AN58" s="26"/>
      <c r="AO58" s="26"/>
      <c r="AP58" s="26"/>
      <c r="AQ58" s="26"/>
      <c r="AR58" s="26"/>
      <c r="AS58" s="26"/>
      <c r="AT58" s="26"/>
      <c r="AU58" s="26"/>
      <c r="AV58" s="26"/>
      <c r="AW58" s="5" t="s">
        <v>397</v>
      </c>
      <c r="AY58" s="5" t="s">
        <v>397</v>
      </c>
    </row>
    <row r="59" spans="1:51" x14ac:dyDescent="0.25">
      <c r="B59" s="5"/>
      <c r="D59" s="30"/>
      <c r="F59" s="5"/>
      <c r="I59" t="s">
        <v>191</v>
      </c>
      <c r="J59"/>
      <c r="K59" t="s">
        <v>304</v>
      </c>
      <c r="L59" s="30"/>
      <c r="X59" s="30"/>
      <c r="AB59" s="30"/>
      <c r="AJ59" s="26"/>
      <c r="AK59" s="26"/>
      <c r="AL59" s="26"/>
      <c r="AM59" s="26"/>
      <c r="AN59" s="26"/>
      <c r="AO59" s="26"/>
      <c r="AP59" s="26"/>
      <c r="AQ59" s="26"/>
      <c r="AR59" s="26"/>
      <c r="AS59" s="26"/>
      <c r="AT59" s="26"/>
      <c r="AU59" s="26"/>
      <c r="AV59" s="26"/>
      <c r="AW59" s="5" t="s">
        <v>473</v>
      </c>
      <c r="AY59" s="5" t="s">
        <v>473</v>
      </c>
    </row>
    <row r="60" spans="1:51" x14ac:dyDescent="0.25">
      <c r="B60" s="5"/>
      <c r="D60" s="30"/>
      <c r="F60" s="5"/>
      <c r="I60" t="s">
        <v>189</v>
      </c>
      <c r="J60"/>
      <c r="K60" t="s">
        <v>220</v>
      </c>
      <c r="L60" s="30"/>
      <c r="X60" s="30"/>
      <c r="AB60" s="30"/>
      <c r="AJ60" s="26"/>
      <c r="AK60" s="26"/>
      <c r="AL60" s="26"/>
      <c r="AM60" s="26"/>
      <c r="AN60" s="26"/>
      <c r="AO60" s="26"/>
      <c r="AP60" s="26"/>
      <c r="AQ60" s="26"/>
      <c r="AR60" s="26"/>
      <c r="AS60" s="26"/>
      <c r="AT60" s="26"/>
      <c r="AU60" s="26"/>
      <c r="AV60" s="26"/>
      <c r="AW60" s="5" t="s">
        <v>461</v>
      </c>
      <c r="AY60" s="5" t="s">
        <v>461</v>
      </c>
    </row>
    <row r="61" spans="1:51" x14ac:dyDescent="0.25">
      <c r="B61" s="5"/>
      <c r="D61" s="30"/>
      <c r="F61" s="5"/>
      <c r="I61" t="s">
        <v>255</v>
      </c>
      <c r="J61"/>
      <c r="K61" t="s">
        <v>254</v>
      </c>
      <c r="L61" s="30"/>
      <c r="X61" s="30"/>
      <c r="AB61" s="30"/>
      <c r="AJ61" s="26"/>
      <c r="AK61" s="26"/>
      <c r="AL61" s="26"/>
      <c r="AM61" s="26"/>
      <c r="AN61" s="26"/>
      <c r="AO61" s="26"/>
      <c r="AP61" s="26"/>
      <c r="AQ61" s="26"/>
      <c r="AR61" s="26"/>
      <c r="AS61" s="26"/>
      <c r="AT61" s="26"/>
      <c r="AU61" s="26"/>
      <c r="AV61" s="26"/>
      <c r="AW61" s="5" t="s">
        <v>459</v>
      </c>
      <c r="AY61" s="5" t="s">
        <v>459</v>
      </c>
    </row>
    <row r="62" spans="1:51" x14ac:dyDescent="0.25">
      <c r="B62" s="5"/>
      <c r="D62" s="30"/>
      <c r="F62" s="5"/>
      <c r="I62" t="s">
        <v>256</v>
      </c>
      <c r="J62"/>
      <c r="K62" t="s">
        <v>256</v>
      </c>
      <c r="L62" s="30"/>
      <c r="X62" s="30"/>
      <c r="AB62" s="30"/>
      <c r="AJ62" s="26"/>
      <c r="AK62" s="26"/>
      <c r="AL62" s="26"/>
      <c r="AM62" s="26"/>
      <c r="AN62" s="26"/>
      <c r="AO62" s="26"/>
      <c r="AP62" s="26"/>
      <c r="AQ62" s="26"/>
      <c r="AR62" s="26"/>
      <c r="AS62" s="26"/>
      <c r="AT62" s="26"/>
      <c r="AU62" s="26"/>
      <c r="AV62" s="26"/>
      <c r="AW62" s="5" t="s">
        <v>478</v>
      </c>
      <c r="AY62" s="5" t="s">
        <v>478</v>
      </c>
    </row>
    <row r="63" spans="1:51" x14ac:dyDescent="0.25">
      <c r="B63" s="5"/>
      <c r="D63" s="30"/>
      <c r="F63" s="5"/>
      <c r="I63" t="s">
        <v>257</v>
      </c>
      <c r="J63"/>
      <c r="K63" t="s">
        <v>256</v>
      </c>
      <c r="L63" s="30"/>
      <c r="X63" s="30"/>
      <c r="AB63" s="30"/>
      <c r="AJ63" s="26"/>
      <c r="AK63" s="26"/>
      <c r="AL63" s="26"/>
      <c r="AM63" s="26"/>
      <c r="AN63" s="26"/>
      <c r="AO63" s="26"/>
      <c r="AP63" s="26"/>
      <c r="AQ63" s="26"/>
      <c r="AR63" s="26"/>
      <c r="AS63" s="26"/>
      <c r="AT63" s="26"/>
      <c r="AU63" s="26"/>
      <c r="AV63" s="26"/>
      <c r="AW63" s="5" t="s">
        <v>430</v>
      </c>
      <c r="AY63" s="5" t="s">
        <v>430</v>
      </c>
    </row>
    <row r="64" spans="1:51" x14ac:dyDescent="0.25">
      <c r="B64" s="5"/>
      <c r="D64" s="30"/>
      <c r="F64" s="5"/>
      <c r="I64" t="s">
        <v>258</v>
      </c>
      <c r="J64"/>
      <c r="K64" t="s">
        <v>258</v>
      </c>
      <c r="L64" s="30"/>
      <c r="X64" s="30"/>
      <c r="AB64" s="30"/>
      <c r="AJ64" s="26"/>
      <c r="AK64" s="26"/>
      <c r="AL64" s="26"/>
      <c r="AM64" s="26"/>
      <c r="AN64" s="26"/>
      <c r="AO64" s="26"/>
      <c r="AP64" s="26"/>
      <c r="AQ64" s="26"/>
      <c r="AR64" s="26"/>
      <c r="AS64" s="26"/>
      <c r="AT64" s="26"/>
      <c r="AU64" s="26"/>
      <c r="AV64" s="26"/>
      <c r="AW64" s="5" t="s">
        <v>476</v>
      </c>
      <c r="AY64" s="5" t="s">
        <v>476</v>
      </c>
    </row>
    <row r="65" spans="2:51" x14ac:dyDescent="0.25">
      <c r="B65" s="5"/>
      <c r="D65" s="30"/>
      <c r="F65" s="5"/>
      <c r="I65" t="s">
        <v>259</v>
      </c>
      <c r="J65"/>
      <c r="K65" t="s">
        <v>258</v>
      </c>
      <c r="L65" s="30"/>
      <c r="X65" s="30"/>
      <c r="AB65" s="30"/>
      <c r="AJ65" s="26"/>
      <c r="AK65" s="26"/>
      <c r="AL65" s="26"/>
      <c r="AM65" s="26"/>
      <c r="AN65" s="26"/>
      <c r="AO65" s="26"/>
      <c r="AP65" s="26"/>
      <c r="AQ65" s="26"/>
      <c r="AR65" s="26"/>
      <c r="AS65" s="26"/>
      <c r="AT65" s="26"/>
      <c r="AU65" s="26"/>
      <c r="AV65" s="26"/>
      <c r="AW65" s="5" t="s">
        <v>407</v>
      </c>
      <c r="AY65" s="5" t="s">
        <v>407</v>
      </c>
    </row>
    <row r="66" spans="2:51" x14ac:dyDescent="0.25">
      <c r="B66" s="5"/>
      <c r="D66" s="30"/>
      <c r="F66" s="5"/>
      <c r="I66" t="s">
        <v>46</v>
      </c>
      <c r="J66"/>
      <c r="K66" t="s">
        <v>305</v>
      </c>
      <c r="L66" s="30"/>
      <c r="X66" s="30"/>
      <c r="AB66" s="30"/>
      <c r="AJ66" s="26"/>
      <c r="AK66" s="26"/>
      <c r="AL66" s="26"/>
      <c r="AM66" s="26"/>
      <c r="AN66" s="26"/>
      <c r="AO66" s="26"/>
      <c r="AP66" s="26"/>
      <c r="AQ66" s="26"/>
      <c r="AR66" s="26"/>
      <c r="AS66" s="26"/>
      <c r="AT66" s="26"/>
      <c r="AU66" s="26"/>
      <c r="AV66" s="26"/>
      <c r="AW66" s="5" t="s">
        <v>458</v>
      </c>
      <c r="AY66" s="5" t="s">
        <v>458</v>
      </c>
    </row>
    <row r="67" spans="2:51" x14ac:dyDescent="0.25">
      <c r="B67" s="5"/>
      <c r="D67" s="30"/>
      <c r="F67" s="5"/>
      <c r="I67" t="s">
        <v>77</v>
      </c>
      <c r="J67"/>
      <c r="K67" t="s">
        <v>305</v>
      </c>
      <c r="L67" s="30"/>
      <c r="X67" s="30"/>
      <c r="AB67" s="30"/>
      <c r="AJ67" s="26"/>
      <c r="AK67" s="26"/>
      <c r="AL67" s="26"/>
      <c r="AM67" s="26"/>
      <c r="AN67" s="26"/>
      <c r="AO67" s="26"/>
      <c r="AP67" s="26"/>
      <c r="AQ67" s="26"/>
      <c r="AR67" s="26"/>
      <c r="AS67" s="26"/>
      <c r="AT67" s="26"/>
      <c r="AU67" s="26"/>
      <c r="AV67" s="26"/>
      <c r="AW67" s="5" t="s">
        <v>413</v>
      </c>
      <c r="AY67" s="5" t="s">
        <v>413</v>
      </c>
    </row>
    <row r="68" spans="2:51" x14ac:dyDescent="0.25">
      <c r="B68" s="5"/>
      <c r="D68" s="30"/>
      <c r="F68" s="5"/>
      <c r="I68" t="s">
        <v>260</v>
      </c>
      <c r="J68"/>
      <c r="K68" t="s">
        <v>260</v>
      </c>
      <c r="L68" s="30"/>
      <c r="X68" s="30"/>
      <c r="AB68" s="30"/>
      <c r="AJ68" s="26"/>
      <c r="AK68" s="26"/>
      <c r="AL68" s="26"/>
      <c r="AM68" s="26"/>
      <c r="AN68" s="26"/>
      <c r="AO68" s="26"/>
      <c r="AP68" s="26"/>
      <c r="AQ68" s="26"/>
      <c r="AR68" s="26"/>
      <c r="AS68" s="26"/>
      <c r="AT68" s="26"/>
      <c r="AU68" s="26"/>
      <c r="AV68" s="26"/>
      <c r="AW68" s="5" t="s">
        <v>424</v>
      </c>
      <c r="AY68" s="5" t="s">
        <v>424</v>
      </c>
    </row>
    <row r="69" spans="2:51" x14ac:dyDescent="0.25">
      <c r="B69" s="5"/>
      <c r="D69" s="30"/>
      <c r="F69" s="5"/>
      <c r="I69" t="s">
        <v>261</v>
      </c>
      <c r="J69"/>
      <c r="K69" t="s">
        <v>260</v>
      </c>
      <c r="L69" s="30"/>
      <c r="X69" s="30"/>
      <c r="AB69" s="30"/>
      <c r="AJ69" s="26"/>
      <c r="AK69" s="26"/>
      <c r="AL69" s="26"/>
      <c r="AM69" s="26"/>
      <c r="AN69" s="26"/>
      <c r="AO69" s="26"/>
      <c r="AP69" s="26"/>
      <c r="AQ69" s="26"/>
      <c r="AR69" s="26"/>
      <c r="AS69" s="26"/>
      <c r="AT69" s="26"/>
      <c r="AU69" s="26"/>
      <c r="AV69" s="26"/>
      <c r="AW69" s="5" t="s">
        <v>408</v>
      </c>
      <c r="AY69" s="5" t="s">
        <v>408</v>
      </c>
    </row>
    <row r="70" spans="2:51" x14ac:dyDescent="0.25">
      <c r="B70" s="5"/>
      <c r="D70" s="30"/>
      <c r="F70" s="5"/>
      <c r="I70" t="s">
        <v>47</v>
      </c>
      <c r="J70"/>
      <c r="K70" t="s">
        <v>306</v>
      </c>
      <c r="L70" s="30"/>
      <c r="X70" s="30"/>
      <c r="AB70" s="30"/>
      <c r="AJ70" s="26"/>
      <c r="AK70" s="26"/>
      <c r="AL70" s="26"/>
      <c r="AM70" s="26"/>
      <c r="AN70" s="26"/>
      <c r="AO70" s="26"/>
      <c r="AP70" s="26"/>
      <c r="AQ70" s="26"/>
      <c r="AR70" s="26"/>
      <c r="AS70" s="26"/>
      <c r="AT70" s="26"/>
      <c r="AU70" s="26"/>
      <c r="AV70" s="26"/>
      <c r="AW70" s="5" t="s">
        <v>399</v>
      </c>
      <c r="AY70" s="5" t="s">
        <v>399</v>
      </c>
    </row>
    <row r="71" spans="2:51" x14ac:dyDescent="0.25">
      <c r="B71" s="5"/>
      <c r="D71" s="30"/>
      <c r="F71" s="5"/>
      <c r="I71" t="s">
        <v>78</v>
      </c>
      <c r="J71"/>
      <c r="K71" t="s">
        <v>306</v>
      </c>
      <c r="L71" s="30"/>
      <c r="X71" s="30"/>
      <c r="AB71" s="30"/>
      <c r="AJ71" s="26"/>
      <c r="AK71" s="26"/>
      <c r="AL71" s="26"/>
      <c r="AM71" s="26"/>
      <c r="AN71" s="26"/>
      <c r="AO71" s="26"/>
      <c r="AP71" s="26"/>
      <c r="AQ71" s="26"/>
      <c r="AR71" s="26"/>
      <c r="AS71" s="26"/>
      <c r="AT71" s="26"/>
      <c r="AU71" s="26"/>
      <c r="AV71" s="26"/>
      <c r="AW71" s="5" t="s">
        <v>442</v>
      </c>
      <c r="AY71" s="5" t="s">
        <v>442</v>
      </c>
    </row>
    <row r="72" spans="2:51" x14ac:dyDescent="0.25">
      <c r="B72" s="5"/>
      <c r="D72" s="30"/>
      <c r="F72" s="5"/>
      <c r="I72" t="s">
        <v>262</v>
      </c>
      <c r="J72"/>
      <c r="K72" t="s">
        <v>307</v>
      </c>
      <c r="L72" s="30"/>
      <c r="X72" s="30"/>
      <c r="AB72" s="30"/>
      <c r="AJ72" s="26"/>
      <c r="AK72" s="26"/>
      <c r="AL72" s="26"/>
      <c r="AM72" s="26"/>
      <c r="AN72" s="26"/>
      <c r="AO72" s="26"/>
      <c r="AP72" s="26"/>
      <c r="AQ72" s="26"/>
      <c r="AR72" s="26"/>
      <c r="AS72" s="26"/>
      <c r="AT72" s="26"/>
      <c r="AU72" s="26"/>
      <c r="AV72" s="26"/>
      <c r="AW72" s="5" t="s">
        <v>471</v>
      </c>
      <c r="AY72" s="5" t="s">
        <v>471</v>
      </c>
    </row>
    <row r="73" spans="2:51" x14ac:dyDescent="0.25">
      <c r="B73" s="5"/>
      <c r="D73" s="30"/>
      <c r="F73" s="5"/>
      <c r="I73" t="s">
        <v>263</v>
      </c>
      <c r="J73"/>
      <c r="K73" t="s">
        <v>307</v>
      </c>
      <c r="L73" s="30"/>
      <c r="X73" s="30"/>
      <c r="AB73" s="30"/>
      <c r="AJ73" s="26"/>
      <c r="AK73" s="26"/>
      <c r="AL73" s="26"/>
      <c r="AM73" s="26"/>
      <c r="AN73" s="26"/>
      <c r="AO73" s="26"/>
      <c r="AP73" s="26"/>
      <c r="AQ73" s="26"/>
      <c r="AR73" s="26"/>
      <c r="AS73" s="26"/>
      <c r="AT73" s="26"/>
      <c r="AU73" s="26"/>
      <c r="AV73" s="26"/>
      <c r="AW73" s="5" t="s">
        <v>438</v>
      </c>
      <c r="AY73" s="5" t="s">
        <v>438</v>
      </c>
    </row>
    <row r="74" spans="2:51" x14ac:dyDescent="0.25">
      <c r="B74" s="5"/>
      <c r="D74" s="30"/>
      <c r="F74" s="5"/>
      <c r="I74" t="s">
        <v>264</v>
      </c>
      <c r="J74"/>
      <c r="K74" t="s">
        <v>48</v>
      </c>
      <c r="L74" s="30"/>
      <c r="X74" s="30"/>
      <c r="AB74" s="30"/>
      <c r="AJ74" s="26"/>
      <c r="AK74" s="26"/>
      <c r="AL74" s="26"/>
      <c r="AM74" s="26"/>
      <c r="AN74" s="26"/>
      <c r="AO74" s="26"/>
      <c r="AP74" s="26"/>
      <c r="AQ74" s="26"/>
      <c r="AR74" s="26"/>
      <c r="AS74" s="26"/>
      <c r="AT74" s="26"/>
      <c r="AU74" s="26"/>
      <c r="AV74" s="26"/>
      <c r="AW74" s="5" t="s">
        <v>469</v>
      </c>
      <c r="AY74" s="5" t="s">
        <v>469</v>
      </c>
    </row>
    <row r="75" spans="2:51" x14ac:dyDescent="0.25">
      <c r="B75" s="5"/>
      <c r="D75" s="30"/>
      <c r="F75" s="5"/>
      <c r="I75" t="s">
        <v>265</v>
      </c>
      <c r="J75"/>
      <c r="K75" t="s">
        <v>291</v>
      </c>
      <c r="L75" s="30"/>
      <c r="X75" s="30"/>
      <c r="AB75" s="30"/>
      <c r="AJ75" s="26"/>
      <c r="AK75" s="26"/>
      <c r="AL75" s="26"/>
      <c r="AM75" s="26"/>
      <c r="AN75" s="26"/>
      <c r="AO75" s="26"/>
      <c r="AP75" s="26"/>
      <c r="AQ75" s="26"/>
      <c r="AR75" s="26"/>
      <c r="AS75" s="26"/>
      <c r="AT75" s="26"/>
      <c r="AU75" s="26"/>
      <c r="AV75" s="26"/>
      <c r="AW75" s="5" t="s">
        <v>418</v>
      </c>
      <c r="AY75" s="5" t="s">
        <v>418</v>
      </c>
    </row>
    <row r="76" spans="2:51" x14ac:dyDescent="0.25">
      <c r="B76" s="5"/>
      <c r="D76" s="30"/>
      <c r="F76" s="5"/>
      <c r="I76" t="s">
        <v>266</v>
      </c>
      <c r="J76"/>
      <c r="K76" t="s">
        <v>281</v>
      </c>
      <c r="L76" s="30"/>
      <c r="X76" s="30"/>
      <c r="AB76" s="30"/>
      <c r="AJ76" s="26"/>
      <c r="AK76" s="26"/>
      <c r="AL76" s="26"/>
      <c r="AM76" s="26"/>
      <c r="AN76" s="26"/>
      <c r="AO76" s="26"/>
      <c r="AP76" s="26"/>
      <c r="AQ76" s="26"/>
      <c r="AR76" s="26"/>
      <c r="AS76" s="26"/>
      <c r="AT76" s="26"/>
      <c r="AU76" s="26"/>
      <c r="AV76" s="26"/>
      <c r="AW76" s="5" t="s">
        <v>437</v>
      </c>
      <c r="AY76" s="5" t="s">
        <v>437</v>
      </c>
    </row>
    <row r="77" spans="2:51" x14ac:dyDescent="0.25">
      <c r="B77" s="5"/>
      <c r="D77" s="30"/>
      <c r="F77" s="5"/>
      <c r="I77" t="s">
        <v>190</v>
      </c>
      <c r="J77"/>
      <c r="K77" t="s">
        <v>48</v>
      </c>
      <c r="L77" s="30"/>
      <c r="X77" s="30"/>
      <c r="AB77" s="30"/>
      <c r="AJ77" s="26"/>
      <c r="AK77" s="26"/>
      <c r="AL77" s="26"/>
      <c r="AM77" s="26"/>
      <c r="AN77" s="26"/>
      <c r="AO77" s="26"/>
      <c r="AP77" s="26"/>
      <c r="AQ77" s="26"/>
      <c r="AR77" s="26"/>
      <c r="AS77" s="26"/>
      <c r="AT77" s="26"/>
      <c r="AU77" s="26"/>
      <c r="AV77" s="26"/>
      <c r="AW77" s="5" t="s">
        <v>439</v>
      </c>
      <c r="AY77" s="5" t="s">
        <v>439</v>
      </c>
    </row>
    <row r="78" spans="2:51" x14ac:dyDescent="0.25">
      <c r="B78" s="5"/>
      <c r="D78" s="30"/>
      <c r="F78" s="5"/>
      <c r="L78" s="30"/>
      <c r="X78" s="30"/>
      <c r="AB78" s="30"/>
      <c r="AJ78" s="26"/>
      <c r="AK78" s="26"/>
      <c r="AL78" s="26"/>
      <c r="AM78" s="26"/>
      <c r="AN78" s="26"/>
      <c r="AO78" s="26"/>
      <c r="AP78" s="26"/>
      <c r="AQ78" s="26"/>
      <c r="AR78" s="26"/>
      <c r="AS78" s="26"/>
      <c r="AT78" s="26"/>
      <c r="AU78" s="26"/>
      <c r="AV78" s="26"/>
      <c r="AW78" s="5" t="s">
        <v>388</v>
      </c>
      <c r="AY78" s="5" t="s">
        <v>388</v>
      </c>
    </row>
    <row r="79" spans="2:51" x14ac:dyDescent="0.25">
      <c r="B79" s="5"/>
      <c r="D79" s="30"/>
      <c r="F79" s="5"/>
      <c r="L79" s="30"/>
      <c r="X79" s="30"/>
      <c r="AB79" s="30"/>
      <c r="AJ79" s="26"/>
      <c r="AK79" s="26"/>
      <c r="AL79" s="26"/>
      <c r="AM79" s="26"/>
      <c r="AN79" s="26"/>
      <c r="AO79" s="26"/>
      <c r="AP79" s="26"/>
      <c r="AQ79" s="26"/>
      <c r="AR79" s="26"/>
      <c r="AS79" s="26"/>
      <c r="AT79" s="26"/>
      <c r="AU79" s="26"/>
      <c r="AV79" s="26"/>
      <c r="AW79" s="5" t="s">
        <v>421</v>
      </c>
      <c r="AY79" s="5" t="s">
        <v>421</v>
      </c>
    </row>
    <row r="80" spans="2:51" x14ac:dyDescent="0.25">
      <c r="B80" s="5"/>
      <c r="D80" s="30"/>
      <c r="F80" s="5"/>
      <c r="L80" s="30"/>
      <c r="X80" s="30"/>
      <c r="AB80" s="30"/>
      <c r="AJ80" s="26"/>
      <c r="AK80" s="26"/>
      <c r="AL80" s="26"/>
      <c r="AM80" s="26"/>
      <c r="AN80" s="26"/>
      <c r="AO80" s="26"/>
      <c r="AP80" s="26"/>
      <c r="AQ80" s="26"/>
      <c r="AR80" s="26"/>
      <c r="AS80" s="26"/>
      <c r="AT80" s="26"/>
      <c r="AU80" s="26"/>
      <c r="AV80" s="26"/>
      <c r="AW80" s="5" t="s">
        <v>385</v>
      </c>
      <c r="AY80" s="5" t="s">
        <v>385</v>
      </c>
    </row>
    <row r="81" spans="49:51" x14ac:dyDescent="0.25">
      <c r="AW81" s="5" t="s">
        <v>447</v>
      </c>
      <c r="AY81" s="5" t="s">
        <v>447</v>
      </c>
    </row>
    <row r="82" spans="49:51" x14ac:dyDescent="0.25">
      <c r="AW82" s="5" t="s">
        <v>455</v>
      </c>
      <c r="AY82" s="5" t="s">
        <v>455</v>
      </c>
    </row>
    <row r="83" spans="49:51" x14ac:dyDescent="0.25">
      <c r="AW83" s="5" t="s">
        <v>456</v>
      </c>
      <c r="AY83" s="5" t="s">
        <v>456</v>
      </c>
    </row>
    <row r="84" spans="49:51" x14ac:dyDescent="0.25">
      <c r="AW84" s="5" t="s">
        <v>417</v>
      </c>
      <c r="AY84" s="5" t="s">
        <v>417</v>
      </c>
    </row>
    <row r="85" spans="49:51" x14ac:dyDescent="0.25">
      <c r="AW85" s="5" t="s">
        <v>432</v>
      </c>
      <c r="AY85" s="5" t="s">
        <v>432</v>
      </c>
    </row>
    <row r="86" spans="49:51" x14ac:dyDescent="0.25">
      <c r="AW86" s="5" t="s">
        <v>422</v>
      </c>
      <c r="AY86" s="5" t="s">
        <v>422</v>
      </c>
    </row>
    <row r="87" spans="49:51" x14ac:dyDescent="0.25">
      <c r="AW87" s="5" t="s">
        <v>419</v>
      </c>
      <c r="AY87" s="5" t="s">
        <v>419</v>
      </c>
    </row>
    <row r="88" spans="49:51" x14ac:dyDescent="0.25">
      <c r="AW88" s="5" t="s">
        <v>384</v>
      </c>
      <c r="AY88" s="5" t="s">
        <v>384</v>
      </c>
    </row>
    <row r="89" spans="49:51" x14ac:dyDescent="0.25">
      <c r="AW89" s="5" t="s">
        <v>465</v>
      </c>
      <c r="AY89" s="5" t="s">
        <v>465</v>
      </c>
    </row>
    <row r="90" spans="49:51" x14ac:dyDescent="0.25">
      <c r="AW90" s="5" t="s">
        <v>404</v>
      </c>
      <c r="AY90" s="5" t="s">
        <v>404</v>
      </c>
    </row>
    <row r="91" spans="49:51" x14ac:dyDescent="0.25">
      <c r="AW91" s="5" t="s">
        <v>472</v>
      </c>
      <c r="AY91" s="5" t="s">
        <v>472</v>
      </c>
    </row>
    <row r="92" spans="49:51" x14ac:dyDescent="0.25">
      <c r="AW92" s="5" t="s">
        <v>457</v>
      </c>
      <c r="AY92" s="5" t="s">
        <v>457</v>
      </c>
    </row>
    <row r="93" spans="49:51" x14ac:dyDescent="0.25">
      <c r="AW93" s="5" t="s">
        <v>433</v>
      </c>
      <c r="AY93" s="5" t="s">
        <v>433</v>
      </c>
    </row>
    <row r="94" spans="49:51" x14ac:dyDescent="0.25">
      <c r="AW94" s="5" t="s">
        <v>475</v>
      </c>
      <c r="AY94" s="5" t="s">
        <v>475</v>
      </c>
    </row>
    <row r="95" spans="49:51" x14ac:dyDescent="0.25">
      <c r="AW95" s="5" t="s">
        <v>445</v>
      </c>
      <c r="AY95" s="5" t="s">
        <v>445</v>
      </c>
    </row>
    <row r="96" spans="49:51" x14ac:dyDescent="0.25">
      <c r="AW96" s="5" t="s">
        <v>453</v>
      </c>
      <c r="AY96" s="5" t="s">
        <v>453</v>
      </c>
    </row>
    <row r="97" spans="49:51" x14ac:dyDescent="0.25">
      <c r="AW97" s="5" t="s">
        <v>449</v>
      </c>
      <c r="AY97" s="5" t="s">
        <v>449</v>
      </c>
    </row>
    <row r="98" spans="49:51" x14ac:dyDescent="0.25">
      <c r="AW98" s="5" t="s">
        <v>410</v>
      </c>
      <c r="AY98" s="5" t="s">
        <v>410</v>
      </c>
    </row>
  </sheetData>
  <mergeCells count="14">
    <mergeCell ref="BA1:BC1"/>
    <mergeCell ref="AW1:AY1"/>
    <mergeCell ref="AS1:AU1"/>
    <mergeCell ref="U1:W1"/>
    <mergeCell ref="A1:C1"/>
    <mergeCell ref="E1:G1"/>
    <mergeCell ref="I1:K1"/>
    <mergeCell ref="M1:O1"/>
    <mergeCell ref="Q1:S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303"/>
  <sheetViews>
    <sheetView workbookViewId="0">
      <selection activeCell="D2" sqref="D2:D97"/>
    </sheetView>
  </sheetViews>
  <sheetFormatPr defaultRowHeight="15" x14ac:dyDescent="0.25"/>
  <cols>
    <col min="4" max="4" width="10.85546875" bestFit="1" customWidth="1"/>
    <col min="5" max="5" width="15" customWidth="1"/>
    <col min="6" max="6" width="67.42578125" customWidth="1"/>
  </cols>
  <sheetData>
    <row r="1" spans="1:10" ht="45.6" customHeight="1" x14ac:dyDescent="0.25">
      <c r="A1" s="5" t="s">
        <v>489</v>
      </c>
      <c r="B1" s="5" t="s">
        <v>490</v>
      </c>
      <c r="C1" s="5" t="s">
        <v>491</v>
      </c>
      <c r="D1" s="5" t="s">
        <v>492</v>
      </c>
      <c r="E1" s="42" t="s">
        <v>358</v>
      </c>
      <c r="F1" s="39" t="s">
        <v>359</v>
      </c>
      <c r="G1" s="5"/>
      <c r="H1" s="5"/>
      <c r="I1" s="5"/>
      <c r="J1" s="5"/>
    </row>
    <row r="2" spans="1:10" x14ac:dyDescent="0.25">
      <c r="A2" s="5" t="s">
        <v>493</v>
      </c>
      <c r="B2" s="5" t="s">
        <v>383</v>
      </c>
      <c r="C2" s="5" t="s">
        <v>494</v>
      </c>
      <c r="D2" s="54" t="s">
        <v>590</v>
      </c>
      <c r="E2" s="26" t="b">
        <f>IF(B2="", "",COUNTIF(RawData!G:G,B2)&gt;0)</f>
        <v>0</v>
      </c>
      <c r="G2" s="5"/>
      <c r="H2" s="5"/>
      <c r="I2" s="5"/>
      <c r="J2" s="5"/>
    </row>
    <row r="3" spans="1:10" x14ac:dyDescent="0.25">
      <c r="A3" s="5" t="s">
        <v>495</v>
      </c>
      <c r="B3" s="5" t="s">
        <v>384</v>
      </c>
      <c r="C3" s="5" t="s">
        <v>494</v>
      </c>
      <c r="D3" s="54" t="s">
        <v>590</v>
      </c>
      <c r="E3" s="26" t="b">
        <f>IF(B3="", "",COUNTIF(RawData!G:G,B3)&gt;0)</f>
        <v>0</v>
      </c>
      <c r="F3" s="26"/>
      <c r="G3" s="5"/>
      <c r="H3" s="5"/>
      <c r="I3" s="5"/>
      <c r="J3" s="5"/>
    </row>
    <row r="4" spans="1:10" x14ac:dyDescent="0.25">
      <c r="A4" s="5" t="s">
        <v>496</v>
      </c>
      <c r="B4" s="5" t="s">
        <v>385</v>
      </c>
      <c r="C4" s="5" t="s">
        <v>494</v>
      </c>
      <c r="D4" s="54" t="s">
        <v>590</v>
      </c>
      <c r="E4" s="26" t="b">
        <f>IF(B4="", "",COUNTIF(RawData!G:G,B4)&gt;0)</f>
        <v>0</v>
      </c>
      <c r="F4" s="26"/>
      <c r="G4" s="5"/>
      <c r="H4" s="5"/>
      <c r="I4" s="5"/>
      <c r="J4" s="5"/>
    </row>
    <row r="5" spans="1:10" x14ac:dyDescent="0.25">
      <c r="A5" s="5" t="s">
        <v>497</v>
      </c>
      <c r="B5" s="5" t="s">
        <v>386</v>
      </c>
      <c r="C5" s="5" t="s">
        <v>494</v>
      </c>
      <c r="D5" s="54" t="s">
        <v>590</v>
      </c>
      <c r="E5" s="26" t="b">
        <f>IF(B5="", "",COUNTIF(RawData!G:G,B5)&gt;0)</f>
        <v>0</v>
      </c>
      <c r="F5" s="26"/>
      <c r="G5" s="5"/>
      <c r="H5" s="5"/>
      <c r="I5" s="5"/>
      <c r="J5" s="5"/>
    </row>
    <row r="6" spans="1:10" x14ac:dyDescent="0.25">
      <c r="A6" s="5" t="s">
        <v>498</v>
      </c>
      <c r="B6" s="5" t="s">
        <v>387</v>
      </c>
      <c r="C6" s="5" t="s">
        <v>494</v>
      </c>
      <c r="D6" s="54" t="s">
        <v>590</v>
      </c>
      <c r="E6" s="26" t="b">
        <f>IF(B6="", "",COUNTIF(RawData!G:G,B6)&gt;0)</f>
        <v>0</v>
      </c>
      <c r="F6" s="26"/>
      <c r="G6" s="5"/>
      <c r="H6" s="5"/>
      <c r="I6" s="5"/>
      <c r="J6" s="5"/>
    </row>
    <row r="7" spans="1:10" x14ac:dyDescent="0.25">
      <c r="A7" s="5" t="s">
        <v>499</v>
      </c>
      <c r="B7" s="5" t="s">
        <v>388</v>
      </c>
      <c r="C7" s="5" t="s">
        <v>494</v>
      </c>
      <c r="D7" s="54" t="s">
        <v>590</v>
      </c>
      <c r="E7" s="26" t="b">
        <f>IF(B7="", "",COUNTIF(RawData!G:G,B7)&gt;0)</f>
        <v>0</v>
      </c>
      <c r="F7" s="26"/>
      <c r="G7" s="5"/>
      <c r="H7" s="5"/>
      <c r="I7" s="5"/>
      <c r="J7" s="5"/>
    </row>
    <row r="8" spans="1:10" x14ac:dyDescent="0.25">
      <c r="A8" s="5" t="s">
        <v>500</v>
      </c>
      <c r="B8" s="5" t="s">
        <v>389</v>
      </c>
      <c r="C8" s="5" t="s">
        <v>494</v>
      </c>
      <c r="D8" s="54" t="s">
        <v>590</v>
      </c>
      <c r="E8" s="26" t="b">
        <f>IF(B8="", "",COUNTIF(RawData!G:G,B8)&gt;0)</f>
        <v>0</v>
      </c>
      <c r="F8" s="26"/>
      <c r="G8" s="5"/>
      <c r="H8" s="5"/>
      <c r="I8" s="5"/>
      <c r="J8" s="5"/>
    </row>
    <row r="9" spans="1:10" x14ac:dyDescent="0.25">
      <c r="A9" s="5" t="s">
        <v>501</v>
      </c>
      <c r="B9" s="5" t="s">
        <v>390</v>
      </c>
      <c r="C9" s="5" t="s">
        <v>494</v>
      </c>
      <c r="D9" s="54" t="s">
        <v>590</v>
      </c>
      <c r="E9" s="26" t="b">
        <f>IF(B9="", "",COUNTIF(RawData!G:G,B9)&gt;0)</f>
        <v>0</v>
      </c>
      <c r="F9" s="26"/>
      <c r="G9" s="5"/>
      <c r="H9" s="5"/>
      <c r="I9" s="5"/>
      <c r="J9" s="5"/>
    </row>
    <row r="10" spans="1:10" x14ac:dyDescent="0.25">
      <c r="A10" s="5" t="s">
        <v>502</v>
      </c>
      <c r="B10" s="5" t="s">
        <v>391</v>
      </c>
      <c r="C10" s="5" t="s">
        <v>494</v>
      </c>
      <c r="D10" s="54" t="s">
        <v>590</v>
      </c>
      <c r="E10" s="26" t="b">
        <f>IF(B10="", "",COUNTIF(RawData!G:G,B10)&gt;0)</f>
        <v>0</v>
      </c>
      <c r="F10" s="26"/>
      <c r="G10" s="5"/>
      <c r="H10" s="5"/>
      <c r="I10" s="5"/>
      <c r="J10" s="5"/>
    </row>
    <row r="11" spans="1:10" x14ac:dyDescent="0.25">
      <c r="A11" s="5" t="s">
        <v>503</v>
      </c>
      <c r="B11" s="5" t="s">
        <v>392</v>
      </c>
      <c r="C11" s="5" t="s">
        <v>494</v>
      </c>
      <c r="D11" s="54" t="s">
        <v>590</v>
      </c>
      <c r="E11" s="26" t="b">
        <f>IF(B11="", "",COUNTIF(RawData!G:G,B11)&gt;0)</f>
        <v>0</v>
      </c>
      <c r="F11" s="26"/>
      <c r="G11" s="5"/>
      <c r="H11" s="5"/>
      <c r="I11" s="5"/>
      <c r="J11" s="5"/>
    </row>
    <row r="12" spans="1:10" x14ac:dyDescent="0.25">
      <c r="A12" s="5" t="s">
        <v>504</v>
      </c>
      <c r="B12" s="5" t="s">
        <v>393</v>
      </c>
      <c r="C12" s="5" t="s">
        <v>494</v>
      </c>
      <c r="D12" s="54" t="s">
        <v>590</v>
      </c>
      <c r="E12" s="26" t="b">
        <f>IF(B12="", "",COUNTIF(RawData!G:G,B12)&gt;0)</f>
        <v>0</v>
      </c>
      <c r="F12" s="26"/>
      <c r="G12" s="5"/>
      <c r="H12" s="5"/>
      <c r="I12" s="5"/>
      <c r="J12" s="5"/>
    </row>
    <row r="13" spans="1:10" x14ac:dyDescent="0.25">
      <c r="A13" s="5" t="s">
        <v>505</v>
      </c>
      <c r="B13" s="5" t="s">
        <v>394</v>
      </c>
      <c r="C13" s="5" t="s">
        <v>494</v>
      </c>
      <c r="D13" s="54" t="s">
        <v>590</v>
      </c>
      <c r="E13" s="26" t="b">
        <f>IF(B13="", "",COUNTIF(RawData!G:G,B13)&gt;0)</f>
        <v>0</v>
      </c>
      <c r="F13" s="26"/>
      <c r="G13" s="5"/>
      <c r="H13" s="5"/>
      <c r="I13" s="5"/>
      <c r="J13" s="5"/>
    </row>
    <row r="14" spans="1:10" x14ac:dyDescent="0.25">
      <c r="A14" s="5" t="s">
        <v>506</v>
      </c>
      <c r="B14" s="5" t="s">
        <v>395</v>
      </c>
      <c r="C14" s="5" t="s">
        <v>494</v>
      </c>
      <c r="D14" s="54" t="s">
        <v>590</v>
      </c>
      <c r="E14" s="26" t="b">
        <f>IF(B14="", "",COUNTIF(RawData!G:G,B14)&gt;0)</f>
        <v>0</v>
      </c>
      <c r="F14" s="26"/>
      <c r="G14" s="5"/>
      <c r="H14" s="5"/>
      <c r="I14" s="5"/>
      <c r="J14" s="5"/>
    </row>
    <row r="15" spans="1:10" x14ac:dyDescent="0.25">
      <c r="A15" s="5" t="s">
        <v>507</v>
      </c>
      <c r="B15" s="5" t="s">
        <v>396</v>
      </c>
      <c r="C15" s="5" t="s">
        <v>494</v>
      </c>
      <c r="D15" s="54" t="s">
        <v>590</v>
      </c>
      <c r="E15" s="26" t="b">
        <f>IF(B15="", "",COUNTIF(RawData!G:G,B15)&gt;0)</f>
        <v>0</v>
      </c>
      <c r="F15" s="26"/>
      <c r="G15" s="5"/>
      <c r="H15" s="5"/>
      <c r="I15" s="5"/>
      <c r="J15" s="5"/>
    </row>
    <row r="16" spans="1:10" x14ac:dyDescent="0.25">
      <c r="A16" s="5" t="s">
        <v>508</v>
      </c>
      <c r="B16" s="5" t="s">
        <v>397</v>
      </c>
      <c r="C16" s="5" t="s">
        <v>494</v>
      </c>
      <c r="D16" s="54" t="s">
        <v>590</v>
      </c>
      <c r="E16" s="26" t="b">
        <f>IF(B16="", "",COUNTIF(RawData!G:G,B16)&gt;0)</f>
        <v>0</v>
      </c>
      <c r="F16" s="26"/>
      <c r="G16" s="5"/>
      <c r="H16" s="5"/>
      <c r="I16" s="5"/>
      <c r="J16" s="5"/>
    </row>
    <row r="17" spans="1:10" x14ac:dyDescent="0.25">
      <c r="A17" s="5" t="s">
        <v>509</v>
      </c>
      <c r="B17" s="5" t="s">
        <v>398</v>
      </c>
      <c r="C17" s="5" t="s">
        <v>494</v>
      </c>
      <c r="D17" s="54" t="s">
        <v>590</v>
      </c>
      <c r="E17" s="26" t="b">
        <f>IF(B17="", "",COUNTIF(RawData!G:G,B17)&gt;0)</f>
        <v>0</v>
      </c>
      <c r="F17" s="26"/>
      <c r="G17" s="5"/>
      <c r="H17" s="5"/>
      <c r="I17" s="5"/>
      <c r="J17" s="5"/>
    </row>
    <row r="18" spans="1:10" x14ac:dyDescent="0.25">
      <c r="A18" s="5" t="s">
        <v>510</v>
      </c>
      <c r="B18" s="5" t="s">
        <v>399</v>
      </c>
      <c r="C18" s="5" t="s">
        <v>494</v>
      </c>
      <c r="D18" s="54" t="s">
        <v>590</v>
      </c>
      <c r="E18" s="26" t="b">
        <f>IF(B18="", "",COUNTIF(RawData!G:G,B18)&gt;0)</f>
        <v>0</v>
      </c>
      <c r="F18" s="26"/>
      <c r="G18" s="5"/>
      <c r="H18" s="5"/>
      <c r="I18" s="5"/>
      <c r="J18" s="5"/>
    </row>
    <row r="19" spans="1:10" x14ac:dyDescent="0.25">
      <c r="A19" s="5" t="s">
        <v>511</v>
      </c>
      <c r="B19" s="5" t="s">
        <v>400</v>
      </c>
      <c r="C19" s="5" t="s">
        <v>494</v>
      </c>
      <c r="D19" s="54" t="s">
        <v>590</v>
      </c>
      <c r="E19" s="26" t="b">
        <f>IF(B19="", "",COUNTIF(RawData!G:G,B19)&gt;0)</f>
        <v>0</v>
      </c>
      <c r="F19" s="26"/>
      <c r="G19" s="5"/>
      <c r="H19" s="5"/>
      <c r="I19" s="5"/>
      <c r="J19" s="5"/>
    </row>
    <row r="20" spans="1:10" x14ac:dyDescent="0.25">
      <c r="A20" s="5" t="s">
        <v>512</v>
      </c>
      <c r="B20" s="5" t="s">
        <v>401</v>
      </c>
      <c r="C20" s="5" t="s">
        <v>494</v>
      </c>
      <c r="D20" s="54" t="s">
        <v>590</v>
      </c>
      <c r="E20" s="26" t="b">
        <f>IF(B20="", "",COUNTIF(RawData!G:G,B20)&gt;0)</f>
        <v>0</v>
      </c>
      <c r="F20" s="26"/>
      <c r="G20" s="5"/>
      <c r="H20" s="5"/>
      <c r="I20" s="5"/>
      <c r="J20" s="5"/>
    </row>
    <row r="21" spans="1:10" x14ac:dyDescent="0.25">
      <c r="A21" s="5" t="s">
        <v>513</v>
      </c>
      <c r="B21" s="5" t="s">
        <v>402</v>
      </c>
      <c r="C21" s="5" t="s">
        <v>494</v>
      </c>
      <c r="D21" s="54" t="s">
        <v>590</v>
      </c>
      <c r="E21" s="26" t="b">
        <f>IF(B21="", "",COUNTIF(RawData!G:G,B21)&gt;0)</f>
        <v>0</v>
      </c>
      <c r="F21" s="26"/>
      <c r="G21" s="5"/>
      <c r="H21" s="5"/>
      <c r="I21" s="5"/>
      <c r="J21" s="5"/>
    </row>
    <row r="22" spans="1:10" x14ac:dyDescent="0.25">
      <c r="A22" s="5" t="s">
        <v>514</v>
      </c>
      <c r="B22" s="5" t="s">
        <v>403</v>
      </c>
      <c r="C22" s="5" t="s">
        <v>494</v>
      </c>
      <c r="D22" s="54" t="s">
        <v>590</v>
      </c>
      <c r="E22" s="26" t="b">
        <f>IF(B22="", "",COUNTIF(RawData!G:G,B22)&gt;0)</f>
        <v>0</v>
      </c>
      <c r="F22" s="26"/>
      <c r="G22" s="5"/>
      <c r="H22" s="5"/>
      <c r="I22" s="5"/>
      <c r="J22" s="5"/>
    </row>
    <row r="23" spans="1:10" x14ac:dyDescent="0.25">
      <c r="A23" s="5" t="s">
        <v>515</v>
      </c>
      <c r="B23" s="5" t="s">
        <v>404</v>
      </c>
      <c r="C23" s="5" t="s">
        <v>494</v>
      </c>
      <c r="D23" s="54" t="s">
        <v>590</v>
      </c>
      <c r="E23" s="26" t="b">
        <f>IF(B23="", "",COUNTIF(RawData!G:G,B23)&gt;0)</f>
        <v>0</v>
      </c>
      <c r="F23" s="26"/>
      <c r="G23" s="5"/>
      <c r="H23" s="5"/>
      <c r="I23" s="5"/>
      <c r="J23" s="5"/>
    </row>
    <row r="24" spans="1:10" x14ac:dyDescent="0.25">
      <c r="A24" s="5" t="s">
        <v>516</v>
      </c>
      <c r="B24" s="5" t="s">
        <v>405</v>
      </c>
      <c r="C24" s="5" t="s">
        <v>494</v>
      </c>
      <c r="D24" s="54" t="s">
        <v>590</v>
      </c>
      <c r="E24" s="26" t="b">
        <f>IF(B24="", "",COUNTIF(RawData!G:G,B24)&gt;0)</f>
        <v>0</v>
      </c>
      <c r="F24" s="26"/>
      <c r="G24" s="5"/>
      <c r="H24" s="5"/>
      <c r="I24" s="5"/>
      <c r="J24" s="5"/>
    </row>
    <row r="25" spans="1:10" x14ac:dyDescent="0.25">
      <c r="A25" s="5" t="s">
        <v>517</v>
      </c>
      <c r="B25" s="5" t="s">
        <v>406</v>
      </c>
      <c r="C25" s="5" t="s">
        <v>494</v>
      </c>
      <c r="D25" s="54" t="s">
        <v>590</v>
      </c>
      <c r="E25" s="26" t="b">
        <f>IF(B25="", "",COUNTIF(RawData!G:G,B25)&gt;0)</f>
        <v>0</v>
      </c>
      <c r="F25" s="26"/>
      <c r="G25" s="5"/>
      <c r="H25" s="5"/>
      <c r="I25" s="5"/>
      <c r="J25" s="5"/>
    </row>
    <row r="26" spans="1:10" x14ac:dyDescent="0.25">
      <c r="A26" s="5" t="s">
        <v>518</v>
      </c>
      <c r="B26" s="5" t="s">
        <v>407</v>
      </c>
      <c r="C26" s="5" t="s">
        <v>494</v>
      </c>
      <c r="D26" s="54" t="s">
        <v>590</v>
      </c>
      <c r="E26" s="26" t="b">
        <f>IF(B26="", "",COUNTIF(RawData!G:G,B26)&gt;0)</f>
        <v>0</v>
      </c>
      <c r="G26" s="5"/>
      <c r="H26" s="5"/>
      <c r="I26" s="5"/>
      <c r="J26" s="5"/>
    </row>
    <row r="27" spans="1:10" x14ac:dyDescent="0.25">
      <c r="A27" s="5" t="s">
        <v>519</v>
      </c>
      <c r="B27" s="5" t="s">
        <v>408</v>
      </c>
      <c r="C27" s="5" t="s">
        <v>494</v>
      </c>
      <c r="D27" s="54" t="s">
        <v>590</v>
      </c>
      <c r="E27" s="26" t="b">
        <f>IF(B27="", "",COUNTIF(RawData!G:G,B27)&gt;0)</f>
        <v>0</v>
      </c>
      <c r="G27" s="5"/>
      <c r="H27" s="5"/>
      <c r="I27" s="5"/>
      <c r="J27" s="5"/>
    </row>
    <row r="28" spans="1:10" x14ac:dyDescent="0.25">
      <c r="A28" s="5" t="s">
        <v>520</v>
      </c>
      <c r="B28" s="5" t="s">
        <v>409</v>
      </c>
      <c r="C28" s="5" t="s">
        <v>494</v>
      </c>
      <c r="D28" s="54" t="s">
        <v>590</v>
      </c>
      <c r="E28" s="26" t="b">
        <f>IF(B28="", "",COUNTIF(RawData!G:G,B28)&gt;0)</f>
        <v>0</v>
      </c>
      <c r="G28" s="5"/>
      <c r="H28" s="5"/>
      <c r="I28" s="5"/>
      <c r="J28" s="5"/>
    </row>
    <row r="29" spans="1:10" x14ac:dyDescent="0.25">
      <c r="A29" s="5" t="s">
        <v>521</v>
      </c>
      <c r="B29" s="5" t="s">
        <v>410</v>
      </c>
      <c r="C29" s="5" t="s">
        <v>494</v>
      </c>
      <c r="D29" s="54" t="s">
        <v>590</v>
      </c>
      <c r="E29" s="26" t="b">
        <f>IF(B29="", "",COUNTIF(RawData!G:G,B29)&gt;0)</f>
        <v>0</v>
      </c>
      <c r="G29" s="5"/>
      <c r="H29" s="5"/>
      <c r="I29" s="5"/>
      <c r="J29" s="5"/>
    </row>
    <row r="30" spans="1:10" x14ac:dyDescent="0.25">
      <c r="A30" s="5" t="s">
        <v>522</v>
      </c>
      <c r="B30" s="5" t="s">
        <v>411</v>
      </c>
      <c r="C30" s="5" t="s">
        <v>494</v>
      </c>
      <c r="D30" s="54" t="s">
        <v>590</v>
      </c>
      <c r="E30" s="26" t="b">
        <f>IF(B30="", "",COUNTIF(RawData!G:G,B30)&gt;0)</f>
        <v>0</v>
      </c>
      <c r="G30" s="5"/>
      <c r="H30" s="5"/>
      <c r="I30" s="5"/>
      <c r="J30" s="5"/>
    </row>
    <row r="31" spans="1:10" x14ac:dyDescent="0.25">
      <c r="A31" s="5" t="s">
        <v>523</v>
      </c>
      <c r="B31" s="5" t="s">
        <v>412</v>
      </c>
      <c r="C31" s="5" t="s">
        <v>494</v>
      </c>
      <c r="D31" s="54" t="s">
        <v>590</v>
      </c>
      <c r="E31" s="26" t="b">
        <f>IF(B31="", "",COUNTIF(RawData!G:G,B31)&gt;0)</f>
        <v>0</v>
      </c>
      <c r="G31" s="5"/>
      <c r="H31" s="5"/>
      <c r="I31" s="5"/>
      <c r="J31" s="5"/>
    </row>
    <row r="32" spans="1:10" x14ac:dyDescent="0.25">
      <c r="A32" s="5" t="s">
        <v>524</v>
      </c>
      <c r="B32" s="5" t="s">
        <v>413</v>
      </c>
      <c r="C32" s="5" t="s">
        <v>494</v>
      </c>
      <c r="D32" s="54" t="s">
        <v>590</v>
      </c>
      <c r="E32" s="26" t="b">
        <f>IF(B32="", "",COUNTIF(RawData!G:G,B32)&gt;0)</f>
        <v>0</v>
      </c>
      <c r="G32" s="5"/>
      <c r="H32" s="5"/>
      <c r="I32" s="5"/>
      <c r="J32" s="5"/>
    </row>
    <row r="33" spans="1:10" x14ac:dyDescent="0.25">
      <c r="A33" s="5" t="s">
        <v>525</v>
      </c>
      <c r="B33" s="5" t="s">
        <v>414</v>
      </c>
      <c r="C33" s="5" t="s">
        <v>494</v>
      </c>
      <c r="D33" s="54" t="s">
        <v>590</v>
      </c>
      <c r="E33" s="26" t="b">
        <f>IF(B33="", "",COUNTIF(RawData!G:G,B33)&gt;0)</f>
        <v>0</v>
      </c>
      <c r="G33" s="5"/>
      <c r="H33" s="5"/>
      <c r="I33" s="5"/>
      <c r="J33" s="5"/>
    </row>
    <row r="34" spans="1:10" x14ac:dyDescent="0.25">
      <c r="A34" s="5" t="s">
        <v>526</v>
      </c>
      <c r="B34" s="5" t="s">
        <v>415</v>
      </c>
      <c r="C34" s="5" t="s">
        <v>494</v>
      </c>
      <c r="D34" s="54" t="s">
        <v>590</v>
      </c>
      <c r="E34" s="26" t="b">
        <f>IF(B34="", "",COUNTIF(RawData!G:G,B34)&gt;0)</f>
        <v>0</v>
      </c>
      <c r="G34" s="5"/>
      <c r="H34" s="5"/>
      <c r="I34" s="5"/>
      <c r="J34" s="5"/>
    </row>
    <row r="35" spans="1:10" x14ac:dyDescent="0.25">
      <c r="A35" s="5" t="s">
        <v>527</v>
      </c>
      <c r="B35" s="5" t="s">
        <v>416</v>
      </c>
      <c r="C35" s="5" t="s">
        <v>494</v>
      </c>
      <c r="D35" s="54" t="s">
        <v>590</v>
      </c>
      <c r="E35" s="26" t="b">
        <f>IF(B35="", "",COUNTIF(RawData!G:G,B35)&gt;0)</f>
        <v>0</v>
      </c>
      <c r="G35" s="5"/>
      <c r="H35" s="5"/>
      <c r="I35" s="5"/>
      <c r="J35" s="5"/>
    </row>
    <row r="36" spans="1:10" x14ac:dyDescent="0.25">
      <c r="A36" s="5" t="s">
        <v>528</v>
      </c>
      <c r="B36" s="5" t="s">
        <v>417</v>
      </c>
      <c r="C36" s="5" t="s">
        <v>494</v>
      </c>
      <c r="D36" s="54" t="s">
        <v>590</v>
      </c>
      <c r="E36" s="26" t="b">
        <f>IF(B36="", "",COUNTIF(RawData!G:G,B36)&gt;0)</f>
        <v>0</v>
      </c>
      <c r="G36" s="5"/>
      <c r="H36" s="5"/>
      <c r="I36" s="5"/>
      <c r="J36" s="5"/>
    </row>
    <row r="37" spans="1:10" x14ac:dyDescent="0.25">
      <c r="A37" s="5" t="s">
        <v>529</v>
      </c>
      <c r="B37" s="5" t="s">
        <v>418</v>
      </c>
      <c r="C37" s="5" t="s">
        <v>494</v>
      </c>
      <c r="D37" s="54" t="s">
        <v>590</v>
      </c>
      <c r="E37" s="26" t="b">
        <f>IF(B37="", "",COUNTIF(RawData!G:G,B37)&gt;0)</f>
        <v>0</v>
      </c>
      <c r="G37" s="5"/>
      <c r="H37" s="5"/>
      <c r="I37" s="5"/>
      <c r="J37" s="5"/>
    </row>
    <row r="38" spans="1:10" x14ac:dyDescent="0.25">
      <c r="A38" s="5" t="s">
        <v>530</v>
      </c>
      <c r="B38" s="5" t="s">
        <v>419</v>
      </c>
      <c r="C38" s="5" t="s">
        <v>494</v>
      </c>
      <c r="D38" s="54" t="s">
        <v>590</v>
      </c>
      <c r="E38" s="26" t="b">
        <f>IF(B38="", "",COUNTIF(RawData!G:G,B38)&gt;0)</f>
        <v>0</v>
      </c>
      <c r="G38" s="5"/>
      <c r="H38" s="5"/>
      <c r="I38" s="5"/>
      <c r="J38" s="5"/>
    </row>
    <row r="39" spans="1:10" x14ac:dyDescent="0.25">
      <c r="A39" s="5" t="s">
        <v>531</v>
      </c>
      <c r="B39" s="5" t="s">
        <v>420</v>
      </c>
      <c r="C39" s="5" t="s">
        <v>494</v>
      </c>
      <c r="D39" s="54" t="s">
        <v>590</v>
      </c>
      <c r="E39" s="26" t="b">
        <f>IF(B39="", "",COUNTIF(RawData!G:G,B39)&gt;0)</f>
        <v>0</v>
      </c>
      <c r="G39" s="5"/>
      <c r="H39" s="5"/>
      <c r="I39" s="5"/>
      <c r="J39" s="5"/>
    </row>
    <row r="40" spans="1:10" x14ac:dyDescent="0.25">
      <c r="A40" s="5" t="s">
        <v>532</v>
      </c>
      <c r="B40" s="5" t="s">
        <v>421</v>
      </c>
      <c r="C40" s="5" t="s">
        <v>494</v>
      </c>
      <c r="D40" s="54" t="s">
        <v>590</v>
      </c>
      <c r="E40" s="26" t="b">
        <f>IF(B40="", "",COUNTIF(RawData!G:G,B40)&gt;0)</f>
        <v>0</v>
      </c>
      <c r="G40" s="5"/>
      <c r="H40" s="5"/>
      <c r="I40" s="5"/>
      <c r="J40" s="5"/>
    </row>
    <row r="41" spans="1:10" x14ac:dyDescent="0.25">
      <c r="A41" s="5" t="s">
        <v>533</v>
      </c>
      <c r="B41" s="5" t="s">
        <v>422</v>
      </c>
      <c r="C41" s="5" t="s">
        <v>494</v>
      </c>
      <c r="D41" s="54" t="s">
        <v>590</v>
      </c>
      <c r="E41" s="26" t="b">
        <f>IF(B41="", "",COUNTIF(RawData!G:G,B41)&gt;0)</f>
        <v>0</v>
      </c>
      <c r="G41" s="5"/>
      <c r="H41" s="5"/>
      <c r="I41" s="5"/>
      <c r="J41" s="5"/>
    </row>
    <row r="42" spans="1:10" x14ac:dyDescent="0.25">
      <c r="A42" s="5" t="s">
        <v>534</v>
      </c>
      <c r="B42" s="5" t="s">
        <v>423</v>
      </c>
      <c r="C42" s="5" t="s">
        <v>494</v>
      </c>
      <c r="D42" s="54" t="s">
        <v>590</v>
      </c>
      <c r="E42" s="26" t="b">
        <f>IF(B42="", "",COUNTIF(RawData!G:G,B42)&gt;0)</f>
        <v>0</v>
      </c>
      <c r="G42" s="5"/>
      <c r="H42" s="5"/>
      <c r="I42" s="5"/>
      <c r="J42" s="5"/>
    </row>
    <row r="43" spans="1:10" x14ac:dyDescent="0.25">
      <c r="A43" s="5" t="s">
        <v>535</v>
      </c>
      <c r="B43" s="5" t="s">
        <v>424</v>
      </c>
      <c r="C43" s="5" t="s">
        <v>494</v>
      </c>
      <c r="D43" s="54" t="s">
        <v>590</v>
      </c>
      <c r="E43" s="26" t="b">
        <f>IF(B43="", "",COUNTIF(RawData!G:G,B43)&gt;0)</f>
        <v>0</v>
      </c>
      <c r="G43" s="5"/>
      <c r="H43" s="5"/>
      <c r="I43" s="5"/>
      <c r="J43" s="5"/>
    </row>
    <row r="44" spans="1:10" x14ac:dyDescent="0.25">
      <c r="A44" s="5" t="s">
        <v>536</v>
      </c>
      <c r="B44" s="5" t="s">
        <v>425</v>
      </c>
      <c r="C44" s="5" t="s">
        <v>494</v>
      </c>
      <c r="D44" s="54" t="s">
        <v>590</v>
      </c>
      <c r="E44" s="26" t="b">
        <f>IF(B44="", "",COUNTIF(RawData!G:G,B44)&gt;0)</f>
        <v>0</v>
      </c>
      <c r="G44" s="5"/>
      <c r="H44" s="5"/>
      <c r="I44" s="5"/>
      <c r="J44" s="5"/>
    </row>
    <row r="45" spans="1:10" x14ac:dyDescent="0.25">
      <c r="A45" s="5" t="s">
        <v>537</v>
      </c>
      <c r="B45" s="5" t="s">
        <v>426</v>
      </c>
      <c r="C45" s="5" t="s">
        <v>494</v>
      </c>
      <c r="D45" s="54" t="s">
        <v>590</v>
      </c>
      <c r="E45" s="26" t="b">
        <f>IF(B45="", "",COUNTIF(RawData!G:G,B45)&gt;0)</f>
        <v>0</v>
      </c>
      <c r="G45" s="5"/>
      <c r="H45" s="5"/>
      <c r="I45" s="5"/>
      <c r="J45" s="5"/>
    </row>
    <row r="46" spans="1:10" x14ac:dyDescent="0.25">
      <c r="A46" s="5" t="s">
        <v>538</v>
      </c>
      <c r="B46" s="5" t="s">
        <v>427</v>
      </c>
      <c r="C46" s="5" t="s">
        <v>494</v>
      </c>
      <c r="D46" s="54" t="s">
        <v>590</v>
      </c>
      <c r="E46" s="26" t="b">
        <f>IF(B46="", "",COUNTIF(RawData!G:G,B46)&gt;0)</f>
        <v>0</v>
      </c>
      <c r="G46" s="5"/>
      <c r="H46" s="5"/>
      <c r="I46" s="5"/>
      <c r="J46" s="5"/>
    </row>
    <row r="47" spans="1:10" x14ac:dyDescent="0.25">
      <c r="A47" s="5" t="s">
        <v>539</v>
      </c>
      <c r="B47" s="5" t="s">
        <v>428</v>
      </c>
      <c r="C47" s="5" t="s">
        <v>494</v>
      </c>
      <c r="D47" s="54" t="s">
        <v>590</v>
      </c>
      <c r="E47" s="26" t="b">
        <f>IF(B47="", "",COUNTIF(RawData!G:G,B47)&gt;0)</f>
        <v>0</v>
      </c>
      <c r="G47" s="5"/>
      <c r="H47" s="5"/>
      <c r="I47" s="5"/>
      <c r="J47" s="5"/>
    </row>
    <row r="48" spans="1:10" x14ac:dyDescent="0.25">
      <c r="A48" s="5" t="s">
        <v>540</v>
      </c>
      <c r="B48" s="5" t="s">
        <v>429</v>
      </c>
      <c r="C48" s="5" t="s">
        <v>494</v>
      </c>
      <c r="D48" s="54" t="s">
        <v>590</v>
      </c>
      <c r="E48" s="26" t="b">
        <f>IF(B48="", "",COUNTIF(RawData!G:G,B48)&gt;0)</f>
        <v>0</v>
      </c>
      <c r="G48" s="5"/>
      <c r="H48" s="5"/>
      <c r="I48" s="5"/>
      <c r="J48" s="5"/>
    </row>
    <row r="49" spans="1:10" x14ac:dyDescent="0.25">
      <c r="A49" s="5" t="s">
        <v>541</v>
      </c>
      <c r="B49" s="5" t="s">
        <v>430</v>
      </c>
      <c r="C49" s="5" t="s">
        <v>494</v>
      </c>
      <c r="D49" s="54" t="s">
        <v>590</v>
      </c>
      <c r="E49" s="26" t="b">
        <f>IF(B49="", "",COUNTIF(RawData!G:G,B49)&gt;0)</f>
        <v>0</v>
      </c>
      <c r="G49" s="5"/>
      <c r="H49" s="5"/>
      <c r="I49" s="5"/>
      <c r="J49" s="5"/>
    </row>
    <row r="50" spans="1:10" x14ac:dyDescent="0.25">
      <c r="A50" s="5" t="s">
        <v>542</v>
      </c>
      <c r="B50" s="5" t="s">
        <v>431</v>
      </c>
      <c r="C50" s="5" t="s">
        <v>494</v>
      </c>
      <c r="D50" s="54" t="s">
        <v>590</v>
      </c>
      <c r="E50" s="26" t="b">
        <f>IF(B50="", "",COUNTIF(RawData!G:G,B50)&gt;0)</f>
        <v>0</v>
      </c>
      <c r="G50" s="5"/>
      <c r="H50" s="5"/>
      <c r="I50" s="5"/>
      <c r="J50" s="5"/>
    </row>
    <row r="51" spans="1:10" x14ac:dyDescent="0.25">
      <c r="A51" s="5" t="s">
        <v>543</v>
      </c>
      <c r="B51" s="5" t="s">
        <v>432</v>
      </c>
      <c r="C51" s="5" t="s">
        <v>494</v>
      </c>
      <c r="D51" s="54" t="s">
        <v>590</v>
      </c>
      <c r="E51" s="26" t="b">
        <f>IF(B51="", "",COUNTIF(RawData!G:G,B51)&gt;0)</f>
        <v>0</v>
      </c>
      <c r="G51" s="5"/>
      <c r="H51" s="5"/>
      <c r="I51" s="5"/>
      <c r="J51" s="5"/>
    </row>
    <row r="52" spans="1:10" x14ac:dyDescent="0.25">
      <c r="A52" s="5" t="s">
        <v>544</v>
      </c>
      <c r="B52" s="5" t="s">
        <v>433</v>
      </c>
      <c r="C52" s="5" t="s">
        <v>494</v>
      </c>
      <c r="D52" s="54" t="s">
        <v>590</v>
      </c>
      <c r="E52" s="26" t="b">
        <f>IF(B52="", "",COUNTIF(RawData!G:G,B52)&gt;0)</f>
        <v>0</v>
      </c>
      <c r="G52" s="5"/>
      <c r="H52" s="5"/>
      <c r="I52" s="5"/>
      <c r="J52" s="5"/>
    </row>
    <row r="53" spans="1:10" x14ac:dyDescent="0.25">
      <c r="A53" s="5" t="s">
        <v>545</v>
      </c>
      <c r="B53" s="5" t="s">
        <v>434</v>
      </c>
      <c r="C53" s="5" t="s">
        <v>494</v>
      </c>
      <c r="D53" s="54" t="s">
        <v>590</v>
      </c>
      <c r="E53" s="26" t="b">
        <f>IF(B53="", "",COUNTIF(RawData!G:G,B53)&gt;0)</f>
        <v>0</v>
      </c>
      <c r="G53" s="5"/>
      <c r="H53" s="5"/>
      <c r="I53" s="5"/>
      <c r="J53" s="5"/>
    </row>
    <row r="54" spans="1:10" x14ac:dyDescent="0.25">
      <c r="A54" s="5" t="s">
        <v>546</v>
      </c>
      <c r="B54" s="5" t="s">
        <v>435</v>
      </c>
      <c r="C54" s="5" t="s">
        <v>494</v>
      </c>
      <c r="D54" s="54" t="s">
        <v>590</v>
      </c>
      <c r="E54" s="26" t="b">
        <f>IF(B54="", "",COUNTIF(RawData!G:G,B54)&gt;0)</f>
        <v>0</v>
      </c>
      <c r="G54" s="5"/>
      <c r="H54" s="5"/>
      <c r="I54" s="5"/>
      <c r="J54" s="5"/>
    </row>
    <row r="55" spans="1:10" x14ac:dyDescent="0.25">
      <c r="A55" s="5" t="s">
        <v>547</v>
      </c>
      <c r="B55" s="5" t="s">
        <v>436</v>
      </c>
      <c r="C55" s="5" t="s">
        <v>494</v>
      </c>
      <c r="D55" s="54" t="s">
        <v>590</v>
      </c>
      <c r="E55" s="26" t="b">
        <f>IF(B55="", "",COUNTIF(RawData!G:G,B55)&gt;0)</f>
        <v>0</v>
      </c>
      <c r="G55" s="5"/>
      <c r="H55" s="5"/>
      <c r="I55" s="5"/>
      <c r="J55" s="5"/>
    </row>
    <row r="56" spans="1:10" x14ac:dyDescent="0.25">
      <c r="A56" s="5" t="s">
        <v>548</v>
      </c>
      <c r="B56" s="5" t="s">
        <v>437</v>
      </c>
      <c r="C56" s="5" t="s">
        <v>494</v>
      </c>
      <c r="D56" s="54" t="s">
        <v>590</v>
      </c>
      <c r="E56" s="26" t="b">
        <f>IF(B56="", "",COUNTIF(RawData!G:G,B56)&gt;0)</f>
        <v>0</v>
      </c>
      <c r="G56" s="5"/>
      <c r="H56" s="5"/>
      <c r="I56" s="5"/>
      <c r="J56" s="5"/>
    </row>
    <row r="57" spans="1:10" x14ac:dyDescent="0.25">
      <c r="A57" s="5" t="s">
        <v>549</v>
      </c>
      <c r="B57" s="5" t="s">
        <v>438</v>
      </c>
      <c r="C57" s="5" t="s">
        <v>494</v>
      </c>
      <c r="D57" s="54" t="s">
        <v>590</v>
      </c>
      <c r="E57" s="26" t="b">
        <f>IF(B57="", "",COUNTIF(RawData!G:G,B57)&gt;0)</f>
        <v>0</v>
      </c>
      <c r="G57" s="5"/>
      <c r="H57" s="5"/>
      <c r="I57" s="5"/>
      <c r="J57" s="5"/>
    </row>
    <row r="58" spans="1:10" x14ac:dyDescent="0.25">
      <c r="A58" s="5" t="s">
        <v>550</v>
      </c>
      <c r="B58" s="5" t="s">
        <v>439</v>
      </c>
      <c r="C58" s="5" t="s">
        <v>494</v>
      </c>
      <c r="D58" s="54" t="s">
        <v>590</v>
      </c>
      <c r="E58" s="26" t="b">
        <f>IF(B58="", "",COUNTIF(RawData!G:G,B58)&gt;0)</f>
        <v>0</v>
      </c>
      <c r="G58" s="5"/>
      <c r="H58" s="5"/>
      <c r="I58" s="5"/>
      <c r="J58" s="5"/>
    </row>
    <row r="59" spans="1:10" x14ac:dyDescent="0.25">
      <c r="A59" s="5" t="s">
        <v>551</v>
      </c>
      <c r="B59" s="5" t="s">
        <v>440</v>
      </c>
      <c r="C59" s="5" t="s">
        <v>494</v>
      </c>
      <c r="D59" s="54" t="s">
        <v>590</v>
      </c>
      <c r="E59" s="26" t="b">
        <f>IF(B59="", "",COUNTIF(RawData!G:G,B59)&gt;0)</f>
        <v>0</v>
      </c>
      <c r="G59" s="5"/>
      <c r="H59" s="5"/>
      <c r="I59" s="5"/>
      <c r="J59" s="5"/>
    </row>
    <row r="60" spans="1:10" x14ac:dyDescent="0.25">
      <c r="A60" s="5" t="s">
        <v>552</v>
      </c>
      <c r="B60" s="5" t="s">
        <v>441</v>
      </c>
      <c r="C60" s="5" t="s">
        <v>494</v>
      </c>
      <c r="D60" s="54" t="s">
        <v>590</v>
      </c>
      <c r="E60" s="26" t="b">
        <f>IF(B60="", "",COUNTIF(RawData!G:G,B60)&gt;0)</f>
        <v>0</v>
      </c>
      <c r="G60" s="5"/>
      <c r="H60" s="5"/>
      <c r="I60" s="5"/>
      <c r="J60" s="5"/>
    </row>
    <row r="61" spans="1:10" x14ac:dyDescent="0.25">
      <c r="A61" s="5" t="s">
        <v>553</v>
      </c>
      <c r="B61" s="5" t="s">
        <v>442</v>
      </c>
      <c r="C61" s="5" t="s">
        <v>494</v>
      </c>
      <c r="D61" s="54" t="s">
        <v>590</v>
      </c>
      <c r="E61" s="26" t="b">
        <f>IF(B61="", "",COUNTIF(RawData!G:G,B61)&gt;0)</f>
        <v>0</v>
      </c>
      <c r="G61" s="5"/>
      <c r="H61" s="5"/>
      <c r="I61" s="5"/>
      <c r="J61" s="5"/>
    </row>
    <row r="62" spans="1:10" x14ac:dyDescent="0.25">
      <c r="A62" s="5" t="s">
        <v>554</v>
      </c>
      <c r="B62" s="5" t="s">
        <v>443</v>
      </c>
      <c r="C62" s="5" t="s">
        <v>494</v>
      </c>
      <c r="D62" s="54" t="s">
        <v>590</v>
      </c>
      <c r="E62" s="26" t="b">
        <f>IF(B62="", "",COUNTIF(RawData!G:G,B62)&gt;0)</f>
        <v>0</v>
      </c>
      <c r="G62" s="5"/>
      <c r="H62" s="5"/>
      <c r="I62" s="5"/>
      <c r="J62" s="5"/>
    </row>
    <row r="63" spans="1:10" x14ac:dyDescent="0.25">
      <c r="A63" s="5" t="s">
        <v>555</v>
      </c>
      <c r="B63" s="5" t="s">
        <v>444</v>
      </c>
      <c r="C63" s="5" t="s">
        <v>494</v>
      </c>
      <c r="D63" s="54" t="s">
        <v>590</v>
      </c>
      <c r="E63" s="26" t="b">
        <f>IF(B63="", "",COUNTIF(RawData!G:G,B63)&gt;0)</f>
        <v>0</v>
      </c>
      <c r="G63" s="5"/>
      <c r="H63" s="5"/>
      <c r="I63" s="5"/>
      <c r="J63" s="5"/>
    </row>
    <row r="64" spans="1:10" x14ac:dyDescent="0.25">
      <c r="A64" s="5" t="s">
        <v>556</v>
      </c>
      <c r="B64" s="5" t="s">
        <v>445</v>
      </c>
      <c r="C64" s="5" t="s">
        <v>494</v>
      </c>
      <c r="D64" s="54" t="s">
        <v>590</v>
      </c>
      <c r="E64" s="26" t="b">
        <f>IF(B64="", "",COUNTIF(RawData!G:G,B64)&gt;0)</f>
        <v>0</v>
      </c>
      <c r="G64" s="5"/>
      <c r="H64" s="5"/>
      <c r="I64" s="5"/>
      <c r="J64" s="5"/>
    </row>
    <row r="65" spans="1:10" x14ac:dyDescent="0.25">
      <c r="A65" s="5" t="s">
        <v>557</v>
      </c>
      <c r="B65" s="5" t="s">
        <v>446</v>
      </c>
      <c r="C65" s="5" t="s">
        <v>494</v>
      </c>
      <c r="D65" s="54" t="s">
        <v>590</v>
      </c>
      <c r="E65" s="26" t="b">
        <f>IF(B65="", "",COUNTIF(RawData!G:G,B65)&gt;0)</f>
        <v>0</v>
      </c>
      <c r="G65" s="5"/>
      <c r="H65" s="5"/>
      <c r="I65" s="5"/>
      <c r="J65" s="5"/>
    </row>
    <row r="66" spans="1:10" x14ac:dyDescent="0.25">
      <c r="A66" s="5" t="s">
        <v>558</v>
      </c>
      <c r="B66" s="5" t="s">
        <v>447</v>
      </c>
      <c r="C66" s="5" t="s">
        <v>494</v>
      </c>
      <c r="D66" s="54" t="s">
        <v>590</v>
      </c>
      <c r="E66" s="26" t="b">
        <f>IF(B66="", "",COUNTIF(RawData!G:G,B66)&gt;0)</f>
        <v>0</v>
      </c>
      <c r="G66" s="5"/>
      <c r="H66" s="5"/>
      <c r="I66" s="5"/>
      <c r="J66" s="5"/>
    </row>
    <row r="67" spans="1:10" x14ac:dyDescent="0.25">
      <c r="A67" s="5" t="s">
        <v>559</v>
      </c>
      <c r="B67" s="5" t="s">
        <v>448</v>
      </c>
      <c r="C67" s="5" t="s">
        <v>494</v>
      </c>
      <c r="D67" s="54" t="s">
        <v>590</v>
      </c>
      <c r="E67" s="26" t="b">
        <f>IF(B67="", "",COUNTIF(RawData!G:G,B67)&gt;0)</f>
        <v>0</v>
      </c>
      <c r="G67" s="5"/>
      <c r="H67" s="5"/>
      <c r="I67" s="5"/>
      <c r="J67" s="5"/>
    </row>
    <row r="68" spans="1:10" x14ac:dyDescent="0.25">
      <c r="A68" s="5" t="s">
        <v>560</v>
      </c>
      <c r="B68" s="5" t="s">
        <v>449</v>
      </c>
      <c r="C68" s="5" t="s">
        <v>494</v>
      </c>
      <c r="D68" s="54" t="s">
        <v>590</v>
      </c>
      <c r="E68" s="26" t="b">
        <f>IF(B68="", "",COUNTIF(RawData!G:G,B68)&gt;0)</f>
        <v>0</v>
      </c>
      <c r="G68" s="5"/>
      <c r="H68" s="5"/>
      <c r="I68" s="5"/>
      <c r="J68" s="5"/>
    </row>
    <row r="69" spans="1:10" x14ac:dyDescent="0.25">
      <c r="A69" s="5" t="s">
        <v>561</v>
      </c>
      <c r="B69" s="5" t="s">
        <v>450</v>
      </c>
      <c r="C69" s="5" t="s">
        <v>494</v>
      </c>
      <c r="D69" s="54" t="s">
        <v>590</v>
      </c>
      <c r="E69" s="26" t="b">
        <f>IF(B69="", "",COUNTIF(RawData!G:G,B69)&gt;0)</f>
        <v>0</v>
      </c>
      <c r="G69" s="5"/>
      <c r="H69" s="5"/>
      <c r="I69" s="5"/>
      <c r="J69" s="5"/>
    </row>
    <row r="70" spans="1:10" x14ac:dyDescent="0.25">
      <c r="A70" s="5" t="s">
        <v>562</v>
      </c>
      <c r="B70" s="5" t="s">
        <v>451</v>
      </c>
      <c r="C70" s="5" t="s">
        <v>494</v>
      </c>
      <c r="D70" s="54" t="s">
        <v>590</v>
      </c>
      <c r="E70" s="26" t="b">
        <f>IF(B70="", "",COUNTIF(RawData!G:G,B70)&gt;0)</f>
        <v>0</v>
      </c>
      <c r="G70" s="5"/>
      <c r="H70" s="5"/>
      <c r="I70" s="5"/>
      <c r="J70" s="5"/>
    </row>
    <row r="71" spans="1:10" x14ac:dyDescent="0.25">
      <c r="A71" s="5" t="s">
        <v>563</v>
      </c>
      <c r="B71" s="5" t="s">
        <v>452</v>
      </c>
      <c r="C71" s="5" t="s">
        <v>494</v>
      </c>
      <c r="D71" s="54" t="s">
        <v>590</v>
      </c>
      <c r="E71" s="26" t="b">
        <f>IF(B71="", "",COUNTIF(RawData!G:G,B71)&gt;0)</f>
        <v>0</v>
      </c>
      <c r="G71" s="5"/>
      <c r="H71" s="5"/>
      <c r="I71" s="5"/>
      <c r="J71" s="5"/>
    </row>
    <row r="72" spans="1:10" x14ac:dyDescent="0.25">
      <c r="A72" s="5" t="s">
        <v>564</v>
      </c>
      <c r="B72" s="5" t="s">
        <v>453</v>
      </c>
      <c r="C72" s="5" t="s">
        <v>494</v>
      </c>
      <c r="D72" s="54" t="s">
        <v>590</v>
      </c>
      <c r="E72" s="26" t="b">
        <f>IF(B72="", "",COUNTIF(RawData!G:G,B72)&gt;0)</f>
        <v>0</v>
      </c>
      <c r="G72" s="5"/>
      <c r="H72" s="5"/>
      <c r="I72" s="5"/>
      <c r="J72" s="5"/>
    </row>
    <row r="73" spans="1:10" x14ac:dyDescent="0.25">
      <c r="A73" s="5" t="s">
        <v>565</v>
      </c>
      <c r="B73" s="5" t="s">
        <v>454</v>
      </c>
      <c r="C73" s="5" t="s">
        <v>494</v>
      </c>
      <c r="D73" s="54" t="s">
        <v>590</v>
      </c>
      <c r="E73" s="26" t="b">
        <f>IF(B73="", "",COUNTIF(RawData!G:G,B73)&gt;0)</f>
        <v>0</v>
      </c>
      <c r="G73" s="5"/>
      <c r="H73" s="5"/>
      <c r="I73" s="5"/>
      <c r="J73" s="5"/>
    </row>
    <row r="74" spans="1:10" x14ac:dyDescent="0.25">
      <c r="A74" s="5" t="s">
        <v>566</v>
      </c>
      <c r="B74" s="5" t="s">
        <v>455</v>
      </c>
      <c r="C74" s="5" t="s">
        <v>494</v>
      </c>
      <c r="D74" s="54" t="s">
        <v>590</v>
      </c>
      <c r="E74" s="26" t="b">
        <f>IF(B74="", "",COUNTIF(RawData!G:G,B74)&gt;0)</f>
        <v>0</v>
      </c>
      <c r="G74" s="5"/>
      <c r="H74" s="5"/>
      <c r="I74" s="5"/>
      <c r="J74" s="5"/>
    </row>
    <row r="75" spans="1:10" x14ac:dyDescent="0.25">
      <c r="A75" s="5" t="s">
        <v>567</v>
      </c>
      <c r="B75" s="5" t="s">
        <v>456</v>
      </c>
      <c r="C75" s="5" t="s">
        <v>494</v>
      </c>
      <c r="D75" s="54" t="s">
        <v>590</v>
      </c>
      <c r="E75" s="26" t="b">
        <f>IF(B75="", "",COUNTIF(RawData!G:G,B75)&gt;0)</f>
        <v>0</v>
      </c>
      <c r="G75" s="5"/>
      <c r="H75" s="5"/>
      <c r="I75" s="5"/>
      <c r="J75" s="5"/>
    </row>
    <row r="76" spans="1:10" x14ac:dyDescent="0.25">
      <c r="A76" s="5" t="s">
        <v>568</v>
      </c>
      <c r="B76" s="5" t="s">
        <v>457</v>
      </c>
      <c r="C76" s="5" t="s">
        <v>494</v>
      </c>
      <c r="D76" s="54" t="s">
        <v>590</v>
      </c>
      <c r="E76" s="26" t="b">
        <f>IF(B76="", "",COUNTIF(RawData!G:G,B76)&gt;0)</f>
        <v>0</v>
      </c>
      <c r="G76" s="5"/>
      <c r="H76" s="5"/>
      <c r="I76" s="5"/>
      <c r="J76" s="5"/>
    </row>
    <row r="77" spans="1:10" x14ac:dyDescent="0.25">
      <c r="A77" s="5" t="s">
        <v>569</v>
      </c>
      <c r="B77" s="5" t="s">
        <v>458</v>
      </c>
      <c r="C77" s="5" t="s">
        <v>494</v>
      </c>
      <c r="D77" s="54" t="s">
        <v>590</v>
      </c>
      <c r="E77" s="26" t="b">
        <f>IF(B77="", "",COUNTIF(RawData!G:G,B77)&gt;0)</f>
        <v>0</v>
      </c>
      <c r="G77" s="5"/>
      <c r="H77" s="5"/>
      <c r="I77" s="5"/>
      <c r="J77" s="5"/>
    </row>
    <row r="78" spans="1:10" x14ac:dyDescent="0.25">
      <c r="A78" s="5" t="s">
        <v>570</v>
      </c>
      <c r="B78" s="5" t="s">
        <v>459</v>
      </c>
      <c r="C78" s="5" t="s">
        <v>494</v>
      </c>
      <c r="D78" s="54" t="s">
        <v>590</v>
      </c>
      <c r="E78" s="26" t="b">
        <f>IF(B78="", "",COUNTIF(RawData!G:G,B78)&gt;0)</f>
        <v>0</v>
      </c>
      <c r="G78" s="5"/>
      <c r="H78" s="5"/>
      <c r="I78" s="5"/>
      <c r="J78" s="5"/>
    </row>
    <row r="79" spans="1:10" x14ac:dyDescent="0.25">
      <c r="A79" s="5" t="s">
        <v>571</v>
      </c>
      <c r="B79" s="5" t="s">
        <v>460</v>
      </c>
      <c r="C79" s="5" t="s">
        <v>494</v>
      </c>
      <c r="D79" s="54" t="s">
        <v>590</v>
      </c>
      <c r="E79" s="26" t="b">
        <f>IF(B79="", "",COUNTIF(RawData!G:G,B79)&gt;0)</f>
        <v>0</v>
      </c>
      <c r="G79" s="5"/>
      <c r="H79" s="5"/>
      <c r="I79" s="5"/>
      <c r="J79" s="5"/>
    </row>
    <row r="80" spans="1:10" x14ac:dyDescent="0.25">
      <c r="A80" s="5" t="s">
        <v>572</v>
      </c>
      <c r="B80" s="5" t="s">
        <v>461</v>
      </c>
      <c r="C80" s="5" t="s">
        <v>494</v>
      </c>
      <c r="D80" s="54" t="s">
        <v>590</v>
      </c>
      <c r="E80" s="26" t="b">
        <f>IF(B80="", "",COUNTIF(RawData!G:G,B80)&gt;0)</f>
        <v>0</v>
      </c>
      <c r="G80" s="5"/>
      <c r="H80" s="5"/>
      <c r="I80" s="5"/>
      <c r="J80" s="5"/>
    </row>
    <row r="81" spans="1:10" x14ac:dyDescent="0.25">
      <c r="A81" s="5" t="s">
        <v>573</v>
      </c>
      <c r="B81" s="5" t="s">
        <v>462</v>
      </c>
      <c r="C81" s="5" t="s">
        <v>494</v>
      </c>
      <c r="D81" s="54" t="s">
        <v>590</v>
      </c>
      <c r="E81" s="26" t="b">
        <f>IF(B81="", "",COUNTIF(RawData!G:G,B81)&gt;0)</f>
        <v>0</v>
      </c>
      <c r="G81" s="5"/>
      <c r="H81" s="5"/>
      <c r="I81" s="5"/>
      <c r="J81" s="5"/>
    </row>
    <row r="82" spans="1:10" x14ac:dyDescent="0.25">
      <c r="A82" s="5" t="s">
        <v>574</v>
      </c>
      <c r="B82" s="5" t="s">
        <v>463</v>
      </c>
      <c r="C82" s="5" t="s">
        <v>494</v>
      </c>
      <c r="D82" s="54" t="s">
        <v>590</v>
      </c>
      <c r="E82" s="26" t="b">
        <f>IF(B82="", "",COUNTIF(RawData!G:G,B82)&gt;0)</f>
        <v>0</v>
      </c>
      <c r="G82" s="5"/>
      <c r="H82" s="5"/>
      <c r="I82" s="5"/>
      <c r="J82" s="5"/>
    </row>
    <row r="83" spans="1:10" x14ac:dyDescent="0.25">
      <c r="A83" s="5" t="s">
        <v>575</v>
      </c>
      <c r="B83" s="5" t="s">
        <v>464</v>
      </c>
      <c r="C83" s="5" t="s">
        <v>494</v>
      </c>
      <c r="D83" s="54" t="s">
        <v>590</v>
      </c>
      <c r="E83" s="26" t="b">
        <f>IF(B83="", "",COUNTIF(RawData!G:G,B83)&gt;0)</f>
        <v>0</v>
      </c>
      <c r="G83" s="5"/>
      <c r="H83" s="5"/>
      <c r="I83" s="5"/>
      <c r="J83" s="5"/>
    </row>
    <row r="84" spans="1:10" x14ac:dyDescent="0.25">
      <c r="A84" s="5" t="s">
        <v>576</v>
      </c>
      <c r="B84" s="5" t="s">
        <v>465</v>
      </c>
      <c r="C84" s="5" t="s">
        <v>494</v>
      </c>
      <c r="D84" s="54" t="s">
        <v>590</v>
      </c>
      <c r="E84" s="26" t="b">
        <f>IF(B84="", "",COUNTIF(RawData!G:G,B84)&gt;0)</f>
        <v>0</v>
      </c>
      <c r="G84" s="5"/>
      <c r="H84" s="5"/>
      <c r="I84" s="5"/>
      <c r="J84" s="5"/>
    </row>
    <row r="85" spans="1:10" x14ac:dyDescent="0.25">
      <c r="A85" s="5" t="s">
        <v>577</v>
      </c>
      <c r="B85" s="5" t="s">
        <v>466</v>
      </c>
      <c r="C85" s="5" t="s">
        <v>494</v>
      </c>
      <c r="D85" s="54" t="s">
        <v>590</v>
      </c>
      <c r="E85" s="26" t="b">
        <f>IF(B85="", "",COUNTIF(RawData!G:G,B85)&gt;0)</f>
        <v>0</v>
      </c>
      <c r="G85" s="5"/>
      <c r="H85" s="5"/>
      <c r="I85" s="5"/>
      <c r="J85" s="5"/>
    </row>
    <row r="86" spans="1:10" x14ac:dyDescent="0.25">
      <c r="A86" s="5" t="s">
        <v>578</v>
      </c>
      <c r="B86" s="5" t="s">
        <v>467</v>
      </c>
      <c r="C86" s="5" t="s">
        <v>494</v>
      </c>
      <c r="D86" s="54" t="s">
        <v>590</v>
      </c>
      <c r="E86" s="26" t="b">
        <f>IF(B86="", "",COUNTIF(RawData!G:G,B86)&gt;0)</f>
        <v>0</v>
      </c>
      <c r="G86" s="5"/>
      <c r="H86" s="5"/>
      <c r="I86" s="5"/>
      <c r="J86" s="5"/>
    </row>
    <row r="87" spans="1:10" x14ac:dyDescent="0.25">
      <c r="A87" s="5" t="s">
        <v>579</v>
      </c>
      <c r="B87" s="5" t="s">
        <v>468</v>
      </c>
      <c r="C87" s="5" t="s">
        <v>494</v>
      </c>
      <c r="D87" s="54" t="s">
        <v>590</v>
      </c>
      <c r="E87" s="26" t="b">
        <f>IF(B87="", "",COUNTIF(RawData!G:G,B87)&gt;0)</f>
        <v>0</v>
      </c>
      <c r="G87" s="5"/>
      <c r="H87" s="5"/>
      <c r="I87" s="5"/>
      <c r="J87" s="5"/>
    </row>
    <row r="88" spans="1:10" x14ac:dyDescent="0.25">
      <c r="A88" s="5" t="s">
        <v>580</v>
      </c>
      <c r="B88" s="5" t="s">
        <v>469</v>
      </c>
      <c r="C88" s="5" t="s">
        <v>494</v>
      </c>
      <c r="D88" s="54" t="s">
        <v>590</v>
      </c>
      <c r="E88" s="26" t="b">
        <f>IF(B88="", "",COUNTIF(RawData!G:G,B88)&gt;0)</f>
        <v>0</v>
      </c>
      <c r="G88" s="5"/>
      <c r="H88" s="5"/>
      <c r="I88" s="5"/>
      <c r="J88" s="5"/>
    </row>
    <row r="89" spans="1:10" x14ac:dyDescent="0.25">
      <c r="A89" s="5" t="s">
        <v>581</v>
      </c>
      <c r="B89" s="5" t="s">
        <v>470</v>
      </c>
      <c r="C89" s="5" t="s">
        <v>494</v>
      </c>
      <c r="D89" s="54" t="s">
        <v>590</v>
      </c>
      <c r="E89" s="26" t="b">
        <f>IF(B89="", "",COUNTIF(RawData!G:G,B89)&gt;0)</f>
        <v>0</v>
      </c>
      <c r="G89" s="5"/>
      <c r="H89" s="5"/>
      <c r="I89" s="5"/>
      <c r="J89" s="5"/>
    </row>
    <row r="90" spans="1:10" x14ac:dyDescent="0.25">
      <c r="A90" s="5" t="s">
        <v>582</v>
      </c>
      <c r="B90" s="5" t="s">
        <v>471</v>
      </c>
      <c r="C90" s="5" t="s">
        <v>494</v>
      </c>
      <c r="D90" s="54" t="s">
        <v>590</v>
      </c>
      <c r="E90" s="26" t="b">
        <f>IF(B90="", "",COUNTIF(RawData!G:G,B90)&gt;0)</f>
        <v>0</v>
      </c>
      <c r="G90" s="5"/>
      <c r="H90" s="5"/>
      <c r="I90" s="5"/>
      <c r="J90" s="5"/>
    </row>
    <row r="91" spans="1:10" x14ac:dyDescent="0.25">
      <c r="A91" s="5" t="s">
        <v>583</v>
      </c>
      <c r="B91" s="5" t="s">
        <v>472</v>
      </c>
      <c r="C91" s="5" t="s">
        <v>494</v>
      </c>
      <c r="D91" s="54" t="s">
        <v>590</v>
      </c>
      <c r="E91" s="26" t="b">
        <f>IF(B91="", "",COUNTIF(RawData!G:G,B91)&gt;0)</f>
        <v>0</v>
      </c>
      <c r="G91" s="5"/>
      <c r="H91" s="5"/>
      <c r="I91" s="5"/>
      <c r="J91" s="5"/>
    </row>
    <row r="92" spans="1:10" x14ac:dyDescent="0.25">
      <c r="A92" s="5" t="s">
        <v>584</v>
      </c>
      <c r="B92" s="5" t="s">
        <v>473</v>
      </c>
      <c r="C92" s="5" t="s">
        <v>494</v>
      </c>
      <c r="D92" s="54" t="s">
        <v>590</v>
      </c>
      <c r="E92" s="26" t="b">
        <f>IF(B92="", "",COUNTIF(RawData!G:G,B92)&gt;0)</f>
        <v>0</v>
      </c>
      <c r="G92" s="5"/>
      <c r="H92" s="5"/>
      <c r="I92" s="5"/>
      <c r="J92" s="5"/>
    </row>
    <row r="93" spans="1:10" x14ac:dyDescent="0.25">
      <c r="A93" s="5" t="s">
        <v>585</v>
      </c>
      <c r="B93" s="5" t="s">
        <v>474</v>
      </c>
      <c r="C93" s="5" t="s">
        <v>494</v>
      </c>
      <c r="D93" s="54" t="s">
        <v>590</v>
      </c>
      <c r="E93" s="26" t="b">
        <f>IF(B93="", "",COUNTIF(RawData!G:G,B93)&gt;0)</f>
        <v>0</v>
      </c>
      <c r="G93" s="5"/>
      <c r="H93" s="5"/>
      <c r="I93" s="5"/>
      <c r="J93" s="5"/>
    </row>
    <row r="94" spans="1:10" x14ac:dyDescent="0.25">
      <c r="A94" s="5" t="s">
        <v>586</v>
      </c>
      <c r="B94" s="5" t="s">
        <v>475</v>
      </c>
      <c r="C94" s="5" t="s">
        <v>494</v>
      </c>
      <c r="D94" s="54" t="s">
        <v>590</v>
      </c>
      <c r="E94" s="26" t="b">
        <f>IF(B94="", "",COUNTIF(RawData!G:G,B94)&gt;0)</f>
        <v>0</v>
      </c>
      <c r="G94" s="5"/>
      <c r="H94" s="5"/>
      <c r="I94" s="5"/>
      <c r="J94" s="5"/>
    </row>
    <row r="95" spans="1:10" x14ac:dyDescent="0.25">
      <c r="A95" s="5" t="s">
        <v>587</v>
      </c>
      <c r="B95" s="5" t="s">
        <v>476</v>
      </c>
      <c r="C95" s="5" t="s">
        <v>494</v>
      </c>
      <c r="D95" s="54" t="s">
        <v>590</v>
      </c>
      <c r="E95" s="26" t="b">
        <f>IF(B95="", "",COUNTIF(RawData!G:G,B95)&gt;0)</f>
        <v>0</v>
      </c>
      <c r="G95" s="5"/>
      <c r="H95" s="5"/>
      <c r="I95" s="5"/>
      <c r="J95" s="5"/>
    </row>
    <row r="96" spans="1:10" x14ac:dyDescent="0.25">
      <c r="A96" s="5" t="s">
        <v>588</v>
      </c>
      <c r="B96" s="5" t="s">
        <v>477</v>
      </c>
      <c r="C96" s="5" t="s">
        <v>494</v>
      </c>
      <c r="D96" s="54" t="s">
        <v>590</v>
      </c>
      <c r="E96" s="26" t="b">
        <f>IF(B96="", "",COUNTIF(RawData!G:G,B96)&gt;0)</f>
        <v>0</v>
      </c>
      <c r="G96" s="5"/>
      <c r="H96" s="5"/>
      <c r="I96" s="5"/>
      <c r="J96" s="5"/>
    </row>
    <row r="97" spans="1:10" x14ac:dyDescent="0.25">
      <c r="A97" s="5" t="s">
        <v>589</v>
      </c>
      <c r="B97" s="5" t="s">
        <v>478</v>
      </c>
      <c r="C97" s="5" t="s">
        <v>494</v>
      </c>
      <c r="D97" s="54" t="s">
        <v>590</v>
      </c>
      <c r="E97" s="26" t="b">
        <f>IF(B97="", "",COUNTIF(RawData!G:G,B97)&gt;0)</f>
        <v>0</v>
      </c>
      <c r="G97" s="5"/>
      <c r="H97" s="5"/>
      <c r="I97" s="5"/>
      <c r="J97" s="5"/>
    </row>
    <row r="98" spans="1:10" x14ac:dyDescent="0.25">
      <c r="A98" s="41"/>
      <c r="E98" s="26" t="str">
        <f>IF(B98="", "",COUNTIF(RawData!G:G,B98)&gt;0)</f>
        <v/>
      </c>
      <c r="G98" s="40"/>
    </row>
    <row r="99" spans="1:10" x14ac:dyDescent="0.25">
      <c r="E99" s="26" t="str">
        <f>IF(B99="", "",COUNTIF(RawData!G:G,B99)&gt;0)</f>
        <v/>
      </c>
    </row>
    <row r="100" spans="1:10" x14ac:dyDescent="0.25">
      <c r="E100" s="26" t="str">
        <f>IF(B100="", "",COUNTIF(RawData!G:G,B100)&gt;0)</f>
        <v/>
      </c>
    </row>
    <row r="101" spans="1:10" x14ac:dyDescent="0.25">
      <c r="E101" s="26" t="str">
        <f>IF(B101="", "",COUNTIF(RawData!G:G,B101)&gt;0)</f>
        <v/>
      </c>
    </row>
    <row r="102" spans="1:10" x14ac:dyDescent="0.25">
      <c r="E102" s="26" t="str">
        <f>IF(B102="", "",COUNTIF(RawData!G:G,B102)&gt;0)</f>
        <v/>
      </c>
    </row>
    <row r="103" spans="1:10" x14ac:dyDescent="0.25">
      <c r="E103" s="26" t="str">
        <f>IF(B103="", "",COUNTIF(RawData!G:G,B103)&gt;0)</f>
        <v/>
      </c>
    </row>
    <row r="104" spans="1:10" x14ac:dyDescent="0.25">
      <c r="E104" s="26" t="str">
        <f>IF(B104="", "",COUNTIF(RawData!G:G,B104)&gt;0)</f>
        <v/>
      </c>
    </row>
    <row r="105" spans="1:10" x14ac:dyDescent="0.25">
      <c r="E105" s="26" t="str">
        <f>IF(B105="", "",COUNTIF(RawData!G:G,B105)&gt;0)</f>
        <v/>
      </c>
    </row>
    <row r="106" spans="1:10" x14ac:dyDescent="0.25">
      <c r="E106" s="26" t="str">
        <f>IF(B106="", "",COUNTIF(RawData!G:G,B106)&gt;0)</f>
        <v/>
      </c>
    </row>
    <row r="107" spans="1:10" x14ac:dyDescent="0.25">
      <c r="E107" s="26" t="str">
        <f>IF(B107="", "",COUNTIF(RawData!G:G,B107)&gt;0)</f>
        <v/>
      </c>
    </row>
    <row r="108" spans="1:10" x14ac:dyDescent="0.25">
      <c r="E108" s="26" t="str">
        <f>IF(B108="", "",COUNTIF(RawData!G:G,B108)&gt;0)</f>
        <v/>
      </c>
    </row>
    <row r="109" spans="1:10" x14ac:dyDescent="0.25">
      <c r="E109" s="26" t="str">
        <f>IF(B109="", "",COUNTIF(RawData!G:G,B109)&gt;0)</f>
        <v/>
      </c>
    </row>
    <row r="110" spans="1:10" x14ac:dyDescent="0.25">
      <c r="E110" s="26" t="str">
        <f>IF(B110="", "",COUNTIF(RawData!G:G,B110)&gt;0)</f>
        <v/>
      </c>
    </row>
    <row r="111" spans="1:10" x14ac:dyDescent="0.25">
      <c r="E111" s="26" t="str">
        <f>IF(B111="", "",COUNTIF(RawData!G:G,B111)&gt;0)</f>
        <v/>
      </c>
    </row>
    <row r="112" spans="1:10" x14ac:dyDescent="0.25">
      <c r="E112" s="26" t="str">
        <f>IF(B112="", "",COUNTIF(RawData!G:G,B112)&gt;0)</f>
        <v/>
      </c>
    </row>
    <row r="113" spans="5:5" x14ac:dyDescent="0.25">
      <c r="E113" s="26" t="str">
        <f>IF(B113="", "",COUNTIF(RawData!G:G,B113)&gt;0)</f>
        <v/>
      </c>
    </row>
    <row r="114" spans="5:5" x14ac:dyDescent="0.25">
      <c r="E114" s="26" t="str">
        <f>IF(B114="", "",COUNTIF(RawData!G:G,B114)&gt;0)</f>
        <v/>
      </c>
    </row>
    <row r="115" spans="5:5" x14ac:dyDescent="0.25">
      <c r="E115" s="26" t="str">
        <f>IF(B115="", "",COUNTIF(RawData!G:G,B115)&gt;0)</f>
        <v/>
      </c>
    </row>
    <row r="116" spans="5:5" x14ac:dyDescent="0.25">
      <c r="E116" s="26" t="str">
        <f>IF(B116="", "",COUNTIF(RawData!G:G,B116)&gt;0)</f>
        <v/>
      </c>
    </row>
    <row r="117" spans="5:5" x14ac:dyDescent="0.25">
      <c r="E117" s="26" t="str">
        <f>IF(B117="", "",COUNTIF(RawData!G:G,B117)&gt;0)</f>
        <v/>
      </c>
    </row>
    <row r="118" spans="5:5" x14ac:dyDescent="0.25">
      <c r="E118" s="26" t="str">
        <f>IF(B118="", "",COUNTIF(RawData!G:G,B118)&gt;0)</f>
        <v/>
      </c>
    </row>
    <row r="119" spans="5:5" x14ac:dyDescent="0.25">
      <c r="E119" s="26" t="str">
        <f>IF(B119="", "",COUNTIF(RawData!G:G,B119)&gt;0)</f>
        <v/>
      </c>
    </row>
    <row r="120" spans="5:5" x14ac:dyDescent="0.25">
      <c r="E120" s="26" t="str">
        <f>IF(B120="", "",COUNTIF(RawData!G:G,B120)&gt;0)</f>
        <v/>
      </c>
    </row>
    <row r="121" spans="5:5" x14ac:dyDescent="0.25">
      <c r="E121" s="26" t="str">
        <f>IF(B121="", "",COUNTIF(RawData!G:G,B121)&gt;0)</f>
        <v/>
      </c>
    </row>
    <row r="122" spans="5:5" x14ac:dyDescent="0.25">
      <c r="E122" s="26" t="str">
        <f>IF(B122="", "",COUNTIF(RawData!G:G,B122)&gt;0)</f>
        <v/>
      </c>
    </row>
    <row r="123" spans="5:5" x14ac:dyDescent="0.25">
      <c r="E123" s="26" t="str">
        <f>IF(B123="", "",COUNTIF(RawData!G:G,B123)&gt;0)</f>
        <v/>
      </c>
    </row>
    <row r="124" spans="5:5" x14ac:dyDescent="0.25">
      <c r="E124" s="26" t="str">
        <f>IF(B124="", "",COUNTIF(RawData!G:G,B124)&gt;0)</f>
        <v/>
      </c>
    </row>
    <row r="125" spans="5:5" x14ac:dyDescent="0.25">
      <c r="E125" s="26" t="str">
        <f>IF(B125="", "",COUNTIF(RawData!G:G,B125)&gt;0)</f>
        <v/>
      </c>
    </row>
    <row r="126" spans="5:5" x14ac:dyDescent="0.25">
      <c r="E126" s="26" t="str">
        <f>IF(B126="", "",COUNTIF(RawData!G:G,B126)&gt;0)</f>
        <v/>
      </c>
    </row>
    <row r="127" spans="5:5" x14ac:dyDescent="0.25">
      <c r="E127" s="26" t="str">
        <f>IF(B127="", "",COUNTIF(RawData!G:G,B127)&gt;0)</f>
        <v/>
      </c>
    </row>
    <row r="128" spans="5:5" x14ac:dyDescent="0.25">
      <c r="E128" s="26" t="str">
        <f>IF(B128="", "",COUNTIF(RawData!G:G,B128)&gt;0)</f>
        <v/>
      </c>
    </row>
    <row r="129" spans="5:5" x14ac:dyDescent="0.25">
      <c r="E129" s="26" t="str">
        <f>IF(B129="", "",COUNTIF(RawData!G:G,B129)&gt;0)</f>
        <v/>
      </c>
    </row>
    <row r="130" spans="5:5" x14ac:dyDescent="0.25">
      <c r="E130" s="26" t="str">
        <f>IF(B130="", "",COUNTIF(RawData!G:G,B130)&gt;0)</f>
        <v/>
      </c>
    </row>
    <row r="131" spans="5:5" x14ac:dyDescent="0.25">
      <c r="E131" s="26" t="str">
        <f>IF(B131="", "",COUNTIF(RawData!G:G,B131)&gt;0)</f>
        <v/>
      </c>
    </row>
    <row r="132" spans="5:5" x14ac:dyDescent="0.25">
      <c r="E132" s="26" t="str">
        <f>IF(B132="", "",COUNTIF(RawData!G:G,B132)&gt;0)</f>
        <v/>
      </c>
    </row>
    <row r="133" spans="5:5" x14ac:dyDescent="0.25">
      <c r="E133" s="26" t="str">
        <f>IF(B133="", "",COUNTIF(RawData!G:G,B133)&gt;0)</f>
        <v/>
      </c>
    </row>
    <row r="134" spans="5:5" x14ac:dyDescent="0.25">
      <c r="E134" s="26" t="str">
        <f>IF(B134="", "",COUNTIF(RawData!G:G,B134)&gt;0)</f>
        <v/>
      </c>
    </row>
    <row r="135" spans="5:5" x14ac:dyDescent="0.25">
      <c r="E135" s="26" t="str">
        <f>IF(B135="", "",COUNTIF(RawData!G:G,B135)&gt;0)</f>
        <v/>
      </c>
    </row>
    <row r="136" spans="5:5" x14ac:dyDescent="0.25">
      <c r="E136" s="26" t="str">
        <f>IF(B136="", "",COUNTIF(RawData!G:G,B136)&gt;0)</f>
        <v/>
      </c>
    </row>
    <row r="137" spans="5:5" x14ac:dyDescent="0.25">
      <c r="E137" s="26" t="str">
        <f>IF(B137="", "",COUNTIF(RawData!G:G,B137)&gt;0)</f>
        <v/>
      </c>
    </row>
    <row r="138" spans="5:5" x14ac:dyDescent="0.25">
      <c r="E138" s="26" t="str">
        <f>IF(B138="", "",COUNTIF(RawData!G:G,B138)&gt;0)</f>
        <v/>
      </c>
    </row>
    <row r="139" spans="5:5" x14ac:dyDescent="0.25">
      <c r="E139" s="26" t="str">
        <f>IF(B139="", "",COUNTIF(RawData!G:G,B139)&gt;0)</f>
        <v/>
      </c>
    </row>
    <row r="140" spans="5:5" x14ac:dyDescent="0.25">
      <c r="E140" s="26" t="str">
        <f>IF(B140="", "",COUNTIF(RawData!G:G,B140)&gt;0)</f>
        <v/>
      </c>
    </row>
    <row r="141" spans="5:5" x14ac:dyDescent="0.25">
      <c r="E141" s="26" t="str">
        <f>IF(B141="", "",COUNTIF(RawData!G:G,B141)&gt;0)</f>
        <v/>
      </c>
    </row>
    <row r="142" spans="5:5" x14ac:dyDescent="0.25">
      <c r="E142" s="26" t="str">
        <f>IF(B142="", "",COUNTIF(RawData!G:G,B142)&gt;0)</f>
        <v/>
      </c>
    </row>
    <row r="143" spans="5:5" x14ac:dyDescent="0.25">
      <c r="E143" s="26" t="str">
        <f>IF(B143="", "",COUNTIF(RawData!G:G,B143)&gt;0)</f>
        <v/>
      </c>
    </row>
    <row r="144" spans="5:5" x14ac:dyDescent="0.25">
      <c r="E144" s="26" t="str">
        <f>IF(B144="", "",COUNTIF(RawData!G:G,B144)&gt;0)</f>
        <v/>
      </c>
    </row>
    <row r="145" spans="5:5" x14ac:dyDescent="0.25">
      <c r="E145" s="26" t="str">
        <f>IF(B145="", "",COUNTIF(RawData!G:G,B145)&gt;0)</f>
        <v/>
      </c>
    </row>
    <row r="146" spans="5:5" x14ac:dyDescent="0.25">
      <c r="E146" s="26" t="str">
        <f>IF(B146="", "",COUNTIF(RawData!G:G,B146)&gt;0)</f>
        <v/>
      </c>
    </row>
    <row r="147" spans="5:5" x14ac:dyDescent="0.25">
      <c r="E147" s="26" t="str">
        <f>IF(B147="", "",COUNTIF(RawData!G:G,B147)&gt;0)</f>
        <v/>
      </c>
    </row>
    <row r="148" spans="5:5" x14ac:dyDescent="0.25">
      <c r="E148" s="26" t="str">
        <f>IF(B148="", "",COUNTIF(RawData!G:G,B148)&gt;0)</f>
        <v/>
      </c>
    </row>
    <row r="149" spans="5:5" x14ac:dyDescent="0.25">
      <c r="E149" s="26" t="str">
        <f>IF(B149="", "",COUNTIF(RawData!G:G,B149)&gt;0)</f>
        <v/>
      </c>
    </row>
    <row r="150" spans="5:5" x14ac:dyDescent="0.25">
      <c r="E150" s="26" t="str">
        <f>IF(B150="", "",COUNTIF(RawData!G:G,B150)&gt;0)</f>
        <v/>
      </c>
    </row>
    <row r="151" spans="5:5" x14ac:dyDescent="0.25">
      <c r="E151" s="26" t="str">
        <f>IF(B151="", "",COUNTIF(RawData!G:G,B151)&gt;0)</f>
        <v/>
      </c>
    </row>
    <row r="152" spans="5:5" x14ac:dyDescent="0.25">
      <c r="E152" s="26" t="str">
        <f>IF(B152="", "",COUNTIF(RawData!G:G,B152)&gt;0)</f>
        <v/>
      </c>
    </row>
    <row r="153" spans="5:5" x14ac:dyDescent="0.25">
      <c r="E153" s="26" t="str">
        <f>IF(B153="", "",COUNTIF(RawData!G:G,B153)&gt;0)</f>
        <v/>
      </c>
    </row>
    <row r="154" spans="5:5" x14ac:dyDescent="0.25">
      <c r="E154" s="26" t="str">
        <f>IF(B154="", "",COUNTIF(RawData!G:G,B154)&gt;0)</f>
        <v/>
      </c>
    </row>
    <row r="155" spans="5:5" x14ac:dyDescent="0.25">
      <c r="E155" s="26" t="str">
        <f>IF(B155="", "",COUNTIF(RawData!G:G,B155)&gt;0)</f>
        <v/>
      </c>
    </row>
    <row r="156" spans="5:5" x14ac:dyDescent="0.25">
      <c r="E156" s="26" t="str">
        <f>IF(B156="", "",COUNTIF(RawData!G:G,B156)&gt;0)</f>
        <v/>
      </c>
    </row>
    <row r="157" spans="5:5" x14ac:dyDescent="0.25">
      <c r="E157" s="26" t="str">
        <f>IF(B157="", "",COUNTIF(RawData!G:G,B157)&gt;0)</f>
        <v/>
      </c>
    </row>
    <row r="158" spans="5:5" x14ac:dyDescent="0.25">
      <c r="E158" s="26" t="str">
        <f>IF(B158="", "",COUNTIF(RawData!G:G,B158)&gt;0)</f>
        <v/>
      </c>
    </row>
    <row r="159" spans="5:5" x14ac:dyDescent="0.25">
      <c r="E159" s="26" t="str">
        <f>IF(B159="", "",COUNTIF(RawData!G:G,B159)&gt;0)</f>
        <v/>
      </c>
    </row>
    <row r="160" spans="5:5" x14ac:dyDescent="0.25">
      <c r="E160" s="26" t="str">
        <f>IF(B160="", "",COUNTIF(RawData!G:G,B160)&gt;0)</f>
        <v/>
      </c>
    </row>
    <row r="161" spans="5:5" x14ac:dyDescent="0.25">
      <c r="E161" s="26" t="str">
        <f>IF(B161="", "",COUNTIF(RawData!G:G,B161)&gt;0)</f>
        <v/>
      </c>
    </row>
    <row r="162" spans="5:5" x14ac:dyDescent="0.25">
      <c r="E162" s="26" t="str">
        <f>IF(B162="", "",COUNTIF(RawData!G:G,B162)&gt;0)</f>
        <v/>
      </c>
    </row>
    <row r="163" spans="5:5" x14ac:dyDescent="0.25">
      <c r="E163" s="26" t="str">
        <f>IF(B163="", "",COUNTIF(RawData!G:G,B163)&gt;0)</f>
        <v/>
      </c>
    </row>
    <row r="164" spans="5:5" x14ac:dyDescent="0.25">
      <c r="E164" s="26" t="str">
        <f>IF(B164="", "",COUNTIF(RawData!G:G,B164)&gt;0)</f>
        <v/>
      </c>
    </row>
    <row r="165" spans="5:5" x14ac:dyDescent="0.25">
      <c r="E165" s="26" t="str">
        <f>IF(B165="", "",COUNTIF(RawData!G:G,B165)&gt;0)</f>
        <v/>
      </c>
    </row>
    <row r="166" spans="5:5" x14ac:dyDescent="0.25">
      <c r="E166" s="26" t="str">
        <f>IF(B166="", "",COUNTIF(RawData!G:G,B166)&gt;0)</f>
        <v/>
      </c>
    </row>
    <row r="167" spans="5:5" x14ac:dyDescent="0.25">
      <c r="E167" s="26" t="str">
        <f>IF(B167="", "",COUNTIF(RawData!G:G,B167)&gt;0)</f>
        <v/>
      </c>
    </row>
    <row r="168" spans="5:5" x14ac:dyDescent="0.25">
      <c r="E168" s="26" t="str">
        <f>IF(B168="", "",COUNTIF(RawData!G:G,B168)&gt;0)</f>
        <v/>
      </c>
    </row>
    <row r="169" spans="5:5" x14ac:dyDescent="0.25">
      <c r="E169" s="26" t="str">
        <f>IF(B169="", "",COUNTIF(RawData!G:G,B169)&gt;0)</f>
        <v/>
      </c>
    </row>
    <row r="170" spans="5:5" x14ac:dyDescent="0.25">
      <c r="E170" s="26" t="str">
        <f>IF(B170="", "",COUNTIF(RawData!G:G,B170)&gt;0)</f>
        <v/>
      </c>
    </row>
    <row r="171" spans="5:5" x14ac:dyDescent="0.25">
      <c r="E171" s="26" t="str">
        <f>IF(B171="", "",COUNTIF(RawData!G:G,B171)&gt;0)</f>
        <v/>
      </c>
    </row>
    <row r="172" spans="5:5" x14ac:dyDescent="0.25">
      <c r="E172" s="26" t="str">
        <f>IF(B172="", "",COUNTIF(RawData!G:G,B172)&gt;0)</f>
        <v/>
      </c>
    </row>
    <row r="173" spans="5:5" x14ac:dyDescent="0.25">
      <c r="E173" s="26" t="str">
        <f>IF(B173="", "",COUNTIF(RawData!G:G,B173)&gt;0)</f>
        <v/>
      </c>
    </row>
    <row r="174" spans="5:5" x14ac:dyDescent="0.25">
      <c r="E174" s="26" t="str">
        <f>IF(B174="", "",COUNTIF(RawData!G:G,B174)&gt;0)</f>
        <v/>
      </c>
    </row>
    <row r="175" spans="5:5" x14ac:dyDescent="0.25">
      <c r="E175" s="26" t="str">
        <f>IF(B175="", "",COUNTIF(RawData!G:G,B175)&gt;0)</f>
        <v/>
      </c>
    </row>
    <row r="176" spans="5:5" x14ac:dyDescent="0.25">
      <c r="E176" s="26" t="str">
        <f>IF(B176="", "",COUNTIF(RawData!G:G,B176)&gt;0)</f>
        <v/>
      </c>
    </row>
    <row r="177" spans="5:5" x14ac:dyDescent="0.25">
      <c r="E177" s="26" t="str">
        <f>IF(B177="", "",COUNTIF(RawData!G:G,B177)&gt;0)</f>
        <v/>
      </c>
    </row>
    <row r="178" spans="5:5" x14ac:dyDescent="0.25">
      <c r="E178" s="26" t="str">
        <f>IF(B178="", "",COUNTIF(RawData!G:G,B178)&gt;0)</f>
        <v/>
      </c>
    </row>
    <row r="179" spans="5:5" x14ac:dyDescent="0.25">
      <c r="E179" s="26" t="str">
        <f>IF(B179="", "",COUNTIF(RawData!G:G,B179)&gt;0)</f>
        <v/>
      </c>
    </row>
    <row r="180" spans="5:5" x14ac:dyDescent="0.25">
      <c r="E180" s="26" t="str">
        <f>IF(B180="", "",COUNTIF(RawData!G:G,B180)&gt;0)</f>
        <v/>
      </c>
    </row>
    <row r="181" spans="5:5" x14ac:dyDescent="0.25">
      <c r="E181" s="26" t="str">
        <f>IF(B181="", "",COUNTIF(RawData!G:G,B181)&gt;0)</f>
        <v/>
      </c>
    </row>
    <row r="182" spans="5:5" x14ac:dyDescent="0.25">
      <c r="E182" s="26" t="str">
        <f>IF(B182="", "",COUNTIF(RawData!G:G,B182)&gt;0)</f>
        <v/>
      </c>
    </row>
    <row r="183" spans="5:5" x14ac:dyDescent="0.25">
      <c r="E183" s="26" t="str">
        <f>IF(B183="", "",COUNTIF(RawData!G:G,B183)&gt;0)</f>
        <v/>
      </c>
    </row>
    <row r="184" spans="5:5" x14ac:dyDescent="0.25">
      <c r="E184" s="26" t="str">
        <f>IF(B184="", "",COUNTIF(RawData!G:G,B184)&gt;0)</f>
        <v/>
      </c>
    </row>
    <row r="185" spans="5:5" x14ac:dyDescent="0.25">
      <c r="E185" s="26" t="str">
        <f>IF(B185="", "",COUNTIF(RawData!G:G,B185)&gt;0)</f>
        <v/>
      </c>
    </row>
    <row r="186" spans="5:5" x14ac:dyDescent="0.25">
      <c r="E186" s="26" t="str">
        <f>IF(B186="", "",COUNTIF(RawData!G:G,B186)&gt;0)</f>
        <v/>
      </c>
    </row>
    <row r="187" spans="5:5" x14ac:dyDescent="0.25">
      <c r="E187" s="26" t="str">
        <f>IF(B187="", "",COUNTIF(RawData!G:G,B187)&gt;0)</f>
        <v/>
      </c>
    </row>
    <row r="188" spans="5:5" x14ac:dyDescent="0.25">
      <c r="E188" s="26" t="str">
        <f>IF(B188="", "",COUNTIF(RawData!G:G,B188)&gt;0)</f>
        <v/>
      </c>
    </row>
    <row r="189" spans="5:5" x14ac:dyDescent="0.25">
      <c r="E189" s="26" t="str">
        <f>IF(B189="", "",COUNTIF(RawData!G:G,B189)&gt;0)</f>
        <v/>
      </c>
    </row>
    <row r="190" spans="5:5" x14ac:dyDescent="0.25">
      <c r="E190" s="26" t="str">
        <f>IF(B190="", "",COUNTIF(RawData!G:G,B190)&gt;0)</f>
        <v/>
      </c>
    </row>
    <row r="191" spans="5:5" x14ac:dyDescent="0.25">
      <c r="E191" s="26" t="str">
        <f>IF(B191="", "",COUNTIF(RawData!G:G,B191)&gt;0)</f>
        <v/>
      </c>
    </row>
    <row r="192" spans="5:5" x14ac:dyDescent="0.25">
      <c r="E192" s="26" t="str">
        <f>IF(B192="", "",COUNTIF(RawData!G:G,B192)&gt;0)</f>
        <v/>
      </c>
    </row>
    <row r="193" spans="5:5" x14ac:dyDescent="0.25">
      <c r="E193" s="26" t="str">
        <f>IF(B193="", "",COUNTIF(RawData!G:G,B193)&gt;0)</f>
        <v/>
      </c>
    </row>
    <row r="194" spans="5:5" x14ac:dyDescent="0.25">
      <c r="E194" s="26" t="str">
        <f>IF(B194="", "",COUNTIF(RawData!G:G,B194)&gt;0)</f>
        <v/>
      </c>
    </row>
    <row r="195" spans="5:5" x14ac:dyDescent="0.25">
      <c r="E195" s="26" t="str">
        <f>IF(B195="", "",COUNTIF(RawData!G:G,B195)&gt;0)</f>
        <v/>
      </c>
    </row>
    <row r="196" spans="5:5" x14ac:dyDescent="0.25">
      <c r="E196" s="26" t="str">
        <f>IF(B196="", "",COUNTIF(RawData!G:G,B196)&gt;0)</f>
        <v/>
      </c>
    </row>
    <row r="197" spans="5:5" x14ac:dyDescent="0.25">
      <c r="E197" s="26" t="str">
        <f>IF(B197="", "",COUNTIF(RawData!G:G,B197)&gt;0)</f>
        <v/>
      </c>
    </row>
    <row r="198" spans="5:5" x14ac:dyDescent="0.25">
      <c r="E198" s="26" t="str">
        <f>IF(B198="", "",COUNTIF(RawData!G:G,B198)&gt;0)</f>
        <v/>
      </c>
    </row>
    <row r="199" spans="5:5" x14ac:dyDescent="0.25">
      <c r="E199" s="26" t="str">
        <f>IF(B199="", "",COUNTIF(RawData!G:G,B199)&gt;0)</f>
        <v/>
      </c>
    </row>
    <row r="200" spans="5:5" x14ac:dyDescent="0.25">
      <c r="E200" s="26" t="str">
        <f>IF(B200="", "",COUNTIF(RawData!G:G,B200)&gt;0)</f>
        <v/>
      </c>
    </row>
    <row r="201" spans="5:5" x14ac:dyDescent="0.25">
      <c r="E201" s="26" t="str">
        <f>IF(B201="", "",COUNTIF(RawData!G:G,B201)&gt;0)</f>
        <v/>
      </c>
    </row>
    <row r="202" spans="5:5" x14ac:dyDescent="0.25">
      <c r="E202" s="26" t="str">
        <f>IF(B202="", "",COUNTIF(RawData!G:G,B202)&gt;0)</f>
        <v/>
      </c>
    </row>
    <row r="203" spans="5:5" x14ac:dyDescent="0.25">
      <c r="E203" s="26" t="str">
        <f>IF(B203="", "",COUNTIF(RawData!G:G,B203)&gt;0)</f>
        <v/>
      </c>
    </row>
    <row r="204" spans="5:5" x14ac:dyDescent="0.25">
      <c r="E204" s="26" t="str">
        <f>IF(B204="", "",COUNTIF(RawData!G:G,B204)&gt;0)</f>
        <v/>
      </c>
    </row>
    <row r="205" spans="5:5" x14ac:dyDescent="0.25">
      <c r="E205" s="26" t="str">
        <f>IF(B205="", "",COUNTIF(RawData!G:G,B205)&gt;0)</f>
        <v/>
      </c>
    </row>
    <row r="206" spans="5:5" x14ac:dyDescent="0.25">
      <c r="E206" s="26" t="str">
        <f>IF(B206="", "",COUNTIF(RawData!G:G,B206)&gt;0)</f>
        <v/>
      </c>
    </row>
    <row r="207" spans="5:5" x14ac:dyDescent="0.25">
      <c r="E207" s="26" t="str">
        <f>IF(B207="", "",COUNTIF(RawData!G:G,B207)&gt;0)</f>
        <v/>
      </c>
    </row>
    <row r="208" spans="5:5" x14ac:dyDescent="0.25">
      <c r="E208" s="26" t="str">
        <f>IF(B208="", "",COUNTIF(RawData!G:G,B208)&gt;0)</f>
        <v/>
      </c>
    </row>
    <row r="209" spans="5:5" x14ac:dyDescent="0.25">
      <c r="E209" s="26" t="str">
        <f>IF(B209="", "",COUNTIF(RawData!G:G,B209)&gt;0)</f>
        <v/>
      </c>
    </row>
    <row r="210" spans="5:5" x14ac:dyDescent="0.25">
      <c r="E210" s="26" t="str">
        <f>IF(B210="", "",COUNTIF(RawData!G:G,B210)&gt;0)</f>
        <v/>
      </c>
    </row>
    <row r="211" spans="5:5" x14ac:dyDescent="0.25">
      <c r="E211" s="26" t="str">
        <f>IF(B211="", "",COUNTIF(RawData!G:G,B211)&gt;0)</f>
        <v/>
      </c>
    </row>
    <row r="212" spans="5:5" x14ac:dyDescent="0.25">
      <c r="E212" s="26" t="str">
        <f>IF(B212="", "",COUNTIF(RawData!G:G,B212)&gt;0)</f>
        <v/>
      </c>
    </row>
    <row r="213" spans="5:5" x14ac:dyDescent="0.25">
      <c r="E213" s="26" t="str">
        <f>IF(B213="", "",COUNTIF(RawData!G:G,B213)&gt;0)</f>
        <v/>
      </c>
    </row>
    <row r="214" spans="5:5" x14ac:dyDescent="0.25">
      <c r="E214" s="26" t="str">
        <f>IF(B214="", "",COUNTIF(RawData!G:G,B214)&gt;0)</f>
        <v/>
      </c>
    </row>
    <row r="215" spans="5:5" x14ac:dyDescent="0.25">
      <c r="E215" s="26" t="str">
        <f>IF(B215="", "",COUNTIF(RawData!G:G,B215)&gt;0)</f>
        <v/>
      </c>
    </row>
    <row r="216" spans="5:5" x14ac:dyDescent="0.25">
      <c r="E216" s="26" t="str">
        <f>IF(B216="", "",COUNTIF(RawData!G:G,B216)&gt;0)</f>
        <v/>
      </c>
    </row>
    <row r="217" spans="5:5" x14ac:dyDescent="0.25">
      <c r="E217" s="26" t="str">
        <f>IF(B217="", "",COUNTIF(RawData!G:G,B217)&gt;0)</f>
        <v/>
      </c>
    </row>
    <row r="218" spans="5:5" x14ac:dyDescent="0.25">
      <c r="E218" s="26" t="str">
        <f>IF(B218="", "",COUNTIF(RawData!G:G,B218)&gt;0)</f>
        <v/>
      </c>
    </row>
    <row r="219" spans="5:5" x14ac:dyDescent="0.25">
      <c r="E219" s="26" t="str">
        <f>IF(B219="", "",COUNTIF(RawData!G:G,B219)&gt;0)</f>
        <v/>
      </c>
    </row>
    <row r="220" spans="5:5" x14ac:dyDescent="0.25">
      <c r="E220" s="26" t="str">
        <f>IF(B220="", "",COUNTIF(RawData!G:G,B220)&gt;0)</f>
        <v/>
      </c>
    </row>
    <row r="221" spans="5:5" x14ac:dyDescent="0.25">
      <c r="E221" s="26" t="str">
        <f>IF(B221="", "",COUNTIF(RawData!G:G,B221)&gt;0)</f>
        <v/>
      </c>
    </row>
    <row r="222" spans="5:5" x14ac:dyDescent="0.25">
      <c r="E222" s="26" t="str">
        <f>IF(B222="", "",COUNTIF(RawData!G:G,B222)&gt;0)</f>
        <v/>
      </c>
    </row>
    <row r="223" spans="5:5" x14ac:dyDescent="0.25">
      <c r="E223" s="26" t="str">
        <f>IF(B223="", "",COUNTIF(RawData!G:G,B223)&gt;0)</f>
        <v/>
      </c>
    </row>
    <row r="224" spans="5:5" x14ac:dyDescent="0.25">
      <c r="E224" s="26" t="str">
        <f>IF(B224="", "",COUNTIF(RawData!G:G,B224)&gt;0)</f>
        <v/>
      </c>
    </row>
    <row r="225" spans="5:5" x14ac:dyDescent="0.25">
      <c r="E225" s="26" t="str">
        <f>IF(B225="", "",COUNTIF(RawData!G:G,B225)&gt;0)</f>
        <v/>
      </c>
    </row>
    <row r="226" spans="5:5" x14ac:dyDescent="0.25">
      <c r="E226" s="26" t="str">
        <f>IF(B226="", "",COUNTIF(RawData!G:G,B226)&gt;0)</f>
        <v/>
      </c>
    </row>
    <row r="227" spans="5:5" x14ac:dyDescent="0.25">
      <c r="E227" s="26" t="str">
        <f>IF(B227="", "",COUNTIF(RawData!G:G,B227)&gt;0)</f>
        <v/>
      </c>
    </row>
    <row r="228" spans="5:5" x14ac:dyDescent="0.25">
      <c r="E228" s="26" t="str">
        <f>IF(B228="", "",COUNTIF(RawData!G:G,B228)&gt;0)</f>
        <v/>
      </c>
    </row>
    <row r="229" spans="5:5" x14ac:dyDescent="0.25">
      <c r="E229" s="26" t="str">
        <f>IF(B229="", "",COUNTIF(RawData!G:G,B229)&gt;0)</f>
        <v/>
      </c>
    </row>
    <row r="230" spans="5:5" x14ac:dyDescent="0.25">
      <c r="E230" s="26" t="str">
        <f>IF(B230="", "",COUNTIF(RawData!G:G,B230)&gt;0)</f>
        <v/>
      </c>
    </row>
    <row r="231" spans="5:5" x14ac:dyDescent="0.25">
      <c r="E231" s="26" t="str">
        <f>IF(B231="", "",COUNTIF(RawData!G:G,B231)&gt;0)</f>
        <v/>
      </c>
    </row>
    <row r="232" spans="5:5" x14ac:dyDescent="0.25">
      <c r="E232" s="26" t="str">
        <f>IF(B232="", "",COUNTIF(RawData!G:G,B232)&gt;0)</f>
        <v/>
      </c>
    </row>
    <row r="233" spans="5:5" x14ac:dyDescent="0.25">
      <c r="E233" s="26" t="str">
        <f>IF(B233="", "",COUNTIF(RawData!G:G,B233)&gt;0)</f>
        <v/>
      </c>
    </row>
    <row r="234" spans="5:5" x14ac:dyDescent="0.25">
      <c r="E234" s="26" t="str">
        <f>IF(B234="", "",COUNTIF(RawData!G:G,B234)&gt;0)</f>
        <v/>
      </c>
    </row>
    <row r="235" spans="5:5" x14ac:dyDescent="0.25">
      <c r="E235" s="26" t="str">
        <f>IF(B235="", "",COUNTIF(RawData!G:G,B235)&gt;0)</f>
        <v/>
      </c>
    </row>
    <row r="236" spans="5:5" x14ac:dyDescent="0.25">
      <c r="E236" s="26" t="str">
        <f>IF(B236="", "",COUNTIF(RawData!G:G,B236)&gt;0)</f>
        <v/>
      </c>
    </row>
    <row r="237" spans="5:5" x14ac:dyDescent="0.25">
      <c r="E237" s="26" t="str">
        <f>IF(B237="", "",COUNTIF(RawData!G:G,B237)&gt;0)</f>
        <v/>
      </c>
    </row>
    <row r="238" spans="5:5" x14ac:dyDescent="0.25">
      <c r="E238" s="26" t="str">
        <f>IF(B238="", "",COUNTIF(RawData!G:G,B238)&gt;0)</f>
        <v/>
      </c>
    </row>
    <row r="239" spans="5:5" x14ac:dyDescent="0.25">
      <c r="E239" s="26" t="str">
        <f>IF(B239="", "",COUNTIF(RawData!G:G,B239)&gt;0)</f>
        <v/>
      </c>
    </row>
    <row r="240" spans="5:5" x14ac:dyDescent="0.25">
      <c r="E240" s="26" t="str">
        <f>IF(B240="", "",COUNTIF(RawData!G:G,B240)&gt;0)</f>
        <v/>
      </c>
    </row>
    <row r="241" spans="5:5" x14ac:dyDescent="0.25">
      <c r="E241" s="26" t="str">
        <f>IF(B241="", "",COUNTIF(RawData!G:G,B241)&gt;0)</f>
        <v/>
      </c>
    </row>
    <row r="242" spans="5:5" x14ac:dyDescent="0.25">
      <c r="E242" s="26" t="str">
        <f>IF(B242="", "",COUNTIF(RawData!G:G,B242)&gt;0)</f>
        <v/>
      </c>
    </row>
    <row r="243" spans="5:5" x14ac:dyDescent="0.25">
      <c r="E243" s="26" t="str">
        <f>IF(B243="", "",COUNTIF(RawData!G:G,B243)&gt;0)</f>
        <v/>
      </c>
    </row>
    <row r="244" spans="5:5" x14ac:dyDescent="0.25">
      <c r="E244" s="26" t="str">
        <f>IF(B244="", "",COUNTIF(RawData!G:G,B244)&gt;0)</f>
        <v/>
      </c>
    </row>
    <row r="245" spans="5:5" x14ac:dyDescent="0.25">
      <c r="E245" s="26" t="str">
        <f>IF(B245="", "",COUNTIF(RawData!G:G,B245)&gt;0)</f>
        <v/>
      </c>
    </row>
    <row r="246" spans="5:5" x14ac:dyDescent="0.25">
      <c r="E246" s="26" t="str">
        <f>IF(B246="", "",COUNTIF(RawData!G:G,B246)&gt;0)</f>
        <v/>
      </c>
    </row>
    <row r="247" spans="5:5" x14ac:dyDescent="0.25">
      <c r="E247" s="26" t="str">
        <f>IF(B247="", "",COUNTIF(RawData!G:G,B247)&gt;0)</f>
        <v/>
      </c>
    </row>
    <row r="248" spans="5:5" x14ac:dyDescent="0.25">
      <c r="E248" s="26" t="str">
        <f>IF(B248="", "",COUNTIF(RawData!G:G,B248)&gt;0)</f>
        <v/>
      </c>
    </row>
    <row r="249" spans="5:5" x14ac:dyDescent="0.25">
      <c r="E249" s="26" t="str">
        <f>IF(B249="", "",COUNTIF(RawData!G:G,B249)&gt;0)</f>
        <v/>
      </c>
    </row>
    <row r="250" spans="5:5" x14ac:dyDescent="0.25">
      <c r="E250" s="26" t="str">
        <f>IF(B250="", "",COUNTIF(RawData!G:G,B250)&gt;0)</f>
        <v/>
      </c>
    </row>
    <row r="251" spans="5:5" x14ac:dyDescent="0.25">
      <c r="E251" s="26" t="str">
        <f>IF(B251="", "",COUNTIF(RawData!G:G,B251)&gt;0)</f>
        <v/>
      </c>
    </row>
    <row r="252" spans="5:5" x14ac:dyDescent="0.25">
      <c r="E252" s="26" t="str">
        <f>IF(B252="", "",COUNTIF(RawData!G:G,B252)&gt;0)</f>
        <v/>
      </c>
    </row>
    <row r="253" spans="5:5" x14ac:dyDescent="0.25">
      <c r="E253" s="26" t="str">
        <f>IF(B253="", "",COUNTIF(RawData!G:G,B253)&gt;0)</f>
        <v/>
      </c>
    </row>
    <row r="254" spans="5:5" x14ac:dyDescent="0.25">
      <c r="E254" s="26" t="str">
        <f>IF(B254="", "",COUNTIF(RawData!G:G,B254)&gt;0)</f>
        <v/>
      </c>
    </row>
    <row r="255" spans="5:5" x14ac:dyDescent="0.25">
      <c r="E255" s="26" t="str">
        <f>IF(B255="", "",COUNTIF(RawData!G:G,B255)&gt;0)</f>
        <v/>
      </c>
    </row>
    <row r="256" spans="5:5" x14ac:dyDescent="0.25">
      <c r="E256" s="26" t="str">
        <f>IF(B256="", "",COUNTIF(RawData!G:G,B256)&gt;0)</f>
        <v/>
      </c>
    </row>
    <row r="257" spans="5:5" x14ac:dyDescent="0.25">
      <c r="E257" s="26" t="str">
        <f>IF(B257="", "",COUNTIF(RawData!G:G,B257)&gt;0)</f>
        <v/>
      </c>
    </row>
    <row r="258" spans="5:5" x14ac:dyDescent="0.25">
      <c r="E258" s="26" t="str">
        <f>IF(B258="", "",COUNTIF(RawData!G:G,B258)&gt;0)</f>
        <v/>
      </c>
    </row>
    <row r="259" spans="5:5" x14ac:dyDescent="0.25">
      <c r="E259" s="26" t="str">
        <f>IF(B259="", "",COUNTIF(RawData!G:G,B259)&gt;0)</f>
        <v/>
      </c>
    </row>
    <row r="260" spans="5:5" x14ac:dyDescent="0.25">
      <c r="E260" s="26" t="str">
        <f>IF(B260="", "",COUNTIF(RawData!G:G,B260)&gt;0)</f>
        <v/>
      </c>
    </row>
    <row r="261" spans="5:5" x14ac:dyDescent="0.25">
      <c r="E261" s="26" t="str">
        <f>IF(B261="", "",COUNTIF(RawData!G:G,B261)&gt;0)</f>
        <v/>
      </c>
    </row>
    <row r="262" spans="5:5" x14ac:dyDescent="0.25">
      <c r="E262" s="26" t="str">
        <f>IF(B262="", "",COUNTIF(RawData!G:G,B262)&gt;0)</f>
        <v/>
      </c>
    </row>
    <row r="263" spans="5:5" x14ac:dyDescent="0.25">
      <c r="E263" s="26" t="str">
        <f>IF(B263="", "",COUNTIF(RawData!G:G,B263)&gt;0)</f>
        <v/>
      </c>
    </row>
    <row r="264" spans="5:5" x14ac:dyDescent="0.25">
      <c r="E264" s="26" t="str">
        <f>IF(B264="", "",COUNTIF(RawData!G:G,B264)&gt;0)</f>
        <v/>
      </c>
    </row>
    <row r="265" spans="5:5" x14ac:dyDescent="0.25">
      <c r="E265" s="26" t="str">
        <f>IF(B265="", "",COUNTIF(RawData!G:G,B265)&gt;0)</f>
        <v/>
      </c>
    </row>
    <row r="266" spans="5:5" x14ac:dyDescent="0.25">
      <c r="E266" s="26" t="str">
        <f>IF(B266="", "",COUNTIF(RawData!G:G,B266)&gt;0)</f>
        <v/>
      </c>
    </row>
    <row r="267" spans="5:5" x14ac:dyDescent="0.25">
      <c r="E267" s="26" t="str">
        <f>IF(B267="", "",COUNTIF(RawData!G:G,B267)&gt;0)</f>
        <v/>
      </c>
    </row>
    <row r="268" spans="5:5" x14ac:dyDescent="0.25">
      <c r="E268" s="26" t="str">
        <f>IF(B268="", "",COUNTIF(RawData!G:G,B268)&gt;0)</f>
        <v/>
      </c>
    </row>
    <row r="269" spans="5:5" x14ac:dyDescent="0.25">
      <c r="E269" s="26" t="str">
        <f>IF(B269="", "",COUNTIF(RawData!G:G,B269)&gt;0)</f>
        <v/>
      </c>
    </row>
    <row r="270" spans="5:5" x14ac:dyDescent="0.25">
      <c r="E270" s="26" t="str">
        <f>IF(B270="", "",COUNTIF(RawData!G:G,B270)&gt;0)</f>
        <v/>
      </c>
    </row>
    <row r="271" spans="5:5" x14ac:dyDescent="0.25">
      <c r="E271" s="26" t="str">
        <f>IF(B271="", "",COUNTIF(RawData!G:G,B271)&gt;0)</f>
        <v/>
      </c>
    </row>
    <row r="272" spans="5:5" x14ac:dyDescent="0.25">
      <c r="E272" s="26" t="str">
        <f>IF(B272="", "",COUNTIF(RawData!G:G,B272)&gt;0)</f>
        <v/>
      </c>
    </row>
    <row r="273" spans="5:5" x14ac:dyDescent="0.25">
      <c r="E273" s="26" t="str">
        <f>IF(B273="", "",COUNTIF(RawData!G:G,B273)&gt;0)</f>
        <v/>
      </c>
    </row>
    <row r="274" spans="5:5" x14ac:dyDescent="0.25">
      <c r="E274" s="26" t="str">
        <f>IF(B274="", "",COUNTIF(RawData!G:G,B274)&gt;0)</f>
        <v/>
      </c>
    </row>
    <row r="275" spans="5:5" x14ac:dyDescent="0.25">
      <c r="E275" s="26" t="str">
        <f>IF(B275="", "",COUNTIF(RawData!G:G,B275)&gt;0)</f>
        <v/>
      </c>
    </row>
    <row r="276" spans="5:5" x14ac:dyDescent="0.25">
      <c r="E276" s="26" t="str">
        <f>IF(B276="", "",COUNTIF(RawData!G:G,B276)&gt;0)</f>
        <v/>
      </c>
    </row>
    <row r="277" spans="5:5" x14ac:dyDescent="0.25">
      <c r="E277" s="26" t="str">
        <f>IF(B277="", "",COUNTIF(RawData!G:G,B277)&gt;0)</f>
        <v/>
      </c>
    </row>
    <row r="278" spans="5:5" x14ac:dyDescent="0.25">
      <c r="E278" s="26" t="str">
        <f>IF(B278="", "",COUNTIF(RawData!G:G,B278)&gt;0)</f>
        <v/>
      </c>
    </row>
    <row r="279" spans="5:5" x14ac:dyDescent="0.25">
      <c r="E279" s="26" t="str">
        <f>IF(B279="", "",COUNTIF(RawData!G:G,B279)&gt;0)</f>
        <v/>
      </c>
    </row>
    <row r="280" spans="5:5" x14ac:dyDescent="0.25">
      <c r="E280" s="26" t="str">
        <f>IF(B280="", "",COUNTIF(RawData!G:G,B280)&gt;0)</f>
        <v/>
      </c>
    </row>
    <row r="281" spans="5:5" x14ac:dyDescent="0.25">
      <c r="E281" s="26" t="str">
        <f>IF(B281="", "",COUNTIF(RawData!G:G,B281)&gt;0)</f>
        <v/>
      </c>
    </row>
    <row r="282" spans="5:5" x14ac:dyDescent="0.25">
      <c r="E282" s="26" t="str">
        <f>IF(B282="", "",COUNTIF(RawData!G:G,B282)&gt;0)</f>
        <v/>
      </c>
    </row>
    <row r="283" spans="5:5" x14ac:dyDescent="0.25">
      <c r="E283" s="26" t="str">
        <f>IF(B283="", "",COUNTIF(RawData!G:G,B283)&gt;0)</f>
        <v/>
      </c>
    </row>
    <row r="284" spans="5:5" x14ac:dyDescent="0.25">
      <c r="E284" s="26" t="str">
        <f>IF(B284="", "",COUNTIF(RawData!G:G,B284)&gt;0)</f>
        <v/>
      </c>
    </row>
    <row r="285" spans="5:5" x14ac:dyDescent="0.25">
      <c r="E285" s="26" t="str">
        <f>IF(B285="", "",COUNTIF(RawData!G:G,B285)&gt;0)</f>
        <v/>
      </c>
    </row>
    <row r="286" spans="5:5" x14ac:dyDescent="0.25">
      <c r="E286" s="26" t="str">
        <f>IF(B286="", "",COUNTIF(RawData!G:G,B286)&gt;0)</f>
        <v/>
      </c>
    </row>
    <row r="287" spans="5:5" x14ac:dyDescent="0.25">
      <c r="E287" s="26" t="str">
        <f>IF(B287="", "",COUNTIF(RawData!G:G,B287)&gt;0)</f>
        <v/>
      </c>
    </row>
    <row r="288" spans="5:5" x14ac:dyDescent="0.25">
      <c r="E288" s="26" t="str">
        <f>IF(B288="", "",COUNTIF(RawData!G:G,B288)&gt;0)</f>
        <v/>
      </c>
    </row>
    <row r="289" spans="5:5" x14ac:dyDescent="0.25">
      <c r="E289" s="26" t="str">
        <f>IF(B289="", "",COUNTIF(RawData!G:G,B289)&gt;0)</f>
        <v/>
      </c>
    </row>
    <row r="290" spans="5:5" x14ac:dyDescent="0.25">
      <c r="E290" s="26" t="str">
        <f>IF(B290="", "",COUNTIF(RawData!G:G,B290)&gt;0)</f>
        <v/>
      </c>
    </row>
    <row r="291" spans="5:5" x14ac:dyDescent="0.25">
      <c r="E291" s="26" t="str">
        <f>IF(B291="", "",COUNTIF(RawData!G:G,B291)&gt;0)</f>
        <v/>
      </c>
    </row>
    <row r="292" spans="5:5" x14ac:dyDescent="0.25">
      <c r="E292" s="26" t="str">
        <f>IF(B292="", "",COUNTIF(RawData!G:G,B292)&gt;0)</f>
        <v/>
      </c>
    </row>
    <row r="293" spans="5:5" x14ac:dyDescent="0.25">
      <c r="E293" s="26" t="str">
        <f>IF(B293="", "",COUNTIF(RawData!G:G,B293)&gt;0)</f>
        <v/>
      </c>
    </row>
    <row r="294" spans="5:5" x14ac:dyDescent="0.25">
      <c r="E294" s="26" t="str">
        <f>IF(B294="", "",COUNTIF(RawData!G:G,B294)&gt;0)</f>
        <v/>
      </c>
    </row>
    <row r="295" spans="5:5" x14ac:dyDescent="0.25">
      <c r="E295" s="26" t="str">
        <f>IF(B295="", "",COUNTIF(RawData!G:G,B295)&gt;0)</f>
        <v/>
      </c>
    </row>
    <row r="296" spans="5:5" x14ac:dyDescent="0.25">
      <c r="E296" s="26" t="str">
        <f>IF(B296="", "",COUNTIF(RawData!G:G,B296)&gt;0)</f>
        <v/>
      </c>
    </row>
    <row r="297" spans="5:5" x14ac:dyDescent="0.25">
      <c r="E297" s="26" t="str">
        <f>IF(B297="", "",COUNTIF(RawData!G:G,B297)&gt;0)</f>
        <v/>
      </c>
    </row>
    <row r="298" spans="5:5" x14ac:dyDescent="0.25">
      <c r="E298" s="26" t="str">
        <f>IF(B298="", "",COUNTIF(RawData!G:G,B298)&gt;0)</f>
        <v/>
      </c>
    </row>
    <row r="299" spans="5:5" x14ac:dyDescent="0.25">
      <c r="E299" s="26" t="str">
        <f>IF(B299="", "",COUNTIF(RawData!G:G,B299)&gt;0)</f>
        <v/>
      </c>
    </row>
    <row r="300" spans="5:5" x14ac:dyDescent="0.25">
      <c r="E300" s="26" t="str">
        <f>IF(B300="", "",COUNTIF(RawData!G:G,B300)&gt;0)</f>
        <v/>
      </c>
    </row>
    <row r="301" spans="5:5" x14ac:dyDescent="0.25">
      <c r="E301" s="26" t="str">
        <f>IF(B301="", "",COUNTIF(RawData!G:G,B301)&gt;0)</f>
        <v/>
      </c>
    </row>
    <row r="302" spans="5:5" x14ac:dyDescent="0.25">
      <c r="E302" s="26" t="str">
        <f>IF(B302="", "",COUNTIF(RawData!G:G,B302)&gt;0)</f>
        <v/>
      </c>
    </row>
    <row r="303" spans="5:5" x14ac:dyDescent="0.25">
      <c r="E303" s="26" t="str">
        <f>IF(B303="", "",COUNTIF(RawData!G:G,B303)&gt;0)</f>
        <v/>
      </c>
    </row>
  </sheetData>
  <conditionalFormatting sqref="F1 E2:E303">
    <cfRule type="cellIs" dxfId="1" priority="1" operator="equal">
      <formula>TRUE</formula>
    </cfRule>
    <cfRule type="cellIs" dxfId="0" priority="2" operator="equal">
      <formula>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581025</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9"/>
  <sheetViews>
    <sheetView workbookViewId="0">
      <pane xSplit="1" ySplit="1" topLeftCell="C2" activePane="bottomRight" state="frozen"/>
      <selection activeCell="H17" sqref="H17"/>
      <selection pane="topRight" activeCell="H17" sqref="H17"/>
      <selection pane="bottomLeft" activeCell="H17" sqref="H17"/>
      <selection pane="bottomRight" activeCell="A16" sqref="A16:XFD16"/>
    </sheetView>
  </sheetViews>
  <sheetFormatPr defaultRowHeight="15" x14ac:dyDescent="0.25"/>
  <cols>
    <col min="1" max="1" width="24.28515625" bestFit="1" customWidth="1"/>
    <col min="2" max="2" width="19.5703125" customWidth="1"/>
    <col min="3" max="3" width="20.42578125" customWidth="1"/>
    <col min="4" max="4" width="8.7109375" bestFit="1" customWidth="1"/>
    <col min="5" max="6" width="15.85546875" customWidth="1"/>
    <col min="7" max="7" width="35" customWidth="1"/>
    <col min="8" max="8" width="13.85546875" style="26" customWidth="1"/>
    <col min="9" max="9" width="9.85546875" bestFit="1" customWidth="1"/>
    <col min="11" max="11" width="14.5703125" customWidth="1"/>
  </cols>
  <sheetData>
    <row r="1" spans="1:11" ht="60" x14ac:dyDescent="0.25">
      <c r="A1" s="1" t="s">
        <v>11</v>
      </c>
      <c r="B1" s="1" t="s">
        <v>17</v>
      </c>
      <c r="C1" s="1" t="s">
        <v>13</v>
      </c>
      <c r="D1" s="1" t="s">
        <v>12</v>
      </c>
      <c r="E1" s="3" t="s">
        <v>18</v>
      </c>
      <c r="F1" s="3" t="s">
        <v>267</v>
      </c>
      <c r="G1" s="4" t="s">
        <v>109</v>
      </c>
      <c r="H1" s="6" t="s">
        <v>200</v>
      </c>
      <c r="I1" s="2" t="s">
        <v>106</v>
      </c>
      <c r="J1" s="6" t="s">
        <v>128</v>
      </c>
      <c r="K1" s="6" t="s">
        <v>168</v>
      </c>
    </row>
    <row r="2" spans="1:11" x14ac:dyDescent="0.25">
      <c r="A2" t="s">
        <v>6</v>
      </c>
      <c r="F2" t="s">
        <v>203</v>
      </c>
      <c r="H2"/>
      <c r="K2" t="s">
        <v>312</v>
      </c>
    </row>
    <row r="3" spans="1:11" x14ac:dyDescent="0.25">
      <c r="A3" t="s">
        <v>161</v>
      </c>
      <c r="F3" t="s">
        <v>205</v>
      </c>
      <c r="H3"/>
      <c r="K3" t="s">
        <v>312</v>
      </c>
    </row>
    <row r="4" spans="1:11" x14ac:dyDescent="0.25">
      <c r="A4" t="s">
        <v>7</v>
      </c>
      <c r="F4" t="s">
        <v>204</v>
      </c>
      <c r="H4"/>
      <c r="K4" t="s">
        <v>312</v>
      </c>
    </row>
    <row r="5" spans="1:11" x14ac:dyDescent="0.25">
      <c r="A5" t="s">
        <v>172</v>
      </c>
      <c r="H5"/>
    </row>
    <row r="6" spans="1:11" s="26" customFormat="1" x14ac:dyDescent="0.25">
      <c r="A6" t="s">
        <v>169</v>
      </c>
      <c r="B6"/>
      <c r="C6"/>
      <c r="D6"/>
      <c r="E6"/>
      <c r="F6"/>
      <c r="G6"/>
      <c r="H6"/>
      <c r="I6"/>
      <c r="J6"/>
      <c r="K6" t="s">
        <v>312</v>
      </c>
    </row>
    <row r="7" spans="1:11" x14ac:dyDescent="0.25">
      <c r="A7" t="s">
        <v>5</v>
      </c>
      <c r="F7" t="s">
        <v>202</v>
      </c>
      <c r="H7"/>
      <c r="K7" t="s">
        <v>312</v>
      </c>
    </row>
    <row r="8" spans="1:11" x14ac:dyDescent="0.25">
      <c r="A8" t="s">
        <v>368</v>
      </c>
      <c r="D8" t="s">
        <v>312</v>
      </c>
      <c r="H8"/>
    </row>
    <row r="9" spans="1:11" x14ac:dyDescent="0.25">
      <c r="A9" t="s">
        <v>369</v>
      </c>
      <c r="D9" t="s">
        <v>312</v>
      </c>
      <c r="H9"/>
    </row>
    <row r="10" spans="1:11" x14ac:dyDescent="0.25">
      <c r="A10" t="s">
        <v>170</v>
      </c>
      <c r="D10" t="s">
        <v>312</v>
      </c>
      <c r="H10"/>
    </row>
    <row r="11" spans="1:11" x14ac:dyDescent="0.25">
      <c r="A11" t="s">
        <v>171</v>
      </c>
      <c r="D11" t="s">
        <v>312</v>
      </c>
      <c r="F11" t="s">
        <v>201</v>
      </c>
      <c r="H11"/>
    </row>
    <row r="12" spans="1:11" x14ac:dyDescent="0.25">
      <c r="A12" t="s">
        <v>268</v>
      </c>
      <c r="D12" t="s">
        <v>312</v>
      </c>
      <c r="E12" t="s">
        <v>312</v>
      </c>
      <c r="F12" t="s">
        <v>206</v>
      </c>
      <c r="H12"/>
    </row>
    <row r="13" spans="1:11" x14ac:dyDescent="0.25">
      <c r="A13" t="s">
        <v>270</v>
      </c>
      <c r="D13" t="s">
        <v>312</v>
      </c>
      <c r="E13" t="s">
        <v>312</v>
      </c>
      <c r="F13" t="s">
        <v>207</v>
      </c>
      <c r="H13"/>
    </row>
    <row r="14" spans="1:11" x14ac:dyDescent="0.25">
      <c r="A14" t="s">
        <v>370</v>
      </c>
      <c r="D14" t="s">
        <v>312</v>
      </c>
      <c r="H14"/>
      <c r="J14" t="s">
        <v>312</v>
      </c>
    </row>
    <row r="15" spans="1:11" x14ac:dyDescent="0.25">
      <c r="A15" t="s">
        <v>371</v>
      </c>
      <c r="D15" t="s">
        <v>312</v>
      </c>
      <c r="H15"/>
    </row>
    <row r="16" spans="1:11" s="26" customFormat="1" x14ac:dyDescent="0.25">
      <c r="A16" t="s">
        <v>372</v>
      </c>
      <c r="B16"/>
      <c r="C16"/>
      <c r="D16" t="s">
        <v>312</v>
      </c>
      <c r="E16"/>
      <c r="F16"/>
      <c r="G16"/>
      <c r="H16"/>
      <c r="I16"/>
      <c r="J16"/>
      <c r="K16"/>
    </row>
    <row r="17" spans="1:11" s="26" customFormat="1" x14ac:dyDescent="0.25">
      <c r="A17" t="s">
        <v>373</v>
      </c>
      <c r="B17"/>
      <c r="C17"/>
      <c r="D17" t="s">
        <v>312</v>
      </c>
      <c r="E17"/>
      <c r="F17"/>
      <c r="G17"/>
      <c r="H17"/>
      <c r="I17"/>
      <c r="J17"/>
      <c r="K17"/>
    </row>
    <row r="18" spans="1:11" s="26" customFormat="1" x14ac:dyDescent="0.25">
      <c r="A18" t="s">
        <v>374</v>
      </c>
      <c r="B18"/>
      <c r="C18"/>
      <c r="D18" t="s">
        <v>312</v>
      </c>
      <c r="E18"/>
      <c r="F18"/>
      <c r="G18"/>
      <c r="H18"/>
      <c r="I18"/>
      <c r="J18"/>
      <c r="K18"/>
    </row>
    <row r="19" spans="1:11" s="26" customFormat="1" x14ac:dyDescent="0.25">
      <c r="A19" t="s">
        <v>375</v>
      </c>
      <c r="B19"/>
      <c r="C19"/>
      <c r="D19"/>
      <c r="E19"/>
      <c r="F19"/>
      <c r="G19"/>
      <c r="H19"/>
      <c r="I19"/>
      <c r="J19"/>
      <c r="K19" t="s">
        <v>312</v>
      </c>
    </row>
    <row r="20" spans="1:11" s="26" customFormat="1" x14ac:dyDescent="0.25">
      <c r="A20" t="s">
        <v>376</v>
      </c>
      <c r="B20"/>
      <c r="C20"/>
      <c r="D20"/>
      <c r="E20"/>
      <c r="F20"/>
      <c r="G20"/>
      <c r="H20"/>
      <c r="I20"/>
      <c r="J20"/>
      <c r="K20" t="s">
        <v>312</v>
      </c>
    </row>
    <row r="21" spans="1:11" s="26" customFormat="1" x14ac:dyDescent="0.25">
      <c r="A21" t="s">
        <v>377</v>
      </c>
      <c r="B21"/>
      <c r="C21"/>
      <c r="D21" t="s">
        <v>312</v>
      </c>
      <c r="E21"/>
      <c r="F21"/>
      <c r="G21"/>
      <c r="H21"/>
      <c r="I21"/>
      <c r="J21"/>
      <c r="K21" t="s">
        <v>312</v>
      </c>
    </row>
    <row r="22" spans="1:11" x14ac:dyDescent="0.25">
      <c r="A22" t="s">
        <v>269</v>
      </c>
      <c r="F22" t="s">
        <v>327</v>
      </c>
      <c r="H22"/>
    </row>
    <row r="23" spans="1:11" x14ac:dyDescent="0.25">
      <c r="A23" t="s">
        <v>378</v>
      </c>
      <c r="H23"/>
      <c r="K23" t="s">
        <v>312</v>
      </c>
    </row>
    <row r="24" spans="1:11" x14ac:dyDescent="0.25">
      <c r="A24" t="s">
        <v>173</v>
      </c>
      <c r="D24" t="s">
        <v>312</v>
      </c>
      <c r="E24" t="s">
        <v>312</v>
      </c>
      <c r="F24" t="s">
        <v>208</v>
      </c>
      <c r="H24"/>
    </row>
    <row r="25" spans="1:11" x14ac:dyDescent="0.25">
      <c r="A25" t="s">
        <v>379</v>
      </c>
      <c r="D25" t="s">
        <v>312</v>
      </c>
      <c r="H25"/>
    </row>
    <row r="26" spans="1:11" x14ac:dyDescent="0.25">
      <c r="A26" t="s">
        <v>380</v>
      </c>
      <c r="D26" t="s">
        <v>312</v>
      </c>
      <c r="H26"/>
    </row>
    <row r="27" spans="1:11" x14ac:dyDescent="0.25">
      <c r="A27" t="s">
        <v>174</v>
      </c>
      <c r="D27" t="s">
        <v>312</v>
      </c>
      <c r="H27"/>
    </row>
    <row r="28" spans="1:11" x14ac:dyDescent="0.25">
      <c r="A28" t="s">
        <v>175</v>
      </c>
      <c r="D28" t="s">
        <v>312</v>
      </c>
      <c r="H28"/>
    </row>
    <row r="29" spans="1:11" x14ac:dyDescent="0.25">
      <c r="A29" t="s">
        <v>176</v>
      </c>
      <c r="D29" t="s">
        <v>312</v>
      </c>
      <c r="H29"/>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8"/>
  <sheetViews>
    <sheetView workbookViewId="0">
      <selection activeCell="A3" sqref="A3"/>
    </sheetView>
  </sheetViews>
  <sheetFormatPr defaultRowHeight="15" x14ac:dyDescent="0.25"/>
  <cols>
    <col min="1" max="1" width="28.28515625" customWidth="1"/>
    <col min="2" max="2" width="93.140625" bestFit="1" customWidth="1"/>
  </cols>
  <sheetData>
    <row r="1" spans="1:2" x14ac:dyDescent="0.25">
      <c r="A1" t="s">
        <v>347</v>
      </c>
      <c r="B1" t="s">
        <v>348</v>
      </c>
    </row>
    <row r="2" spans="1:2" x14ac:dyDescent="0.25">
      <c r="A2" t="s">
        <v>353</v>
      </c>
      <c r="B2" s="26" t="s">
        <v>351</v>
      </c>
    </row>
    <row r="3" spans="1:2" x14ac:dyDescent="0.25">
      <c r="A3" t="s">
        <v>349</v>
      </c>
      <c r="B3" t="s">
        <v>350</v>
      </c>
    </row>
    <row r="4" spans="1:2" x14ac:dyDescent="0.25">
      <c r="A4" s="26" t="s">
        <v>351</v>
      </c>
      <c r="B4" s="26" t="s">
        <v>352</v>
      </c>
    </row>
    <row r="5" spans="1:2" x14ac:dyDescent="0.25">
      <c r="A5" t="s">
        <v>354</v>
      </c>
      <c r="B5" t="s">
        <v>355</v>
      </c>
    </row>
    <row r="6" spans="1:2" x14ac:dyDescent="0.25">
      <c r="A6" t="s">
        <v>356</v>
      </c>
      <c r="B6" t="s">
        <v>360</v>
      </c>
    </row>
    <row r="7" spans="1:2" x14ac:dyDescent="0.25">
      <c r="A7" s="26" t="s">
        <v>361</v>
      </c>
      <c r="B7" s="26" t="s">
        <v>357</v>
      </c>
    </row>
    <row r="8" spans="1:2" x14ac:dyDescent="0.25">
      <c r="A8" t="s">
        <v>362</v>
      </c>
      <c r="B8" s="26" t="s">
        <v>367</v>
      </c>
    </row>
    <row r="9" spans="1:2" x14ac:dyDescent="0.25">
      <c r="A9" s="26" t="s">
        <v>363</v>
      </c>
      <c r="B9" t="s">
        <v>381</v>
      </c>
    </row>
    <row r="10" spans="1:2" x14ac:dyDescent="0.25">
      <c r="A10" t="s">
        <v>364</v>
      </c>
      <c r="B10" t="s">
        <v>355</v>
      </c>
    </row>
    <row r="11" spans="1:2" x14ac:dyDescent="0.25">
      <c r="A11" t="s">
        <v>365</v>
      </c>
      <c r="B11" s="26" t="s">
        <v>366</v>
      </c>
    </row>
    <row r="12" spans="1:2" x14ac:dyDescent="0.25">
      <c r="A12" t="s">
        <v>479</v>
      </c>
      <c r="B12" t="s">
        <v>480</v>
      </c>
    </row>
    <row r="13" spans="1:2" x14ac:dyDescent="0.25">
      <c r="A13" t="s">
        <v>481</v>
      </c>
      <c r="B13" s="5">
        <v>2500</v>
      </c>
    </row>
    <row r="14" spans="1:2" s="26" customFormat="1" x14ac:dyDescent="0.25">
      <c r="A14" s="26" t="s">
        <v>482</v>
      </c>
      <c r="B14" s="5" t="s">
        <v>488</v>
      </c>
    </row>
    <row r="15" spans="1:2" x14ac:dyDescent="0.25">
      <c r="A15" t="s">
        <v>483</v>
      </c>
      <c r="B15" s="5">
        <v>5000</v>
      </c>
    </row>
    <row r="16" spans="1:2" x14ac:dyDescent="0.25">
      <c r="A16" t="s">
        <v>484</v>
      </c>
      <c r="B16" t="s">
        <v>355</v>
      </c>
    </row>
    <row r="17" spans="1:2" x14ac:dyDescent="0.25">
      <c r="A17" t="s">
        <v>485</v>
      </c>
      <c r="B17" s="5">
        <v>4</v>
      </c>
    </row>
    <row r="18" spans="1:2" x14ac:dyDescent="0.25">
      <c r="A18" t="s">
        <v>486</v>
      </c>
      <c r="B18" t="s">
        <v>487</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topLeftCell="A4" workbookViewId="0">
      <selection activeCell="H17" sqref="H17"/>
    </sheetView>
  </sheetViews>
  <sheetFormatPr defaultRowHeight="15" x14ac:dyDescent="0.25"/>
  <cols>
    <col min="1" max="1" width="4.28515625" style="18" customWidth="1"/>
    <col min="2" max="2" width="17.5703125" style="7" bestFit="1" customWidth="1"/>
    <col min="3" max="3" width="42.28515625" style="8" customWidth="1"/>
  </cols>
  <sheetData>
    <row r="1" spans="1:7" ht="24" customHeight="1" x14ac:dyDescent="0.25">
      <c r="B1" s="46" t="s">
        <v>158</v>
      </c>
      <c r="C1" s="47"/>
    </row>
    <row r="2" spans="1:7" ht="30" x14ac:dyDescent="0.25">
      <c r="B2" s="9" t="s">
        <v>131</v>
      </c>
      <c r="C2" s="15" t="s">
        <v>132</v>
      </c>
    </row>
    <row r="3" spans="1:7" ht="30" x14ac:dyDescent="0.25">
      <c r="B3" s="10" t="s">
        <v>0</v>
      </c>
      <c r="C3" s="15" t="s">
        <v>129</v>
      </c>
    </row>
    <row r="4" spans="1:7" ht="30" x14ac:dyDescent="0.25">
      <c r="B4" s="11" t="s">
        <v>87</v>
      </c>
      <c r="C4" s="15" t="s">
        <v>130</v>
      </c>
    </row>
    <row r="5" spans="1:7" ht="30" x14ac:dyDescent="0.25">
      <c r="B5" s="12" t="s">
        <v>10</v>
      </c>
      <c r="C5" s="15" t="s">
        <v>133</v>
      </c>
    </row>
    <row r="6" spans="1:7" x14ac:dyDescent="0.25">
      <c r="B6" s="13"/>
      <c r="C6" s="15" t="s">
        <v>134</v>
      </c>
    </row>
    <row r="7" spans="1:7" x14ac:dyDescent="0.25">
      <c r="B7" s="20" t="s">
        <v>138</v>
      </c>
      <c r="C7" s="17" t="s">
        <v>159</v>
      </c>
    </row>
    <row r="8" spans="1:7" ht="30.75" thickBot="1" x14ac:dyDescent="0.3">
      <c r="B8" s="14"/>
      <c r="C8" s="16" t="s">
        <v>135</v>
      </c>
    </row>
    <row r="10" spans="1:7" ht="23.25" x14ac:dyDescent="0.25">
      <c r="A10" s="48" t="s">
        <v>136</v>
      </c>
      <c r="B10" s="48"/>
      <c r="C10" s="48"/>
      <c r="D10" s="48"/>
      <c r="E10" s="48"/>
      <c r="F10" s="48"/>
      <c r="G10" s="48"/>
    </row>
    <row r="11" spans="1:7" ht="18.75" x14ac:dyDescent="0.25">
      <c r="A11" s="19">
        <v>1</v>
      </c>
      <c r="B11" s="23" t="s">
        <v>143</v>
      </c>
    </row>
    <row r="12" spans="1:7" x14ac:dyDescent="0.25">
      <c r="A12" s="18">
        <v>1.1000000000000001</v>
      </c>
      <c r="B12" s="51" t="s">
        <v>139</v>
      </c>
      <c r="C12" s="51"/>
      <c r="D12" s="51"/>
      <c r="E12" s="51"/>
      <c r="F12" s="51"/>
      <c r="G12" s="51"/>
    </row>
    <row r="13" spans="1:7" ht="6.75" customHeight="1" x14ac:dyDescent="0.25">
      <c r="B13" s="22"/>
      <c r="C13" s="22"/>
      <c r="D13" s="22"/>
      <c r="E13" s="22"/>
      <c r="F13" s="22"/>
      <c r="G13" s="22"/>
    </row>
    <row r="14" spans="1:7" x14ac:dyDescent="0.25">
      <c r="B14" s="7" t="s">
        <v>149</v>
      </c>
    </row>
    <row r="25" spans="1:7" ht="19.5" customHeight="1" x14ac:dyDescent="0.25"/>
    <row r="26" spans="1:7" ht="18.75" x14ac:dyDescent="0.25">
      <c r="A26" s="19">
        <v>2</v>
      </c>
      <c r="B26" s="50" t="s">
        <v>145</v>
      </c>
      <c r="C26" s="50"/>
      <c r="D26" s="50"/>
      <c r="E26" s="50"/>
      <c r="F26" s="50"/>
      <c r="G26" s="50"/>
    </row>
    <row r="27" spans="1:7" x14ac:dyDescent="0.25">
      <c r="A27" s="18">
        <v>2.1</v>
      </c>
      <c r="B27" s="49" t="s">
        <v>137</v>
      </c>
      <c r="C27" s="49"/>
      <c r="D27" s="49"/>
      <c r="E27" s="49"/>
      <c r="F27" s="49"/>
      <c r="G27" s="49"/>
    </row>
    <row r="28" spans="1:7" ht="51.75" customHeight="1" x14ac:dyDescent="0.25">
      <c r="A28" s="18">
        <v>2.2000000000000002</v>
      </c>
      <c r="B28" s="53" t="s">
        <v>160</v>
      </c>
      <c r="C28" s="49"/>
      <c r="D28" s="49"/>
      <c r="E28" s="49"/>
      <c r="F28" s="49"/>
      <c r="G28" s="49"/>
    </row>
    <row r="29" spans="1:7" ht="66.75" customHeight="1" x14ac:dyDescent="0.25">
      <c r="A29" s="18">
        <v>2.2999999999999998</v>
      </c>
      <c r="B29" s="53" t="s">
        <v>144</v>
      </c>
      <c r="C29" s="53"/>
      <c r="D29" s="53"/>
      <c r="E29" s="53"/>
      <c r="F29" s="53"/>
      <c r="G29" s="53"/>
    </row>
    <row r="30" spans="1:7" ht="69" customHeight="1" x14ac:dyDescent="0.25">
      <c r="A30" s="18">
        <v>2.4</v>
      </c>
      <c r="B30" s="53" t="s">
        <v>150</v>
      </c>
      <c r="C30" s="53"/>
      <c r="D30" s="53"/>
      <c r="E30" s="53"/>
      <c r="F30" s="53"/>
      <c r="G30" s="53"/>
    </row>
    <row r="31" spans="1:7" ht="6.75" customHeight="1" x14ac:dyDescent="0.25">
      <c r="B31" s="21"/>
      <c r="C31" s="21"/>
      <c r="D31" s="21"/>
      <c r="E31" s="21"/>
      <c r="F31" s="21"/>
      <c r="G31" s="21"/>
    </row>
    <row r="32" spans="1:7" x14ac:dyDescent="0.25">
      <c r="B32" s="7" t="s">
        <v>141</v>
      </c>
    </row>
    <row r="52" spans="2:2" x14ac:dyDescent="0.25">
      <c r="B52" s="7" t="s">
        <v>140</v>
      </c>
    </row>
    <row r="79" spans="2:2" x14ac:dyDescent="0.25">
      <c r="B79" s="7" t="s">
        <v>142</v>
      </c>
    </row>
    <row r="106" spans="1:7" ht="69.75" customHeight="1" x14ac:dyDescent="0.25">
      <c r="A106" s="18">
        <v>2.5</v>
      </c>
      <c r="B106" s="53" t="s">
        <v>151</v>
      </c>
      <c r="C106" s="53"/>
      <c r="D106" s="53"/>
      <c r="E106" s="53"/>
      <c r="F106" s="53"/>
      <c r="G106" s="53"/>
    </row>
    <row r="107" spans="1:7" ht="191.25" customHeight="1" x14ac:dyDescent="0.25"/>
    <row r="108" spans="1:7" ht="42" customHeight="1" x14ac:dyDescent="0.25">
      <c r="A108" s="19">
        <v>3</v>
      </c>
      <c r="B108" s="50" t="s">
        <v>146</v>
      </c>
      <c r="C108" s="50"/>
      <c r="D108" s="50"/>
      <c r="E108" s="50"/>
      <c r="F108" s="50"/>
      <c r="G108" s="50"/>
    </row>
    <row r="109" spans="1:7" ht="33.75" customHeight="1" x14ac:dyDescent="0.25">
      <c r="A109" s="18">
        <v>3.1</v>
      </c>
      <c r="B109" s="53" t="s">
        <v>148</v>
      </c>
      <c r="C109" s="53"/>
      <c r="D109" s="53"/>
      <c r="E109" s="53"/>
      <c r="F109" s="53"/>
      <c r="G109" s="53"/>
    </row>
    <row r="110" spans="1:7" ht="31.5" customHeight="1" x14ac:dyDescent="0.25">
      <c r="A110" s="18">
        <v>3.2</v>
      </c>
      <c r="B110" s="53" t="s">
        <v>152</v>
      </c>
      <c r="C110" s="53"/>
      <c r="D110" s="53"/>
      <c r="E110" s="53"/>
      <c r="F110" s="53"/>
      <c r="G110" s="53"/>
    </row>
    <row r="112" spans="1:7" x14ac:dyDescent="0.25">
      <c r="B112" s="7" t="s">
        <v>147</v>
      </c>
    </row>
    <row r="129" spans="1:7" ht="50.25" customHeight="1" x14ac:dyDescent="0.25">
      <c r="A129" s="18">
        <v>3.3</v>
      </c>
      <c r="B129" s="52" t="s">
        <v>153</v>
      </c>
      <c r="C129" s="52"/>
      <c r="D129" s="52"/>
      <c r="E129" s="52"/>
      <c r="F129" s="52"/>
      <c r="G129" s="52"/>
    </row>
    <row r="130" spans="1:7" ht="47.25" customHeight="1" x14ac:dyDescent="0.25">
      <c r="A130" s="18">
        <v>3.4</v>
      </c>
      <c r="B130" s="52" t="s">
        <v>154</v>
      </c>
      <c r="C130" s="52"/>
      <c r="D130" s="52"/>
      <c r="E130" s="52"/>
      <c r="F130" s="52"/>
      <c r="G130" s="52"/>
    </row>
    <row r="131" spans="1:7" ht="51" customHeight="1" x14ac:dyDescent="0.25">
      <c r="A131" s="18">
        <v>3.5</v>
      </c>
      <c r="B131" s="52" t="s">
        <v>155</v>
      </c>
      <c r="C131" s="52"/>
      <c r="D131" s="52"/>
      <c r="E131" s="52"/>
      <c r="F131" s="52"/>
      <c r="G131" s="52"/>
    </row>
    <row r="132" spans="1:7" ht="63.75" customHeight="1" x14ac:dyDescent="0.25">
      <c r="A132" s="18">
        <v>3.6</v>
      </c>
      <c r="B132" s="52" t="s">
        <v>156</v>
      </c>
      <c r="C132" s="52"/>
      <c r="D132" s="52"/>
      <c r="E132" s="52"/>
      <c r="F132" s="52"/>
      <c r="G132" s="52"/>
    </row>
    <row r="133" spans="1:7" ht="34.5" customHeight="1" x14ac:dyDescent="0.25">
      <c r="A133" s="18">
        <v>3.7</v>
      </c>
      <c r="B133" s="52" t="s">
        <v>157</v>
      </c>
      <c r="C133" s="52"/>
      <c r="D133" s="52"/>
      <c r="E133" s="52"/>
      <c r="F133" s="52"/>
      <c r="G133" s="52"/>
    </row>
  </sheetData>
  <mergeCells count="17">
    <mergeCell ref="B133:G133"/>
    <mergeCell ref="B28:G28"/>
    <mergeCell ref="B29:G29"/>
    <mergeCell ref="B30:G30"/>
    <mergeCell ref="B106:G106"/>
    <mergeCell ref="B108:G108"/>
    <mergeCell ref="B109:G109"/>
    <mergeCell ref="B110:G110"/>
    <mergeCell ref="B129:G129"/>
    <mergeCell ref="B130:G130"/>
    <mergeCell ref="B131:G131"/>
    <mergeCell ref="B132:G132"/>
    <mergeCell ref="B1:C1"/>
    <mergeCell ref="A10:G10"/>
    <mergeCell ref="B27:G27"/>
    <mergeCell ref="B26:G26"/>
    <mergeCell ref="B12:G1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RawData</vt:lpstr>
      <vt:lpstr>Validated</vt:lpstr>
      <vt:lpstr>Dictionary</vt:lpstr>
      <vt:lpstr>FlatbedScans</vt:lpstr>
      <vt:lpstr>FieldSettings</vt:lpstr>
      <vt:lpstr>Configuration</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2018-08-30T17:56:14Z</dcterms:modified>
</cp:coreProperties>
</file>