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bookViews>
    <workbookView xWindow="0" yWindow="0" windowWidth="20475" windowHeight="7530" activeTab="2"/>
  </bookViews>
  <sheets>
    <sheet name="RawData" sheetId="1" r:id="rId1"/>
    <sheet name="Validated" sheetId="2" r:id="rId2"/>
    <sheet name="Dictionary" sheetId="3" r:id="rId3"/>
    <sheet name="FlatbedScans" sheetId="8" r:id="rId4"/>
    <sheet name="FieldSettings" sheetId="5" r:id="rId5"/>
    <sheet name="Legend &amp; Instructions" sheetId="7" r:id="rId6"/>
  </sheets>
  <functionGroups builtInGroupCount="19"/>
  <definedNames>
    <definedName name="_xlnm._FilterDatabase" localSheetId="3" hidden="1">FlatbedScans!$A$1:$D$1</definedName>
    <definedName name="temp1" localSheetId="2">Dictionary!$I$37:$K$56</definedName>
    <definedName name="temp1_2" localSheetId="2">Dictionary!$I$37:$K$56</definedName>
    <definedName name="temp1_3" localSheetId="2">Dictionary!$I$37:$K$56</definedName>
    <definedName name="temp1_4" localSheetId="2">Dictionary!$I$37:$K$56</definedName>
    <definedName name="temp1_5" localSheetId="2">Dictionary!$I$37:$K$56</definedName>
    <definedName name="temp1_6" localSheetId="2">Dictionary!$I$37:$K$56</definedName>
    <definedName name="temp1_7" localSheetId="2">Dictionary!$I$37:$K$56</definedName>
    <definedName name="temp1_8"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0" i="8" l="1"/>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D2" i="8"/>
  <c r="AY91" i="3" l="1"/>
  <c r="AW91" i="3"/>
  <c r="AY90" i="3"/>
  <c r="AW90" i="3"/>
  <c r="AY89" i="3"/>
  <c r="AW89" i="3"/>
  <c r="AY88" i="3"/>
  <c r="AW88" i="3"/>
  <c r="AY87" i="3"/>
  <c r="AW87" i="3"/>
  <c r="AY86" i="3"/>
  <c r="AW86" i="3"/>
  <c r="AY85" i="3"/>
  <c r="AW85" i="3"/>
  <c r="AY84" i="3"/>
  <c r="AW84" i="3"/>
  <c r="AY83" i="3"/>
  <c r="AW83" i="3"/>
  <c r="AY82" i="3"/>
  <c r="AW82" i="3"/>
  <c r="AY81" i="3"/>
  <c r="AW81" i="3"/>
  <c r="AY80" i="3"/>
  <c r="AW80" i="3"/>
  <c r="AY79" i="3"/>
  <c r="AW79" i="3"/>
  <c r="AY78" i="3"/>
  <c r="AW78" i="3"/>
  <c r="AY77" i="3"/>
  <c r="AW77" i="3"/>
  <c r="AY76" i="3"/>
  <c r="AW76" i="3"/>
  <c r="AY75" i="3"/>
  <c r="AW75" i="3"/>
  <c r="AY74" i="3"/>
  <c r="AW74" i="3"/>
  <c r="AY73" i="3"/>
  <c r="AW73" i="3"/>
  <c r="AY72" i="3"/>
  <c r="AW72" i="3"/>
  <c r="AY71" i="3"/>
  <c r="AW71" i="3"/>
  <c r="AY70" i="3"/>
  <c r="AW70" i="3"/>
  <c r="AY69" i="3"/>
  <c r="AW69" i="3"/>
  <c r="AY68" i="3"/>
  <c r="AW68" i="3"/>
  <c r="AY67" i="3"/>
  <c r="AW67" i="3"/>
  <c r="AY66" i="3"/>
  <c r="AW66" i="3"/>
  <c r="AY65" i="3"/>
  <c r="AW65" i="3"/>
  <c r="AY64" i="3"/>
  <c r="AW64" i="3"/>
  <c r="AY63" i="3"/>
  <c r="AW63" i="3"/>
  <c r="AY62" i="3"/>
  <c r="AW62" i="3"/>
  <c r="AY61" i="3"/>
  <c r="AW61" i="3"/>
  <c r="AY60" i="3"/>
  <c r="AW60" i="3"/>
  <c r="AY59" i="3"/>
  <c r="AW59" i="3"/>
  <c r="AY58" i="3"/>
  <c r="AW58" i="3"/>
  <c r="AY57" i="3"/>
  <c r="AW57" i="3"/>
  <c r="AY56" i="3"/>
  <c r="AW56" i="3"/>
  <c r="AY55" i="3"/>
  <c r="AW55" i="3"/>
  <c r="AY54" i="3"/>
  <c r="AW54" i="3"/>
  <c r="AY53" i="3"/>
  <c r="AW53" i="3"/>
  <c r="AY52" i="3"/>
  <c r="AW52" i="3"/>
  <c r="AY51" i="3"/>
  <c r="AW51" i="3"/>
  <c r="AY50" i="3"/>
  <c r="AW50" i="3"/>
  <c r="AY49" i="3"/>
  <c r="AW49" i="3"/>
  <c r="AY48" i="3"/>
  <c r="AW48" i="3"/>
  <c r="AY47" i="3"/>
  <c r="AW47" i="3"/>
  <c r="AY46" i="3"/>
  <c r="AW46" i="3"/>
  <c r="AY45" i="3"/>
  <c r="AW45" i="3"/>
  <c r="AY44" i="3"/>
  <c r="AW44" i="3"/>
  <c r="AY43" i="3"/>
  <c r="AW43" i="3"/>
  <c r="AY42" i="3"/>
  <c r="AW42" i="3"/>
  <c r="AY41" i="3"/>
  <c r="AW41" i="3"/>
  <c r="AY40" i="3"/>
  <c r="AW40" i="3"/>
  <c r="AY39" i="3"/>
  <c r="AW39" i="3"/>
  <c r="AY38" i="3"/>
  <c r="AW38" i="3"/>
  <c r="AY37" i="3"/>
  <c r="AW37" i="3"/>
  <c r="AY36" i="3"/>
  <c r="AW36" i="3"/>
  <c r="AY35" i="3"/>
  <c r="AW35" i="3"/>
  <c r="AY34" i="3"/>
  <c r="AW34" i="3"/>
  <c r="AY33" i="3"/>
  <c r="AW33" i="3"/>
  <c r="AY32" i="3"/>
  <c r="AW32" i="3"/>
  <c r="AY31" i="3"/>
  <c r="AW31" i="3"/>
  <c r="AY30" i="3"/>
  <c r="AW30" i="3"/>
  <c r="AY29" i="3"/>
  <c r="AW29" i="3"/>
  <c r="AY28" i="3"/>
  <c r="AW28" i="3"/>
  <c r="AY27" i="3"/>
  <c r="AW27" i="3"/>
  <c r="AY26" i="3"/>
  <c r="AW26" i="3"/>
  <c r="AY25" i="3"/>
  <c r="AW25" i="3"/>
  <c r="AY24" i="3"/>
  <c r="AW24" i="3"/>
  <c r="AY23" i="3"/>
  <c r="AW23" i="3"/>
  <c r="AY22" i="3"/>
  <c r="AW22" i="3"/>
  <c r="AY21" i="3"/>
  <c r="AW21" i="3"/>
  <c r="AY20" i="3"/>
  <c r="AW20" i="3"/>
  <c r="AY19" i="3"/>
  <c r="AW19" i="3"/>
  <c r="AY18" i="3"/>
  <c r="AW18" i="3"/>
  <c r="AY17" i="3"/>
  <c r="AW17" i="3"/>
  <c r="AY16" i="3"/>
  <c r="AW16" i="3"/>
  <c r="AY15" i="3"/>
  <c r="AW15" i="3"/>
  <c r="AY14" i="3"/>
  <c r="AW14" i="3"/>
  <c r="AY13" i="3"/>
  <c r="AW13" i="3"/>
  <c r="AY12" i="3"/>
  <c r="AW12" i="3"/>
  <c r="AY11" i="3"/>
  <c r="AW11" i="3"/>
  <c r="AY10" i="3"/>
  <c r="AW10" i="3"/>
  <c r="AY9" i="3"/>
  <c r="AW9" i="3"/>
  <c r="AY8" i="3"/>
  <c r="AW8" i="3"/>
  <c r="AY7" i="3"/>
  <c r="AW7" i="3"/>
  <c r="AY6" i="3"/>
  <c r="AW6" i="3"/>
  <c r="AY5" i="3"/>
  <c r="AW5" i="3"/>
  <c r="AY4" i="3"/>
  <c r="AW4" i="3"/>
  <c r="AY3" i="3"/>
  <c r="AW3" i="3"/>
  <c r="C2" i="5" l="1"/>
  <c r="C21" i="5"/>
  <c r="C20" i="5" l="1"/>
  <c r="C16" i="5"/>
  <c r="C15" i="5"/>
  <c r="C14" i="5"/>
  <c r="C10" i="5"/>
  <c r="C8" i="5"/>
  <c r="C6" i="5"/>
  <c r="C5" i="5"/>
  <c r="C4" i="5" l="1"/>
</calcChain>
</file>

<file path=xl/connections.xml><?xml version="1.0" encoding="utf-8"?>
<connections xmlns="http://schemas.openxmlformats.org/spreadsheetml/2006/main">
  <connection id="1" name="temp1" type="6" refreshedVersion="6" background="1" saveData="1">
    <textPr codePage="437" sourceFile="C:\Users\Stas\Desktop\temp1.txt">
      <textFields count="2">
        <textField/>
        <textField/>
      </textFields>
    </textPr>
  </connection>
  <connection id="2" name="temp11" type="6" refreshedVersion="6" background="1" saveData="1">
    <textPr codePage="437" sourceFile="C:\Users\Stas\Desktop\temp1.txt">
      <textFields count="2">
        <textField/>
        <textField/>
      </textFields>
    </textPr>
  </connection>
  <connection id="3" name="temp111" type="6" refreshedVersion="6" background="1" saveData="1">
    <textPr codePage="437" sourceFile="C:\Users\Stas\Desktop\temp1.txt">
      <textFields count="2">
        <textField/>
        <textField/>
      </textFields>
    </textPr>
  </connection>
  <connection id="4" name="temp12" type="6" refreshedVersion="6" background="1" saveData="1">
    <textPr codePage="437" sourceFile="C:\Users\Stas\Desktop\temp1.txt">
      <textFields count="2">
        <textField/>
        <textField/>
      </textFields>
    </textPr>
  </connection>
  <connection id="5" name="temp121" type="6" refreshedVersion="6" background="1" saveData="1">
    <textPr codePage="437" sourceFile="C:\Users\Stas\Desktop\temp1.txt">
      <textFields count="2">
        <textField/>
        <textField/>
      </textFields>
    </textPr>
  </connection>
  <connection id="6" name="temp1211" type="6" refreshedVersion="6" background="1" saveData="1">
    <textPr codePage="437" sourceFile="C:\Users\Stas\Desktop\temp1.txt">
      <textFields count="2">
        <textField/>
        <textField/>
      </textFields>
    </textPr>
  </connection>
  <connection id="7" name="temp122" type="6" refreshedVersion="6" background="1" saveData="1">
    <textPr codePage="437" sourceFile="C:\Users\Stas\Desktop\temp1.txt">
      <textFields count="2">
        <textField/>
        <textField/>
      </textFields>
    </textPr>
  </connection>
  <connection id="8"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<sst xmlns="http://schemas.openxmlformats.org/spreadsheetml/2006/main" count="818" uniqueCount="417">
  <si>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</si>
  <si>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</si>
  <si>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</si>
  <si>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</si>
  <si>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</si>
  <si>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</si>
  <si>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</si>
  <si>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</si>
  <si>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</si>
  <si>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</si>
  <si>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</si>
  <si>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</si>
  <si>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</si>
  <si>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</si>
  <si>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</si>
  <si>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</si>
  <si>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</si>
  <si>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</si>
  <si>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</si>
  <si>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</si>
  <si>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</si>
  <si>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</si>
  <si>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</si>
  <si>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</si>
  <si>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</si>
  <si>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</si>
  <si>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</si>
  <si>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</si>
  <si>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</si>
  <si>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</si>
  <si>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</si>
  <si>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</si>
  <si>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</si>
  <si>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</si>
  <si>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</si>
  <si>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</si>
  <si>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</si>
  <si>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</si>
  <si>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</si>
  <si>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</si>
  <si>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</si>
  <si>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</si>
  <si>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</si>
  <si>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</si>
  <si>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</si>
  <si>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</si>
  <si>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</si>
  <si>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</si>
  <si>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</si>
  <si>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</si>
  <si>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</si>
  <si>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</si>
  <si>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</si>
  <si>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</si>
  <si>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</si>
  <si>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</si>
  <si>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</si>
  <si>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</si>
  <si>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</si>
  <si>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</si>
  <si>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</si>
  <si>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</si>
  <si>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</si>
  <si>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</si>
  <si>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</si>
  <si>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</si>
  <si>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</si>
  <si>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</si>
  <si>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</si>
  <si>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</si>
  <si>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</si>
  <si>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</si>
  <si>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</si>
  <si>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</si>
  <si>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</si>
  <si>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</si>
  <si>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</si>
  <si>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</si>
  <si>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</si>
  <si>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</si>
  <si>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</si>
  <si>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</si>
  <si>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</si>
  <si>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</si>
  <si>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</si>
  <si>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</si>
  <si>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</si>
  <si>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</si>
  <si>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</si>
  <si>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</si>
  <si>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</si>
  <si>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</si>
  <si>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</si>
  <si>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</si>
  <si>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</si>
  <si>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</si>
  <si>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</si>
  <si>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</si>
  <si>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</si>
  <si>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</si>
  <si>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</si>
  <si>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</si>
  <si>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</si>
  <si>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</si>
  <si>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</si>
  <si>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</si>
  <si>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</si>
  <si>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MT_Aliqout Status</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</si>
  <si>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</si>
  <si>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</si>
  <si>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</si>
  <si>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</si>
  <si>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</si>
  <si>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</si>
  <si>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</si>
  <si>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</si>
  <si>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</si>
  <si>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</si>
  <si>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</si>
  <si>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</si>
  <si>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</si>
  <si>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</si>
  <si>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</si>
  <si>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</si>
  <si>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</si>
  <si>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</si>
  <si>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</si>
  <si>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</si>
  <si>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</si>
  <si>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</si>
  <si>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</si>
  <si>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</si>
  <si>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</si>
  <si>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</si>
  <si>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</si>
  <si>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</si>
  <si>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</si>
  <si>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</si>
  <si>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</si>
  <si>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</si>
  <si>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</si>
  <si>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</si>
  <si>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</si>
  <si>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</si>
  <si>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</si>
  <si>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</si>
  <si>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</si>
  <si>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</si>
  <si>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</si>
  <si>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</si>
  <si>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</si>
  <si>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</si>
  <si>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</si>
  <si>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</si>
  <si>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</si>
  <si>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</si>
  <si>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</si>
  <si>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</si>
  <si>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</si>
  <si>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</si>
  <si>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</si>
  <si>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</si>
  <si>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</si>
  <si>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</si>
  <si>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</si>
  <si>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</si>
  <si>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</si>
  <si>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</si>
  <si>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</si>
  <si>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</si>
  <si>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</si>
  <si>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</si>
  <si>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</si>
  <si>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MT_SubjectID</t>
  </si>
  <si>
    <t>MT_Source Aliquot Label</t>
  </si>
  <si>
    <t>IF({MT_Project} = "MoTrPAC",1,0)</t>
  </si>
  <si>
    <t>IF(OR({MT_Project} = "MoTrPAC", {MT_Project} = "MoTrPAC pilot"),1,0)</t>
  </si>
  <si>
    <t>MT_Vessel ID</t>
  </si>
  <si>
    <t>MT_Comments</t>
  </si>
  <si>
    <t>Initial Amount</t>
  </si>
  <si>
    <t>Current Amount</t>
  </si>
  <si>
    <t>Freezer Section</t>
  </si>
  <si>
    <t>Shelf_p1</t>
  </si>
  <si>
    <t>Rack_p2</t>
  </si>
  <si>
    <t>Box_Plate_p3</t>
  </si>
  <si>
    <t>Row_p4</t>
  </si>
  <si>
    <t>Column_p5</t>
  </si>
  <si>
    <t>Test Section 1</t>
  </si>
  <si>
    <t>Position</t>
  </si>
  <si>
    <t>Tube ID</t>
  </si>
  <si>
    <t>Status</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</si>
  <si>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</si>
  <si>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</si>
  <si>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</si>
  <si>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</si>
  <si>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</si>
  <si>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</si>
  <si>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</si>
  <si>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</si>
  <si>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</si>
  <si>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</si>
  <si>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</si>
  <si>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</si>
  <si>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</si>
  <si>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</si>
  <si>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</si>
  <si>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</si>
  <si>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</si>
  <si>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</si>
  <si>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</si>
  <si>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</si>
  <si>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</si>
  <si>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</si>
  <si>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</si>
  <si>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</si>
  <si>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</si>
  <si>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</si>
  <si>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</si>
  <si>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</si>
  <si>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</si>
  <si>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</si>
  <si>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</si>
  <si>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</si>
  <si>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</si>
  <si>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</si>
  <si>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</si>
  <si>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</si>
  <si>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</si>
  <si>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</si>
  <si>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</si>
  <si>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</si>
  <si>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</si>
  <si>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</si>
  <si>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</si>
  <si>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</si>
  <si>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</si>
  <si>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</si>
  <si>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</si>
  <si>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</si>
  <si>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</si>
  <si>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</si>
  <si>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</si>
  <si>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</si>
  <si>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</si>
  <si>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</si>
  <si>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</si>
  <si>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</si>
  <si>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</si>
  <si>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</si>
  <si>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</si>
  <si>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</si>
  <si>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</si>
  <si>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</si>
  <si>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</si>
  <si>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</si>
  <si>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</si>
  <si>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</si>
  <si>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</si>
  <si>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</si>
  <si>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</si>
  <si>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</si>
  <si>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</si>
  <si>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</si>
  <si>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</si>
  <si>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</si>
  <si>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</si>
  <si>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</si>
  <si>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</si>
  <si>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</si>
  <si>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</si>
  <si>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</si>
  <si>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</si>
  <si>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</si>
  <si>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</si>
  <si>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</si>
  <si>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</si>
  <si>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</si>
  <si>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</si>
  <si>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</si>
  <si>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</si>
  <si>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</si>
  <si>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</si>
  <si>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</si>
  <si>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</si>
  <si>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</si>
  <si>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</si>
  <si>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</si>
  <si>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</si>
  <si>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8007140817</t>
  </si>
  <si>
    <t>8007140859</t>
  </si>
  <si>
    <t>8007140776</t>
  </si>
  <si>
    <t>milligrams</t>
  </si>
  <si>
    <t>milliliters</t>
  </si>
  <si>
    <t>14f_14193_Section1</t>
  </si>
  <si>
    <t>14f_14193_Section2</t>
  </si>
  <si>
    <t>14f_14193_Section3</t>
  </si>
  <si>
    <t>PAXgene tube</t>
  </si>
  <si>
    <t>MT_19f_Croth_Section1</t>
  </si>
  <si>
    <t>Eppendorf tube</t>
  </si>
  <si>
    <t>MT_19f_Croth_Section2</t>
  </si>
  <si>
    <t>Cryovial</t>
  </si>
  <si>
    <t>MT_19f_Croth_Section3</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</si>
  <si>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</si>
  <si>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</si>
  <si>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</si>
  <si>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</si>
  <si>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</si>
  <si>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</si>
  <si>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</si>
  <si>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</si>
  <si>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</si>
  <si>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</si>
  <si>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</si>
  <si>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</si>
  <si>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 xml:space="preserve">3h_3hPost </t>
  </si>
  <si>
    <t>MUSCLE BX PRE EX</t>
  </si>
  <si>
    <t>MUSCLE BX POST EX</t>
  </si>
  <si>
    <t>Calculation overwrites existing value</t>
  </si>
  <si>
    <t>8007140842</t>
  </si>
  <si>
    <t>Vessel_ID</t>
  </si>
  <si>
    <t>E3</t>
  </si>
  <si>
    <t>AW3</t>
  </si>
  <si>
    <t>U3</t>
  </si>
  <si>
    <t>Q3</t>
  </si>
  <si>
    <t>A3</t>
  </si>
  <si>
    <t>I3</t>
  </si>
  <si>
    <t>M3</t>
  </si>
  <si>
    <t>AC3</t>
  </si>
  <si>
    <t>Y3</t>
  </si>
  <si>
    <t>AK3</t>
  </si>
  <si>
    <t>AS3</t>
  </si>
  <si>
    <t xml:space="preserve">Ad__Adipose </t>
  </si>
  <si>
    <t xml:space="preserve">ATAC Seq Library </t>
  </si>
  <si>
    <t xml:space="preserve">ATAC_ ATACLibrary </t>
  </si>
  <si>
    <t xml:space="preserve">Ball State University </t>
  </si>
  <si>
    <t xml:space="preserve">BSU </t>
  </si>
  <si>
    <t xml:space="preserve">East Carolina University </t>
  </si>
  <si>
    <t xml:space="preserve">East Carolina U. </t>
  </si>
  <si>
    <t xml:space="preserve">DNA MC library </t>
  </si>
  <si>
    <t>Methyl capture Library</t>
  </si>
  <si>
    <t xml:space="preserve">DNA RRBS library </t>
  </si>
  <si>
    <t xml:space="preserve">RRBS_RRBS Library </t>
  </si>
  <si>
    <t>Adrenal</t>
  </si>
  <si>
    <t>Ao__Aorta</t>
  </si>
  <si>
    <t>Aorta</t>
  </si>
  <si>
    <t>B__Brown Fat</t>
  </si>
  <si>
    <t>Pl__Plasma</t>
  </si>
  <si>
    <t xml:space="preserve">mRNA library </t>
  </si>
  <si>
    <t xml:space="preserve">mRL_mRNA Library </t>
  </si>
  <si>
    <t xml:space="preserve">1W_1week post </t>
  </si>
  <si>
    <t xml:space="preserve">1W_1weekPost </t>
  </si>
  <si>
    <t xml:space="preserve">U.Texas Health Science Center </t>
  </si>
  <si>
    <t xml:space="preserve">UT. HSC </t>
  </si>
  <si>
    <t>Bu_PBMC/Buffy</t>
  </si>
  <si>
    <t>U. Texas Medical Branch</t>
  </si>
  <si>
    <t>UT. Medical</t>
  </si>
  <si>
    <t xml:space="preserve">24h_24hr post </t>
  </si>
  <si>
    <t>Brown fat</t>
  </si>
  <si>
    <t>Bu__WBC/Buffy</t>
  </si>
  <si>
    <t xml:space="preserve">2W_2weeks post </t>
  </si>
  <si>
    <t xml:space="preserve">2W_2weeksPost </t>
  </si>
  <si>
    <t>Total RNA library</t>
  </si>
  <si>
    <t xml:space="preserve">toRL_Total RNA Library </t>
  </si>
  <si>
    <t>Co__Colon</t>
  </si>
  <si>
    <t>Colon</t>
  </si>
  <si>
    <t>Fe__Bone</t>
  </si>
  <si>
    <t xml:space="preserve">3W_3weeks post </t>
  </si>
  <si>
    <t xml:space="preserve">3W_3weeksPost </t>
  </si>
  <si>
    <t>Femur/Tibia (bone)</t>
  </si>
  <si>
    <t xml:space="preserve">48h_48hr post </t>
  </si>
  <si>
    <t xml:space="preserve">48h_48hrPost </t>
  </si>
  <si>
    <t>Gastrocnemius Muscle</t>
  </si>
  <si>
    <t>Mu__Muscle biopsy</t>
  </si>
  <si>
    <t>He__Heart</t>
  </si>
  <si>
    <t>Heart</t>
  </si>
  <si>
    <t>Hippocampus</t>
  </si>
  <si>
    <t>Hp__Hippocampus</t>
  </si>
  <si>
    <t xml:space="preserve">6-8h_ 6-8hr post </t>
  </si>
  <si>
    <t xml:space="preserve">6-8h_ 6-8hrPost </t>
  </si>
  <si>
    <t>Ki__Kidney</t>
  </si>
  <si>
    <t xml:space="preserve">8W_8weeks post </t>
  </si>
  <si>
    <t xml:space="preserve">8W_8weeksPost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</si>
  <si>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</si>
  <si>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</si>
  <si>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</si>
  <si>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</si>
  <si>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</si>
  <si>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</si>
  <si>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</si>
  <si>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</si>
  <si>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</si>
  <si>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</si>
  <si>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</si>
  <si>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</si>
  <si>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</si>
  <si>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</si>
  <si>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</si>
  <si>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</si>
  <si>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</si>
  <si>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</si>
  <si>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</si>
  <si>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</si>
  <si>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</si>
  <si>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8007140825</t>
  </si>
  <si>
    <t>8007140813</t>
  </si>
  <si>
    <t>Exists on RawData tab</t>
  </si>
  <si>
    <t>Note: Range in the formula in D column of this page should point to the Vessel ID column on RawData tab and the cell address should point to the corresponded cell of the B column of this tab.</t>
  </si>
  <si>
    <t>Unique Aliquot ID</t>
  </si>
  <si>
    <t>Adr_Adrenal</t>
  </si>
  <si>
    <t>AdiP Adipose powder</t>
  </si>
  <si>
    <t>Adipose powder</t>
  </si>
  <si>
    <t>mitochondrial DNA</t>
  </si>
  <si>
    <t>mtD_ mitochondrial DNA</t>
  </si>
  <si>
    <t>mitochondrial RNA</t>
  </si>
  <si>
    <t>mtR_ mitochondrial RNA</t>
  </si>
  <si>
    <t>MuP_ Muscle powder</t>
  </si>
  <si>
    <t>Muscle powder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</si>
</sst>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49" fontId="0" fillId="0" borderId="0" xfId="0" applyNumberFormat="1" applyAlignment="1">
      <alignment horizontal="center" vertical="center"/>
    </xf>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14" fontId="0" fillId="0" borderId="0" xfId="0" applyNumberFormat="1" applyAlignment="1">
      <alignment wrapText="1"/>
    </xf>
    <xf numFmtId="49" fontId="0" fillId="0" borderId="0" xfId="0" applyNumberFormat="1" applyAlignment="1">
      <alignment wrapText="1"/>
    </xf>
    <xf numFmtId="0" fontId="2" fillId="0" borderId="0" xfId="0" applyFont="1"/>
    <xf numFmtId="0" fontId="3" fillId="0" borderId="1" xfId="0" applyFont="1" applyFill="1" applyBorder="1"/>
    <xf numFmtId="49" fontId="3" fillId="0" borderId="1" xfId="0" applyNumberFormat="1" applyFont="1" applyFill="1" applyBorder="1"/>
    <xf numFmtId="49" fontId="0" fillId="0" borderId="0" xfId="0" applyNumberFormat="1" applyAlignment="1">
      <alignment horizontal="left" vertical="center"/>
    </xf>
    <xf numFmtId="49" fontId="1" fillId="0" borderId="0" xfId="0" applyNumberFormat="1" applyFont="1" applyAlignment="1">
      <alignment horizontal="center" vertical="center" wrapText="1"/>
    </xf>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xf numFmtId="49" fontId="23" fillId="0" borderId="0" xfId="0" applyNumberFormat="1" applyFont="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cellStyle name="60% - Accent2 2" xfId="37"/>
    <cellStyle name="60% - Accent3 2" xfId="38"/>
    <cellStyle name="60% - Accent4 2" xfId="39"/>
    <cellStyle name="60% - Accent5 2" xfId="40"/>
    <cellStyle name="60% - Accent6 2" xfId="41"/>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cellStyle name="Normal" xfId="0" builtinId="0"/>
    <cellStyle name="Note" xfId="13" builtinId="10" customBuiltin="1"/>
    <cellStyle name="Output" xfId="8" builtinId="21" customBuiltin="1"/>
    <cellStyle name="Title 2" xfId="34"/>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name="temp1_3"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emp1_2" connectionId="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temp1" connectionId="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temp1_4" connectionId="5"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temp1_7" connectionId="8"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temp1_6" connectionId="7"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temp1_8" connectionId="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temp1_5"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1"/>
  <sheetViews>
    <sheetView zoomScaleNormal="100" workbookViewId="0">
      <selection activeCell="B2" sqref="B2"/>
    </sheetView>
  </sheetViews>
  <sheetFormatPr defaultColWidth="29.140625" defaultRowHeight="15" x14ac:dyDescent="0.25"/>
  <cols>
    <col min="1" max="1" width="17.28515625" style="25" bestFit="1" customWidth="1"/>
    <col min="2" max="2" width="17.7109375" style="25" bestFit="1" customWidth="1"/>
    <col min="3" max="3" width="24.140625" style="25" customWidth="1"/>
    <col min="4" max="4" width="13.7109375" style="25" bestFit="1" customWidth="1"/>
    <col min="5" max="5" width="23.28515625" style="25" bestFit="1" customWidth="1"/>
    <col min="6" max="6" width="13.7109375" style="25" bestFit="1" customWidth="1"/>
    <col min="7" max="7" width="20.85546875" style="25" customWidth="1"/>
    <col min="8" max="8" width="20.85546875" style="25" bestFit="1" customWidth="1"/>
    <col min="9" max="9" width="27.140625" style="25" customWidth="1"/>
    <col min="10" max="10" width="24.42578125" style="25" customWidth="1"/>
    <col min="11" max="11" width="12.28515625" style="25" customWidth="1"/>
    <col min="12" max="12" width="16.140625" style="25" bestFit="1" customWidth="1"/>
    <col min="13" max="13" width="17.42578125" style="25" bestFit="1" customWidth="1"/>
    <col min="14" max="14" width="26.85546875" style="25" customWidth="1"/>
    <col min="15" max="15" width="24.28515625" style="25" bestFit="1" customWidth="1"/>
    <col min="16" max="16" width="14.42578125" style="25" bestFit="1" customWidth="1"/>
    <col min="17" max="16384" width="29.140625" style="26"/>
  </cols>
  <sheetData>
    <row r="1" spans="1:25" x14ac:dyDescent="0.25">
      <c r="A1" s="33" t="s">
        <v>4</v>
      </c>
      <c r="B1" s="33" t="s">
        <v>407</v>
      </c>
      <c r="C1" s="33" t="s">
        <v>170</v>
      </c>
      <c r="D1" s="33" t="s">
        <v>5</v>
      </c>
      <c r="E1" s="33" t="s">
        <v>6</v>
      </c>
      <c r="F1" s="33" t="s">
        <v>173</v>
      </c>
      <c r="G1" s="33" t="s">
        <v>7</v>
      </c>
      <c r="H1" s="33" t="s">
        <v>171</v>
      </c>
      <c r="I1" s="33" t="s">
        <v>162</v>
      </c>
      <c r="J1" s="33" t="s">
        <v>174</v>
      </c>
      <c r="K1" s="33" t="s">
        <v>172</v>
      </c>
      <c r="L1" s="33" t="s">
        <v>177</v>
      </c>
      <c r="M1" s="33" t="s">
        <v>86</v>
      </c>
      <c r="N1" s="33" t="s">
        <v>107</v>
      </c>
      <c r="O1" s="33" t="s">
        <v>8</v>
      </c>
      <c r="P1" s="33" t="s">
        <v>178</v>
      </c>
      <c r="Q1" s="32" t="s">
        <v>179</v>
      </c>
      <c r="R1" s="32" t="s">
        <v>180</v>
      </c>
      <c r="S1" s="32" t="s">
        <v>9</v>
      </c>
      <c r="T1" s="32" t="s">
        <v>181</v>
      </c>
      <c r="U1" s="32" t="s">
        <v>182</v>
      </c>
      <c r="V1" s="26" t="s">
        <v>183</v>
      </c>
      <c r="W1" s="26" t="s">
        <v>184</v>
      </c>
      <c r="X1" s="26" t="s">
        <v>185</v>
      </c>
      <c r="Y1" s="26" t="s">
        <v>186</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14:formula1>
            <xm:f>Dictionary!$A$3:$A$54</xm:f>
          </x14:formula1>
          <xm:sqref>G2:G1048576</xm:sqref>
        </x14:dataValidation>
        <x14:dataValidation type="list" errorStyle="information" allowBlank="1" showInputMessage="1" showErrorMessage="1">
          <x14:formula1>
            <xm:f>Dictionary!$E$3:$E$6</xm:f>
          </x14:formula1>
          <xm:sqref>A3:A1048576</xm:sqref>
        </x14:dataValidation>
        <x14:dataValidation type="list" errorStyle="information" allowBlank="1" showInputMessage="1" showErrorMessage="1">
          <x14:formula1>
            <xm:f>Dictionary!$Q$3:$Q$6</xm:f>
          </x14:formula1>
          <xm:sqref>E2:E1048576</xm:sqref>
        </x14:dataValidation>
        <x14:dataValidation type="list" errorStyle="information" allowBlank="1" showInputMessage="1" showErrorMessage="1">
          <x14:formula1>
            <xm:f>Dictionary!$AC$3:$AC$4</xm:f>
          </x14:formula1>
          <xm:sqref>N2:N1048576</xm:sqref>
        </x14:dataValidation>
        <x14:dataValidation type="list" errorStyle="information" allowBlank="1" showInputMessage="1" showErrorMessage="1">
          <x14:formula1>
            <xm:f>Dictionary!$AK$3:$AK$6</xm:f>
          </x14:formula1>
          <xm:sqref>S2:S1048576</xm:sqref>
        </x14:dataValidation>
        <x14:dataValidation type="list" errorStyle="information" allowBlank="1" showInputMessage="1" showErrorMessage="1">
          <x14:formula1>
            <xm:f>Dictionary!$Y$3:$Y$8</xm:f>
          </x14:formula1>
          <xm:sqref>O2:O1048576</xm:sqref>
        </x14:dataValidation>
        <x14:dataValidation type="list" errorStyle="information" allowBlank="1" showInputMessage="1" showErrorMessage="1">
          <x14:formula1>
            <xm:f>Dictionary!$AS$3:$AS$10</xm:f>
          </x14:formula1>
          <xm:sqref>T2:T1048576</xm:sqref>
        </x14:dataValidation>
        <x14:dataValidation type="list" errorStyle="information" allowBlank="1" showInputMessage="1" showErrorMessage="1">
          <x14:formula1>
            <xm:f>Dictionary!$AW$3:$AW$91</xm:f>
          </x14:formula1>
          <xm:sqref>L2:L1048576</xm:sqref>
        </x14:dataValidation>
        <x14:dataValidation type="list" errorStyle="information" allowBlank="1" showInputMessage="1" showErrorMessage="1">
          <x14:formula1>
            <xm:f>Dictionary!$U$3:$U$22</xm:f>
          </x14:formula1>
          <xm:sqref>D2:D1048576</xm:sqref>
        </x14:dataValidation>
        <x14:dataValidation type="list" errorStyle="information" allowBlank="1" showInputMessage="1" showErrorMessage="1">
          <x14:formula1>
            <xm:f>Dictionary!$I$3:$I$75</xm:f>
          </x14:formula1>
          <xm:sqref>I2:I1048576</xm:sqref>
        </x14:dataValidation>
        <x14:dataValidation type="list" errorStyle="information" allowBlank="1" showInputMessage="1" showErrorMessage="1">
          <x14:formula1>
            <xm:f>Dictionary!$M$3:$M$27</xm:f>
          </x14:formula1>
          <xm:sqref>M2:M1048576</xm:sqref>
        </x14:dataValidation>
        <x14:dataValidation type="list" errorStyle="information" allowBlank="1" showDropDown="1" showInputMessage="1" showErrorMessage="1">
          <x14:formula1>
            <xm:f>Dictionary!$E$3:$E$6</xm:f>
          </x14:formula1>
          <xm:sqref>A2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
  <sheetViews>
    <sheetView topLeftCell="G1" workbookViewId="0">
      <selection activeCell="K1" sqref="K1"/>
    </sheetView>
  </sheetViews>
  <sheetFormatPr defaultColWidth="24.85546875" defaultRowHeight="15" x14ac:dyDescent="0.25"/>
  <cols>
    <col min="1" max="16" width="24.85546875" style="25"/>
    <col min="17" max="16384" width="24.85546875" style="26"/>
  </cols>
  <sheetData>
    <row r="1" spans="1:25" x14ac:dyDescent="0.25">
      <c r="A1" s="25" t="s">
        <v>4</v>
      </c>
      <c r="B1" s="25" t="s">
        <v>407</v>
      </c>
      <c r="C1" s="25" t="s">
        <v>170</v>
      </c>
      <c r="D1" s="25" t="s">
        <v>5</v>
      </c>
      <c r="E1" s="25" t="s">
        <v>6</v>
      </c>
      <c r="F1" s="25" t="s">
        <v>173</v>
      </c>
      <c r="G1" s="25" t="s">
        <v>7</v>
      </c>
      <c r="H1" s="25" t="s">
        <v>171</v>
      </c>
      <c r="I1" s="25" t="s">
        <v>162</v>
      </c>
      <c r="J1" s="25" t="s">
        <v>174</v>
      </c>
      <c r="K1" s="25" t="s">
        <v>172</v>
      </c>
      <c r="L1" s="25" t="s">
        <v>177</v>
      </c>
      <c r="M1" s="25" t="s">
        <v>86</v>
      </c>
      <c r="N1" s="25" t="s">
        <v>107</v>
      </c>
      <c r="O1" s="25" t="s">
        <v>8</v>
      </c>
      <c r="P1" s="25" t="s">
        <v>178</v>
      </c>
      <c r="Q1" s="26" t="s">
        <v>179</v>
      </c>
      <c r="R1" s="26" t="s">
        <v>180</v>
      </c>
      <c r="S1" s="26" t="s">
        <v>9</v>
      </c>
      <c r="T1" s="26" t="s">
        <v>181</v>
      </c>
      <c r="U1" s="26" t="s">
        <v>182</v>
      </c>
      <c r="V1" s="26" t="s">
        <v>183</v>
      </c>
      <c r="W1" s="26" t="s">
        <v>184</v>
      </c>
      <c r="X1" s="26" t="s">
        <v>185</v>
      </c>
      <c r="Y1" s="26" t="s">
        <v>186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Y202"/>
  <sheetViews>
    <sheetView tabSelected="1" topLeftCell="AH1" workbookViewId="0">
      <selection activeCell="AL4" sqref="AL4"/>
    </sheetView>
  </sheetViews>
  <sheetFormatPr defaultColWidth="13.85546875" defaultRowHeight="15" x14ac:dyDescent="0.25"/>
  <cols>
    <col min="1" max="1" width="22" style="5" bestFit="1" customWidth="1"/>
    <col min="2" max="2" width="7.5703125" style="36" customWidth="1"/>
    <col min="3" max="3" width="12.7109375" style="5" bestFit="1" customWidth="1"/>
    <col min="4" max="4" width="13.85546875" style="5"/>
    <col min="5" max="5" width="16.140625" style="5" bestFit="1" customWidth="1"/>
    <col min="6" max="6" width="8.42578125" style="36"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3.85546875" style="5"/>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s>
  <sheetData>
    <row r="1" spans="1:51" ht="49.5" customHeight="1" x14ac:dyDescent="0.25">
      <c r="A1" s="43" t="s">
        <v>7</v>
      </c>
      <c r="B1" s="43"/>
      <c r="C1" s="43"/>
      <c r="E1" s="42" t="s">
        <v>4</v>
      </c>
      <c r="F1" s="42"/>
      <c r="G1" s="42"/>
      <c r="I1" s="42" t="s">
        <v>162</v>
      </c>
      <c r="J1" s="42"/>
      <c r="K1" s="42"/>
      <c r="M1" s="42" t="s">
        <v>86</v>
      </c>
      <c r="N1" s="42"/>
      <c r="O1" s="42"/>
      <c r="Q1" s="42" t="s">
        <v>6</v>
      </c>
      <c r="R1" s="42"/>
      <c r="S1" s="42"/>
      <c r="U1" s="42" t="s">
        <v>5</v>
      </c>
      <c r="V1" s="42"/>
      <c r="W1" s="42"/>
      <c r="Y1" s="42" t="s">
        <v>8</v>
      </c>
      <c r="Z1" s="42"/>
      <c r="AA1" s="42"/>
      <c r="AC1" s="42" t="s">
        <v>107</v>
      </c>
      <c r="AD1" s="42"/>
      <c r="AE1" s="42"/>
      <c r="AG1" s="42" t="s">
        <v>122</v>
      </c>
      <c r="AH1" s="42"/>
      <c r="AI1" s="42"/>
      <c r="AJ1" s="27"/>
      <c r="AK1" s="42" t="s">
        <v>9</v>
      </c>
      <c r="AL1" s="42"/>
      <c r="AM1" s="42"/>
      <c r="AN1" s="27"/>
      <c r="AO1" s="42" t="s">
        <v>165</v>
      </c>
      <c r="AP1" s="42"/>
      <c r="AQ1" s="42"/>
      <c r="AR1" s="27"/>
      <c r="AS1" s="42" t="s">
        <v>181</v>
      </c>
      <c r="AT1" s="42"/>
      <c r="AU1" s="42"/>
      <c r="AW1" s="42" t="s">
        <v>319</v>
      </c>
      <c r="AX1" s="42"/>
      <c r="AY1" s="42"/>
    </row>
    <row r="2" spans="1:51" ht="30" x14ac:dyDescent="0.25">
      <c r="A2" s="41" t="s">
        <v>14</v>
      </c>
      <c r="B2" s="37" t="s">
        <v>16</v>
      </c>
      <c r="C2" s="41" t="s">
        <v>15</v>
      </c>
      <c r="D2" s="40"/>
      <c r="E2" s="41" t="s">
        <v>14</v>
      </c>
      <c r="F2" s="37" t="s">
        <v>16</v>
      </c>
      <c r="G2" s="41" t="s">
        <v>15</v>
      </c>
      <c r="I2" s="41" t="s">
        <v>14</v>
      </c>
      <c r="J2" s="41" t="s">
        <v>16</v>
      </c>
      <c r="K2" s="41" t="s">
        <v>15</v>
      </c>
      <c r="M2" s="41" t="s">
        <v>14</v>
      </c>
      <c r="N2" s="41" t="s">
        <v>16</v>
      </c>
      <c r="O2" s="41" t="s">
        <v>15</v>
      </c>
      <c r="Q2" s="41" t="s">
        <v>14</v>
      </c>
      <c r="R2" s="41" t="s">
        <v>16</v>
      </c>
      <c r="S2" s="41" t="s">
        <v>15</v>
      </c>
      <c r="U2" s="41" t="s">
        <v>14</v>
      </c>
      <c r="V2" s="41" t="s">
        <v>16</v>
      </c>
      <c r="W2" s="41" t="s">
        <v>15</v>
      </c>
      <c r="Y2" s="41" t="s">
        <v>14</v>
      </c>
      <c r="Z2" s="41" t="s">
        <v>16</v>
      </c>
      <c r="AA2" s="41" t="s">
        <v>15</v>
      </c>
      <c r="AC2" s="41" t="s">
        <v>14</v>
      </c>
      <c r="AD2" s="41" t="s">
        <v>16</v>
      </c>
      <c r="AE2" s="41" t="s">
        <v>15</v>
      </c>
      <c r="AG2" s="41" t="s">
        <v>14</v>
      </c>
      <c r="AH2" s="41" t="s">
        <v>16</v>
      </c>
      <c r="AI2" s="41" t="s">
        <v>15</v>
      </c>
      <c r="AJ2" s="27"/>
      <c r="AK2" s="41" t="s">
        <v>14</v>
      </c>
      <c r="AL2" s="41" t="s">
        <v>16</v>
      </c>
      <c r="AM2" s="41" t="s">
        <v>15</v>
      </c>
      <c r="AN2" s="27"/>
      <c r="AO2" s="41" t="s">
        <v>14</v>
      </c>
      <c r="AP2" s="41" t="s">
        <v>16</v>
      </c>
      <c r="AQ2" s="41" t="s">
        <v>15</v>
      </c>
      <c r="AR2" s="27"/>
      <c r="AS2" s="41" t="s">
        <v>14</v>
      </c>
      <c r="AT2" s="41" t="s">
        <v>16</v>
      </c>
      <c r="AU2" s="41" t="s">
        <v>15</v>
      </c>
      <c r="AW2" s="35" t="s">
        <v>14</v>
      </c>
      <c r="AX2" s="35" t="s">
        <v>16</v>
      </c>
      <c r="AY2" s="35" t="s">
        <v>15</v>
      </c>
    </row>
    <row r="3" spans="1:51" x14ac:dyDescent="0.25">
      <c r="A3" s="6" t="s">
        <v>111</v>
      </c>
      <c r="B3" s="5"/>
      <c r="C3" s="5" t="s">
        <v>19</v>
      </c>
      <c r="E3" s="5" t="s">
        <v>0</v>
      </c>
      <c r="F3" s="5">
        <v>1</v>
      </c>
      <c r="G3" s="5" t="s">
        <v>0</v>
      </c>
      <c r="I3" s="5" t="s">
        <v>331</v>
      </c>
      <c r="K3" s="5" t="s">
        <v>331</v>
      </c>
      <c r="M3" s="5" t="s">
        <v>332</v>
      </c>
      <c r="O3" s="5" t="s">
        <v>333</v>
      </c>
      <c r="Q3" s="5" t="s">
        <v>87</v>
      </c>
      <c r="R3" s="5">
        <v>1</v>
      </c>
      <c r="S3" s="5" t="s">
        <v>87</v>
      </c>
      <c r="U3" s="5" t="s">
        <v>334</v>
      </c>
      <c r="W3" s="5" t="s">
        <v>335</v>
      </c>
      <c r="Y3" s="5" t="s">
        <v>103</v>
      </c>
      <c r="AA3" s="5" t="s">
        <v>103</v>
      </c>
      <c r="AC3" s="5" t="s">
        <v>109</v>
      </c>
      <c r="AE3" s="5" t="s">
        <v>109</v>
      </c>
      <c r="AG3" s="5" t="s">
        <v>127</v>
      </c>
      <c r="AI3" s="5" t="s">
        <v>127</v>
      </c>
      <c r="AJ3" s="27"/>
      <c r="AK3" s="27" t="s">
        <v>163</v>
      </c>
      <c r="AL3" s="27"/>
      <c r="AM3" s="27" t="s">
        <v>163</v>
      </c>
      <c r="AN3" s="27"/>
      <c r="AO3" s="27" t="s">
        <v>166</v>
      </c>
      <c r="AP3" s="27">
        <v>1</v>
      </c>
      <c r="AQ3" s="27" t="s">
        <v>166</v>
      </c>
      <c r="AR3" s="27"/>
      <c r="AS3" s="27" t="s">
        <v>293</v>
      </c>
      <c r="AT3" s="27">
        <v>1</v>
      </c>
      <c r="AU3" s="27" t="s">
        <v>293</v>
      </c>
      <c r="AW3" t="str">
        <f>FlatbedScans!B2 &amp; ""</f>
        <v>8007140793</v>
      </c>
      <c r="AY3" t="str">
        <f>FlatbedScans!B2 &amp; ""</f>
        <v>8007140793</v>
      </c>
    </row>
    <row r="4" spans="1:51" x14ac:dyDescent="0.25">
      <c r="A4" s="6" t="s">
        <v>112</v>
      </c>
      <c r="B4" s="5"/>
      <c r="C4" s="5" t="s">
        <v>20</v>
      </c>
      <c r="E4" s="5" t="s">
        <v>2</v>
      </c>
      <c r="F4" s="5"/>
      <c r="G4" s="5" t="s">
        <v>2</v>
      </c>
      <c r="I4" s="5" t="s">
        <v>408</v>
      </c>
      <c r="K4" s="5" t="s">
        <v>408</v>
      </c>
      <c r="M4" s="5" t="s">
        <v>58</v>
      </c>
      <c r="O4" s="5" t="s">
        <v>58</v>
      </c>
      <c r="Q4" s="5" t="s">
        <v>88</v>
      </c>
      <c r="S4" s="5" t="s">
        <v>88</v>
      </c>
      <c r="U4" s="5" t="s">
        <v>90</v>
      </c>
      <c r="W4" s="5" t="s">
        <v>90</v>
      </c>
      <c r="Y4" s="5" t="s">
        <v>300</v>
      </c>
      <c r="AA4" s="5" t="s">
        <v>300</v>
      </c>
      <c r="AC4" s="5" t="s">
        <v>108</v>
      </c>
      <c r="AD4" s="5">
        <v>1</v>
      </c>
      <c r="AE4" s="5" t="s">
        <v>108</v>
      </c>
      <c r="AG4" s="5" t="s">
        <v>128</v>
      </c>
      <c r="AH4" s="5">
        <v>1</v>
      </c>
      <c r="AI4" s="5" t="s">
        <v>128</v>
      </c>
      <c r="AJ4" s="27"/>
      <c r="AK4" s="27" t="s">
        <v>164</v>
      </c>
      <c r="AL4" s="27">
        <v>1</v>
      </c>
      <c r="AM4" s="27" t="s">
        <v>164</v>
      </c>
      <c r="AN4" s="27"/>
      <c r="AO4" s="27" t="s">
        <v>167</v>
      </c>
      <c r="AP4" s="27"/>
      <c r="AQ4" s="27" t="s">
        <v>167</v>
      </c>
      <c r="AR4" s="27"/>
      <c r="AS4" s="27" t="s">
        <v>294</v>
      </c>
      <c r="AT4" s="27"/>
      <c r="AU4" s="27" t="s">
        <v>294</v>
      </c>
      <c r="AW4" s="27" t="str">
        <f>FlatbedScans!B3 &amp; ""</f>
        <v>8007140781</v>
      </c>
      <c r="AX4" s="27"/>
      <c r="AY4" s="27" t="str">
        <f>FlatbedScans!B3 &amp; ""</f>
        <v>8007140781</v>
      </c>
    </row>
    <row r="5" spans="1:51" x14ac:dyDescent="0.25">
      <c r="A5" s="6" t="s">
        <v>113</v>
      </c>
      <c r="B5" s="5"/>
      <c r="C5" s="5" t="s">
        <v>21</v>
      </c>
      <c r="E5" s="5" t="s">
        <v>1</v>
      </c>
      <c r="F5" s="5"/>
      <c r="G5" s="5" t="s">
        <v>1</v>
      </c>
      <c r="I5" s="5" t="s">
        <v>45</v>
      </c>
      <c r="K5" s="5" t="s">
        <v>331</v>
      </c>
      <c r="M5" s="5" t="s">
        <v>59</v>
      </c>
      <c r="O5" s="5" t="s">
        <v>59</v>
      </c>
      <c r="Q5" s="5" t="s">
        <v>74</v>
      </c>
      <c r="S5" s="5" t="s">
        <v>74</v>
      </c>
      <c r="U5" s="5" t="s">
        <v>336</v>
      </c>
      <c r="W5" s="5" t="s">
        <v>337</v>
      </c>
      <c r="Y5" s="5" t="s">
        <v>298</v>
      </c>
      <c r="AA5" s="5" t="s">
        <v>298</v>
      </c>
      <c r="AJ5" s="27"/>
      <c r="AK5" s="27" t="s">
        <v>291</v>
      </c>
      <c r="AL5" s="27"/>
      <c r="AM5" s="27" t="s">
        <v>291</v>
      </c>
      <c r="AN5" s="27"/>
      <c r="AO5" s="27" t="s">
        <v>168</v>
      </c>
      <c r="AP5" s="27"/>
      <c r="AQ5" s="27" t="s">
        <v>168</v>
      </c>
      <c r="AR5" s="27"/>
      <c r="AS5" s="27" t="s">
        <v>295</v>
      </c>
      <c r="AT5" s="27"/>
      <c r="AU5" s="27" t="s">
        <v>295</v>
      </c>
      <c r="AW5" s="27" t="str">
        <f>FlatbedScans!B4 &amp; ""</f>
        <v>8007140769</v>
      </c>
      <c r="AX5" s="27"/>
      <c r="AY5" s="27" t="str">
        <f>FlatbedScans!B4 &amp; ""</f>
        <v>8007140769</v>
      </c>
    </row>
    <row r="6" spans="1:51" x14ac:dyDescent="0.25">
      <c r="A6" s="6" t="s">
        <v>114</v>
      </c>
      <c r="B6" s="5"/>
      <c r="C6" s="5" t="s">
        <v>22</v>
      </c>
      <c r="E6" s="5" t="s">
        <v>3</v>
      </c>
      <c r="F6" s="5"/>
      <c r="G6" s="5" t="s">
        <v>3</v>
      </c>
      <c r="I6" s="5" t="s">
        <v>409</v>
      </c>
      <c r="K6" s="5" t="s">
        <v>409</v>
      </c>
      <c r="M6" s="5" t="s">
        <v>67</v>
      </c>
      <c r="O6" s="5" t="s">
        <v>58</v>
      </c>
      <c r="Q6" s="5" t="s">
        <v>89</v>
      </c>
      <c r="S6" s="5" t="s">
        <v>89</v>
      </c>
      <c r="U6" s="5" t="s">
        <v>91</v>
      </c>
      <c r="V6" s="5">
        <v>1</v>
      </c>
      <c r="W6" s="5" t="s">
        <v>91</v>
      </c>
      <c r="Y6" s="5" t="s">
        <v>101</v>
      </c>
      <c r="Z6" s="5">
        <v>1</v>
      </c>
      <c r="AA6" s="5" t="s">
        <v>101</v>
      </c>
      <c r="AJ6" s="27"/>
      <c r="AK6" s="27" t="s">
        <v>292</v>
      </c>
      <c r="AL6" s="27"/>
      <c r="AM6" s="27" t="s">
        <v>292</v>
      </c>
      <c r="AN6" s="27"/>
      <c r="AO6" s="27"/>
      <c r="AP6" s="27"/>
      <c r="AQ6" s="27"/>
      <c r="AR6" s="27"/>
      <c r="AS6" s="27" t="s">
        <v>297</v>
      </c>
      <c r="AT6" s="27"/>
      <c r="AU6" s="27" t="s">
        <v>297</v>
      </c>
      <c r="AW6" s="27" t="str">
        <f>FlatbedScans!B5 &amp; ""</f>
        <v>8007140805</v>
      </c>
      <c r="AX6" s="27"/>
      <c r="AY6" s="27" t="str">
        <f>FlatbedScans!B5 &amp; ""</f>
        <v>8007140805</v>
      </c>
    </row>
    <row r="7" spans="1:51" x14ac:dyDescent="0.25">
      <c r="A7" s="6" t="s">
        <v>115</v>
      </c>
      <c r="B7" s="5"/>
      <c r="C7" s="5" t="s">
        <v>23</v>
      </c>
      <c r="F7" s="5"/>
      <c r="I7" s="5" t="s">
        <v>76</v>
      </c>
      <c r="K7" s="5" t="s">
        <v>331</v>
      </c>
      <c r="M7" s="5" t="s">
        <v>68</v>
      </c>
      <c r="O7" s="5" t="s">
        <v>59</v>
      </c>
      <c r="U7" s="5" t="s">
        <v>303</v>
      </c>
      <c r="W7" s="5" t="s">
        <v>304</v>
      </c>
      <c r="Y7" s="5" t="s">
        <v>296</v>
      </c>
      <c r="AA7" s="5" t="s">
        <v>296</v>
      </c>
      <c r="AJ7" s="27"/>
      <c r="AK7" s="27"/>
      <c r="AL7" s="27"/>
      <c r="AM7" s="27"/>
      <c r="AN7" s="27"/>
      <c r="AO7" s="27"/>
      <c r="AP7" s="27"/>
      <c r="AQ7" s="27"/>
      <c r="AR7" s="27"/>
      <c r="AS7" s="27" t="s">
        <v>299</v>
      </c>
      <c r="AT7" s="27"/>
      <c r="AU7" s="27" t="s">
        <v>299</v>
      </c>
      <c r="AW7" s="27" t="str">
        <f>FlatbedScans!B6 &amp; ""</f>
        <v>8007140817</v>
      </c>
      <c r="AX7" s="27"/>
      <c r="AY7" s="27" t="str">
        <f>FlatbedScans!B6 &amp; ""</f>
        <v>8007140817</v>
      </c>
    </row>
    <row r="8" spans="1:51" x14ac:dyDescent="0.25">
      <c r="A8" s="6" t="s">
        <v>116</v>
      </c>
      <c r="B8" s="5"/>
      <c r="C8" s="5" t="s">
        <v>24</v>
      </c>
      <c r="F8" s="5"/>
      <c r="I8" s="5" t="s">
        <v>410</v>
      </c>
      <c r="K8" s="5" t="s">
        <v>409</v>
      </c>
      <c r="M8" s="5" t="s">
        <v>338</v>
      </c>
      <c r="O8" s="5" t="s">
        <v>339</v>
      </c>
      <c r="U8" s="5" t="s">
        <v>100</v>
      </c>
      <c r="W8" s="5" t="s">
        <v>100</v>
      </c>
      <c r="Y8" s="5" t="s">
        <v>102</v>
      </c>
      <c r="AA8" s="5" t="s">
        <v>102</v>
      </c>
      <c r="AJ8" s="27"/>
      <c r="AK8" s="27"/>
      <c r="AL8" s="27"/>
      <c r="AM8" s="27"/>
      <c r="AN8" s="27"/>
      <c r="AO8" s="27"/>
      <c r="AP8" s="27"/>
      <c r="AQ8" s="27"/>
      <c r="AR8" s="27"/>
      <c r="AS8" s="27" t="s">
        <v>301</v>
      </c>
      <c r="AT8" s="27"/>
      <c r="AU8" s="27" t="s">
        <v>301</v>
      </c>
      <c r="AW8" s="27" t="str">
        <f>FlatbedScans!B7 &amp; ""</f>
        <v>8007140829</v>
      </c>
      <c r="AX8" s="27"/>
      <c r="AY8" s="27" t="str">
        <f>FlatbedScans!B7 &amp; ""</f>
        <v>8007140829</v>
      </c>
    </row>
    <row r="9" spans="1:51" x14ac:dyDescent="0.25">
      <c r="A9" s="6" t="s">
        <v>117</v>
      </c>
      <c r="B9" s="5"/>
      <c r="C9" s="5" t="s">
        <v>25</v>
      </c>
      <c r="F9" s="5"/>
      <c r="I9" s="5" t="s">
        <v>310</v>
      </c>
      <c r="K9" s="5" t="s">
        <v>331</v>
      </c>
      <c r="M9" s="5" t="s">
        <v>340</v>
      </c>
      <c r="O9" s="5" t="s">
        <v>341</v>
      </c>
      <c r="U9" s="5" t="s">
        <v>74</v>
      </c>
      <c r="W9" s="5" t="s">
        <v>74</v>
      </c>
      <c r="AJ9" s="27"/>
      <c r="AK9" s="27"/>
      <c r="AL9" s="27"/>
      <c r="AM9" s="27"/>
      <c r="AN9" s="27"/>
      <c r="AO9" s="27"/>
      <c r="AP9" s="27"/>
      <c r="AQ9" s="27"/>
      <c r="AR9" s="27"/>
      <c r="AS9" s="27" t="s">
        <v>187</v>
      </c>
      <c r="AT9" s="27"/>
      <c r="AU9" s="27" t="s">
        <v>187</v>
      </c>
      <c r="AW9" s="27" t="str">
        <f>FlatbedScans!B8 &amp; ""</f>
        <v>8007140841</v>
      </c>
      <c r="AX9" s="27"/>
      <c r="AY9" s="27" t="str">
        <f>FlatbedScans!B8 &amp; ""</f>
        <v>8007140841</v>
      </c>
    </row>
    <row r="10" spans="1:51" x14ac:dyDescent="0.25">
      <c r="A10" s="6" t="s">
        <v>118</v>
      </c>
      <c r="B10" s="5"/>
      <c r="C10" s="5" t="s">
        <v>26</v>
      </c>
      <c r="F10" s="5"/>
      <c r="I10" s="5" t="s">
        <v>342</v>
      </c>
      <c r="K10" s="5" t="s">
        <v>408</v>
      </c>
      <c r="M10" s="5" t="s">
        <v>62</v>
      </c>
      <c r="O10" s="5" t="s">
        <v>62</v>
      </c>
      <c r="U10" s="5" t="s">
        <v>93</v>
      </c>
      <c r="W10" s="5" t="s">
        <v>93</v>
      </c>
      <c r="AJ10" s="27"/>
      <c r="AK10" s="27"/>
      <c r="AL10" s="27"/>
      <c r="AM10" s="27"/>
      <c r="AN10" s="27"/>
      <c r="AO10" s="27"/>
      <c r="AP10" s="27"/>
      <c r="AQ10" s="27"/>
      <c r="AR10" s="27"/>
      <c r="AS10" s="27" t="s">
        <v>302</v>
      </c>
      <c r="AT10" s="27"/>
      <c r="AU10" s="27" t="s">
        <v>302</v>
      </c>
      <c r="AW10" s="27" t="str">
        <f>FlatbedScans!B9 &amp; ""</f>
        <v>8007140853</v>
      </c>
      <c r="AX10" s="27"/>
      <c r="AY10" s="27" t="str">
        <f>FlatbedScans!B9 &amp; ""</f>
        <v>8007140853</v>
      </c>
    </row>
    <row r="11" spans="1:51" x14ac:dyDescent="0.25">
      <c r="A11" s="6" t="s">
        <v>119</v>
      </c>
      <c r="B11" s="5"/>
      <c r="C11" s="5" t="s">
        <v>27</v>
      </c>
      <c r="F11" s="5"/>
      <c r="I11" s="5" t="s">
        <v>343</v>
      </c>
      <c r="K11" s="5" t="s">
        <v>343</v>
      </c>
      <c r="M11" s="5" t="s">
        <v>71</v>
      </c>
      <c r="O11" s="5" t="s">
        <v>62</v>
      </c>
      <c r="U11" s="5" t="s">
        <v>124</v>
      </c>
      <c r="W11" s="5" t="s">
        <v>124</v>
      </c>
      <c r="AJ11" s="27"/>
      <c r="AK11" s="27"/>
      <c r="AL11" s="27"/>
      <c r="AM11" s="27"/>
      <c r="AN11" s="27"/>
      <c r="AO11" s="27"/>
      <c r="AP11" s="27"/>
      <c r="AQ11" s="27"/>
      <c r="AR11" s="27"/>
      <c r="AS11" s="27"/>
      <c r="AT11" s="27"/>
      <c r="AU11" s="27"/>
      <c r="AW11" s="27" t="str">
        <f>FlatbedScans!B10 &amp; ""</f>
        <v>8007140770</v>
      </c>
      <c r="AX11" s="27"/>
      <c r="AY11" s="27" t="str">
        <f>FlatbedScans!B10 &amp; ""</f>
        <v>8007140770</v>
      </c>
    </row>
    <row r="12" spans="1:51" x14ac:dyDescent="0.25">
      <c r="A12" s="6" t="s">
        <v>120</v>
      </c>
      <c r="B12" s="5"/>
      <c r="C12" s="5" t="s">
        <v>28</v>
      </c>
      <c r="F12" s="5"/>
      <c r="I12" s="5" t="s">
        <v>344</v>
      </c>
      <c r="K12" s="5" t="s">
        <v>343</v>
      </c>
      <c r="M12" s="5" t="s">
        <v>60</v>
      </c>
      <c r="O12" s="5" t="s">
        <v>60</v>
      </c>
      <c r="U12" s="5" t="s">
        <v>94</v>
      </c>
      <c r="W12" s="5" t="s">
        <v>124</v>
      </c>
      <c r="AJ12" s="27"/>
      <c r="AK12" s="27"/>
      <c r="AL12" s="27"/>
      <c r="AM12" s="27"/>
      <c r="AN12" s="27"/>
      <c r="AO12" s="27"/>
      <c r="AP12" s="27"/>
      <c r="AQ12" s="27"/>
      <c r="AR12" s="27"/>
      <c r="AS12" s="27"/>
      <c r="AT12" s="27"/>
      <c r="AU12" s="27"/>
      <c r="AW12" s="27" t="str">
        <f>FlatbedScans!B11 &amp; ""</f>
        <v>8007140782</v>
      </c>
      <c r="AX12" s="27"/>
      <c r="AY12" s="27" t="str">
        <f>FlatbedScans!B11 &amp; ""</f>
        <v>8007140782</v>
      </c>
    </row>
    <row r="13" spans="1:51" x14ac:dyDescent="0.25">
      <c r="A13" s="6" t="s">
        <v>121</v>
      </c>
      <c r="B13" s="5"/>
      <c r="C13" s="5" t="s">
        <v>29</v>
      </c>
      <c r="F13" s="5"/>
      <c r="I13" s="5" t="s">
        <v>345</v>
      </c>
      <c r="K13" s="5" t="s">
        <v>345</v>
      </c>
      <c r="M13" s="5" t="s">
        <v>61</v>
      </c>
      <c r="O13" s="5" t="s">
        <v>61</v>
      </c>
      <c r="U13" s="5" t="s">
        <v>125</v>
      </c>
      <c r="W13" s="5" t="s">
        <v>125</v>
      </c>
      <c r="AJ13" s="27"/>
      <c r="AK13" s="27"/>
      <c r="AL13" s="27"/>
      <c r="AM13" s="27"/>
      <c r="AN13" s="27"/>
      <c r="AO13" s="27"/>
      <c r="AP13" s="27"/>
      <c r="AQ13" s="27"/>
      <c r="AR13" s="27"/>
      <c r="AS13" s="27"/>
      <c r="AT13" s="27"/>
      <c r="AU13" s="27"/>
      <c r="AW13" s="27" t="str">
        <f>FlatbedScans!B12 &amp; ""</f>
        <v>8007140794</v>
      </c>
      <c r="AX13" s="27"/>
      <c r="AY13" s="27" t="str">
        <f>FlatbedScans!B12 &amp; ""</f>
        <v>8007140794</v>
      </c>
    </row>
    <row r="14" spans="1:51" x14ac:dyDescent="0.25">
      <c r="A14" s="5" t="s">
        <v>21</v>
      </c>
      <c r="B14" s="5"/>
      <c r="C14" s="5" t="s">
        <v>21</v>
      </c>
      <c r="F14" s="5"/>
      <c r="I14" s="5" t="s">
        <v>51</v>
      </c>
      <c r="K14" s="5" t="s">
        <v>51</v>
      </c>
      <c r="M14" s="5" t="s">
        <v>69</v>
      </c>
      <c r="O14" s="5" t="s">
        <v>60</v>
      </c>
      <c r="U14" s="5" t="s">
        <v>98</v>
      </c>
      <c r="W14" s="5" t="s">
        <v>125</v>
      </c>
      <c r="AJ14" s="27"/>
      <c r="AK14" s="27"/>
      <c r="AL14" s="27"/>
      <c r="AM14" s="27"/>
      <c r="AN14" s="27"/>
      <c r="AO14" s="27"/>
      <c r="AP14" s="27"/>
      <c r="AQ14" s="27"/>
      <c r="AR14" s="27"/>
      <c r="AS14" s="27"/>
      <c r="AT14" s="27"/>
      <c r="AU14" s="27"/>
      <c r="AW14" s="27" t="str">
        <f>FlatbedScans!B13 &amp; ""</f>
        <v>8007140806</v>
      </c>
      <c r="AX14" s="27"/>
      <c r="AY14" s="27" t="str">
        <f>FlatbedScans!B13 &amp; ""</f>
        <v>8007140806</v>
      </c>
    </row>
    <row r="15" spans="1:51" x14ac:dyDescent="0.25">
      <c r="A15" s="5" t="s">
        <v>32</v>
      </c>
      <c r="B15" s="5"/>
      <c r="C15" s="5" t="s">
        <v>21</v>
      </c>
      <c r="F15" s="5"/>
      <c r="I15" s="5" t="s">
        <v>49</v>
      </c>
      <c r="K15" s="5" t="s">
        <v>51</v>
      </c>
      <c r="M15" s="5" t="s">
        <v>70</v>
      </c>
      <c r="O15" s="5" t="s">
        <v>61</v>
      </c>
      <c r="U15" s="5" t="s">
        <v>126</v>
      </c>
      <c r="W15" s="5" t="s">
        <v>126</v>
      </c>
      <c r="AJ15" s="27"/>
      <c r="AK15" s="27"/>
      <c r="AL15" s="27"/>
      <c r="AM15" s="27"/>
      <c r="AN15" s="27"/>
      <c r="AO15" s="27"/>
      <c r="AP15" s="27"/>
      <c r="AQ15" s="27"/>
      <c r="AR15" s="27"/>
      <c r="AS15" s="27"/>
      <c r="AT15" s="27"/>
      <c r="AU15" s="27"/>
      <c r="AW15" s="27" t="str">
        <f>FlatbedScans!B14 &amp; ""</f>
        <v>8007140818</v>
      </c>
      <c r="AX15" s="27"/>
      <c r="AY15" s="27" t="str">
        <f>FlatbedScans!B14 &amp; ""</f>
        <v>8007140818</v>
      </c>
    </row>
    <row r="16" spans="1:51" x14ac:dyDescent="0.25">
      <c r="A16" s="5" t="s">
        <v>23</v>
      </c>
      <c r="B16" s="5">
        <v>1</v>
      </c>
      <c r="C16" s="5" t="s">
        <v>23</v>
      </c>
      <c r="F16" s="5"/>
      <c r="I16" s="5" t="s">
        <v>50</v>
      </c>
      <c r="K16" s="5" t="s">
        <v>346</v>
      </c>
      <c r="M16" s="5" t="s">
        <v>411</v>
      </c>
      <c r="O16" s="5" t="s">
        <v>412</v>
      </c>
      <c r="U16" s="5" t="s">
        <v>95</v>
      </c>
      <c r="W16" s="5" t="s">
        <v>126</v>
      </c>
      <c r="AJ16" s="27"/>
      <c r="AK16" s="27"/>
      <c r="AL16" s="27"/>
      <c r="AM16" s="27"/>
      <c r="AN16" s="27"/>
      <c r="AO16" s="27"/>
      <c r="AP16" s="27"/>
      <c r="AQ16" s="27"/>
      <c r="AR16" s="27"/>
      <c r="AS16" s="27"/>
      <c r="AT16" s="27"/>
      <c r="AU16" s="27"/>
      <c r="AW16" s="27" t="str">
        <f>FlatbedScans!B15 &amp; ""</f>
        <v>8007140830</v>
      </c>
      <c r="AX16" s="27"/>
      <c r="AY16" s="27" t="str">
        <f>FlatbedScans!B15 &amp; ""</f>
        <v>8007140830</v>
      </c>
    </row>
    <row r="17" spans="1:51" x14ac:dyDescent="0.25">
      <c r="A17" s="5" t="s">
        <v>34</v>
      </c>
      <c r="B17" s="5"/>
      <c r="C17" s="5" t="s">
        <v>23</v>
      </c>
      <c r="F17" s="5"/>
      <c r="I17" s="5" t="s">
        <v>80</v>
      </c>
      <c r="K17" s="5" t="s">
        <v>51</v>
      </c>
      <c r="M17" s="5" t="s">
        <v>413</v>
      </c>
      <c r="O17" s="5" t="s">
        <v>414</v>
      </c>
      <c r="U17" s="5" t="s">
        <v>92</v>
      </c>
      <c r="W17" s="5" t="s">
        <v>92</v>
      </c>
      <c r="AJ17" s="27"/>
      <c r="AK17" s="27"/>
      <c r="AL17" s="27"/>
      <c r="AM17" s="27"/>
      <c r="AN17" s="27"/>
      <c r="AO17" s="27"/>
      <c r="AP17" s="27"/>
      <c r="AQ17" s="27"/>
      <c r="AR17" s="27"/>
      <c r="AS17" s="27"/>
      <c r="AT17" s="27"/>
      <c r="AU17" s="27"/>
      <c r="AW17" s="27" t="str">
        <f>FlatbedScans!B16 &amp; ""</f>
        <v>8007140842</v>
      </c>
      <c r="AX17" s="27"/>
      <c r="AY17" s="27" t="str">
        <f>FlatbedScans!B16 &amp; ""</f>
        <v>8007140842</v>
      </c>
    </row>
    <row r="18" spans="1:51" x14ac:dyDescent="0.25">
      <c r="A18" s="5" t="s">
        <v>25</v>
      </c>
      <c r="B18" s="5"/>
      <c r="C18" s="5" t="s">
        <v>25</v>
      </c>
      <c r="F18" s="5"/>
      <c r="I18" s="5" t="s">
        <v>82</v>
      </c>
      <c r="K18" s="5" t="s">
        <v>51</v>
      </c>
      <c r="M18" s="5" t="s">
        <v>347</v>
      </c>
      <c r="O18" s="5" t="s">
        <v>348</v>
      </c>
      <c r="U18" s="5" t="s">
        <v>96</v>
      </c>
      <c r="W18" s="5" t="s">
        <v>96</v>
      </c>
      <c r="AJ18" s="27"/>
      <c r="AK18" s="27"/>
      <c r="AL18" s="27"/>
      <c r="AM18" s="27"/>
      <c r="AN18" s="27"/>
      <c r="AO18" s="27"/>
      <c r="AP18" s="27"/>
      <c r="AQ18" s="27"/>
      <c r="AR18" s="27"/>
      <c r="AS18" s="27"/>
      <c r="AT18" s="27"/>
      <c r="AU18" s="27"/>
      <c r="AW18" s="27" t="str">
        <f>FlatbedScans!B17 &amp; ""</f>
        <v>8007140854</v>
      </c>
      <c r="AX18" s="27"/>
      <c r="AY18" s="27" t="str">
        <f>FlatbedScans!B17 &amp; ""</f>
        <v>8007140854</v>
      </c>
    </row>
    <row r="19" spans="1:51" x14ac:dyDescent="0.25">
      <c r="A19" s="5" t="s">
        <v>36</v>
      </c>
      <c r="B19" s="5"/>
      <c r="C19" s="5" t="s">
        <v>25</v>
      </c>
      <c r="F19" s="5"/>
      <c r="I19" s="5" t="s">
        <v>308</v>
      </c>
      <c r="K19" s="5" t="s">
        <v>346</v>
      </c>
      <c r="M19" s="5" t="s">
        <v>412</v>
      </c>
      <c r="O19" s="5" t="s">
        <v>412</v>
      </c>
      <c r="U19" s="5" t="s">
        <v>97</v>
      </c>
      <c r="W19" s="5" t="s">
        <v>97</v>
      </c>
      <c r="AJ19" s="27"/>
      <c r="AK19" s="27"/>
      <c r="AL19" s="27"/>
      <c r="AM19" s="27"/>
      <c r="AN19" s="27"/>
      <c r="AO19" s="27"/>
      <c r="AP19" s="27"/>
      <c r="AQ19" s="27"/>
      <c r="AR19" s="27"/>
      <c r="AS19" s="27"/>
      <c r="AT19" s="27"/>
      <c r="AU19" s="27"/>
      <c r="AW19" s="27" t="str">
        <f>FlatbedScans!B18 &amp; ""</f>
        <v>8007140771</v>
      </c>
      <c r="AX19" s="27"/>
      <c r="AY19" s="27" t="str">
        <f>FlatbedScans!B18 &amp; ""</f>
        <v>8007140771</v>
      </c>
    </row>
    <row r="20" spans="1:51" x14ac:dyDescent="0.25">
      <c r="A20" s="5" t="s">
        <v>349</v>
      </c>
      <c r="B20" s="5"/>
      <c r="C20" s="5" t="s">
        <v>350</v>
      </c>
      <c r="F20" s="5"/>
      <c r="I20" s="5" t="s">
        <v>79</v>
      </c>
      <c r="K20" s="5" t="s">
        <v>48</v>
      </c>
      <c r="M20" s="5" t="s">
        <v>414</v>
      </c>
      <c r="O20" s="5" t="s">
        <v>414</v>
      </c>
      <c r="U20" s="5" t="s">
        <v>351</v>
      </c>
      <c r="W20" s="5" t="s">
        <v>352</v>
      </c>
      <c r="AJ20" s="27"/>
      <c r="AK20" s="27"/>
      <c r="AL20" s="27"/>
      <c r="AM20" s="27"/>
      <c r="AN20" s="27"/>
      <c r="AO20" s="27"/>
      <c r="AP20" s="27"/>
      <c r="AQ20" s="27"/>
      <c r="AR20" s="27"/>
      <c r="AS20" s="27"/>
      <c r="AT20" s="27"/>
      <c r="AU20" s="27"/>
      <c r="AW20" s="27" t="str">
        <f>FlatbedScans!B19 &amp; ""</f>
        <v>8007140783</v>
      </c>
      <c r="AX20" s="27"/>
      <c r="AY20" s="27" t="str">
        <f>FlatbedScans!B19 &amp; ""</f>
        <v>8007140783</v>
      </c>
    </row>
    <row r="21" spans="1:51" x14ac:dyDescent="0.25">
      <c r="A21" s="5" t="s">
        <v>31</v>
      </c>
      <c r="B21" s="5"/>
      <c r="C21" s="5" t="s">
        <v>20</v>
      </c>
      <c r="F21" s="5"/>
      <c r="I21" s="5" t="s">
        <v>83</v>
      </c>
      <c r="K21" s="5" t="s">
        <v>353</v>
      </c>
      <c r="M21" s="5" t="s">
        <v>55</v>
      </c>
      <c r="O21" s="5" t="s">
        <v>55</v>
      </c>
      <c r="U21" s="5" t="s">
        <v>354</v>
      </c>
      <c r="W21" s="5" t="s">
        <v>355</v>
      </c>
      <c r="AJ21" s="27"/>
      <c r="AK21" s="27"/>
      <c r="AL21" s="27"/>
      <c r="AM21" s="27"/>
      <c r="AN21" s="27"/>
      <c r="AO21" s="27"/>
      <c r="AP21" s="27"/>
      <c r="AQ21" s="27"/>
      <c r="AR21" s="27"/>
      <c r="AS21" s="27"/>
      <c r="AT21" s="27"/>
      <c r="AU21" s="27"/>
      <c r="AW21" s="27" t="str">
        <f>FlatbedScans!B20 &amp; ""</f>
        <v>8007140795</v>
      </c>
      <c r="AX21" s="27"/>
      <c r="AY21" s="27" t="str">
        <f>FlatbedScans!B20 &amp; ""</f>
        <v>8007140795</v>
      </c>
    </row>
    <row r="22" spans="1:51" x14ac:dyDescent="0.25">
      <c r="A22" s="5" t="s">
        <v>29</v>
      </c>
      <c r="B22" s="5"/>
      <c r="C22" s="5" t="s">
        <v>29</v>
      </c>
      <c r="F22" s="5"/>
      <c r="I22" s="5" t="s">
        <v>48</v>
      </c>
      <c r="K22" s="5" t="s">
        <v>48</v>
      </c>
      <c r="M22" s="5" t="s">
        <v>74</v>
      </c>
      <c r="O22" s="5" t="s">
        <v>55</v>
      </c>
      <c r="U22" s="5" t="s">
        <v>99</v>
      </c>
      <c r="W22" s="5" t="s">
        <v>99</v>
      </c>
      <c r="AJ22" s="27"/>
      <c r="AK22" s="27"/>
      <c r="AL22" s="27"/>
      <c r="AM22" s="27"/>
      <c r="AN22" s="27"/>
      <c r="AO22" s="27"/>
      <c r="AP22" s="27"/>
      <c r="AQ22" s="27"/>
      <c r="AR22" s="27"/>
      <c r="AS22" s="27"/>
      <c r="AT22" s="27"/>
      <c r="AU22" s="27"/>
      <c r="AW22" s="27" t="str">
        <f>FlatbedScans!B21 &amp; ""</f>
        <v>8007140807</v>
      </c>
      <c r="AX22" s="27"/>
      <c r="AY22" s="27" t="str">
        <f>FlatbedScans!B21 &amp; ""</f>
        <v>8007140807</v>
      </c>
    </row>
    <row r="23" spans="1:51" x14ac:dyDescent="0.25">
      <c r="A23" s="5" t="s">
        <v>356</v>
      </c>
      <c r="B23" s="5"/>
      <c r="C23" s="5" t="s">
        <v>29</v>
      </c>
      <c r="F23" s="5"/>
      <c r="I23" s="5" t="s">
        <v>357</v>
      </c>
      <c r="K23" s="5" t="s">
        <v>345</v>
      </c>
      <c r="M23" s="5" t="s">
        <v>57</v>
      </c>
      <c r="O23" s="5" t="s">
        <v>57</v>
      </c>
      <c r="AJ23" s="27"/>
      <c r="AK23" s="27"/>
      <c r="AL23" s="27"/>
      <c r="AM23" s="27"/>
      <c r="AN23" s="27"/>
      <c r="AO23" s="27"/>
      <c r="AP23" s="27"/>
      <c r="AQ23" s="27"/>
      <c r="AR23" s="27"/>
      <c r="AS23" s="27"/>
      <c r="AT23" s="27"/>
      <c r="AU23" s="27"/>
      <c r="AW23" s="27" t="str">
        <f>FlatbedScans!B22 &amp; ""</f>
        <v>8007140819</v>
      </c>
      <c r="AX23" s="27"/>
      <c r="AY23" s="27" t="str">
        <f>FlatbedScans!B22 &amp; ""</f>
        <v>8007140819</v>
      </c>
    </row>
    <row r="24" spans="1:51" x14ac:dyDescent="0.25">
      <c r="A24" s="5" t="s">
        <v>40</v>
      </c>
      <c r="B24" s="5"/>
      <c r="C24" s="5" t="s">
        <v>29</v>
      </c>
      <c r="F24" s="5"/>
      <c r="I24" s="5" t="s">
        <v>358</v>
      </c>
      <c r="K24" s="5" t="s">
        <v>353</v>
      </c>
      <c r="M24" s="5" t="s">
        <v>66</v>
      </c>
      <c r="O24" s="5" t="s">
        <v>57</v>
      </c>
      <c r="AJ24" s="27"/>
      <c r="AK24" s="27"/>
      <c r="AL24" s="27"/>
      <c r="AM24" s="27"/>
      <c r="AN24" s="27"/>
      <c r="AO24" s="27"/>
      <c r="AP24" s="27"/>
      <c r="AQ24" s="27"/>
      <c r="AR24" s="27"/>
      <c r="AS24" s="27"/>
      <c r="AT24" s="27"/>
      <c r="AU24" s="27"/>
      <c r="AW24" s="27" t="str">
        <f>FlatbedScans!B23 &amp; ""</f>
        <v>8007140831</v>
      </c>
      <c r="AX24" s="27"/>
      <c r="AY24" s="27" t="str">
        <f>FlatbedScans!B23 &amp; ""</f>
        <v>8007140831</v>
      </c>
    </row>
    <row r="25" spans="1:51" x14ac:dyDescent="0.25">
      <c r="A25" s="5" t="s">
        <v>26</v>
      </c>
      <c r="B25" s="5"/>
      <c r="C25" s="5" t="s">
        <v>26</v>
      </c>
      <c r="F25" s="5"/>
      <c r="I25" s="5" t="s">
        <v>52</v>
      </c>
      <c r="K25" s="5" t="s">
        <v>353</v>
      </c>
      <c r="M25" s="5" t="s">
        <v>73</v>
      </c>
      <c r="O25" s="5" t="s">
        <v>64</v>
      </c>
      <c r="AJ25" s="27"/>
      <c r="AK25" s="27"/>
      <c r="AL25" s="27"/>
      <c r="AM25" s="27"/>
      <c r="AN25" s="27"/>
      <c r="AO25" s="27"/>
      <c r="AP25" s="27"/>
      <c r="AQ25" s="27"/>
      <c r="AR25" s="27"/>
      <c r="AS25" s="27"/>
      <c r="AT25" s="27"/>
      <c r="AU25" s="27"/>
      <c r="AW25" s="27" t="str">
        <f>FlatbedScans!B24 &amp; ""</f>
        <v>8007140843</v>
      </c>
      <c r="AX25" s="27"/>
      <c r="AY25" s="27" t="str">
        <f>FlatbedScans!B24 &amp; ""</f>
        <v>8007140843</v>
      </c>
    </row>
    <row r="26" spans="1:51" x14ac:dyDescent="0.25">
      <c r="A26" s="5" t="s">
        <v>37</v>
      </c>
      <c r="B26" s="5"/>
      <c r="C26" s="5" t="s">
        <v>26</v>
      </c>
      <c r="F26" s="5"/>
      <c r="I26" s="5" t="s">
        <v>85</v>
      </c>
      <c r="K26" s="5" t="s">
        <v>54</v>
      </c>
      <c r="M26" s="5" t="s">
        <v>72</v>
      </c>
      <c r="O26" s="5" t="s">
        <v>63</v>
      </c>
      <c r="AJ26" s="27"/>
      <c r="AK26" s="27"/>
      <c r="AL26" s="27"/>
      <c r="AM26" s="27"/>
      <c r="AN26" s="27"/>
      <c r="AO26" s="27"/>
      <c r="AP26" s="27"/>
      <c r="AQ26" s="27"/>
      <c r="AR26" s="27"/>
      <c r="AS26" s="27"/>
      <c r="AT26" s="27"/>
      <c r="AU26" s="27"/>
      <c r="AW26" s="27" t="str">
        <f>FlatbedScans!B25 &amp; ""</f>
        <v>8007140855</v>
      </c>
      <c r="AX26" s="27"/>
      <c r="AY26" s="27" t="str">
        <f>FlatbedScans!B25 &amp; ""</f>
        <v>8007140855</v>
      </c>
    </row>
    <row r="27" spans="1:51" x14ac:dyDescent="0.25">
      <c r="A27" s="5" t="s">
        <v>359</v>
      </c>
      <c r="B27" s="5"/>
      <c r="C27" s="5" t="s">
        <v>360</v>
      </c>
      <c r="F27" s="5"/>
      <c r="I27" s="5" t="s">
        <v>54</v>
      </c>
      <c r="K27" s="5" t="s">
        <v>54</v>
      </c>
      <c r="M27" s="5" t="s">
        <v>64</v>
      </c>
      <c r="O27" s="5" t="s">
        <v>64</v>
      </c>
      <c r="AJ27" s="27"/>
      <c r="AK27" s="27"/>
      <c r="AL27" s="27"/>
      <c r="AM27" s="27"/>
      <c r="AN27" s="27"/>
      <c r="AO27" s="27"/>
      <c r="AP27" s="27"/>
      <c r="AQ27" s="27"/>
      <c r="AR27" s="27"/>
      <c r="AS27" s="27"/>
      <c r="AT27" s="27"/>
      <c r="AU27" s="27"/>
      <c r="AW27" s="27" t="str">
        <f>FlatbedScans!B26 &amp; ""</f>
        <v>8007140772</v>
      </c>
      <c r="AX27" s="27"/>
      <c r="AY27" s="27" t="str">
        <f>FlatbedScans!B26 &amp; ""</f>
        <v>8007140772</v>
      </c>
    </row>
    <row r="28" spans="1:51" x14ac:dyDescent="0.25">
      <c r="A28" s="5" t="s">
        <v>24</v>
      </c>
      <c r="B28" s="5"/>
      <c r="C28" s="5" t="s">
        <v>24</v>
      </c>
      <c r="F28" s="5"/>
      <c r="I28" s="5" t="s">
        <v>363</v>
      </c>
      <c r="K28" s="5" t="s">
        <v>363</v>
      </c>
      <c r="M28" s="5" t="s">
        <v>63</v>
      </c>
      <c r="O28" s="5" t="s">
        <v>63</v>
      </c>
      <c r="AJ28" s="27"/>
      <c r="AK28" s="27"/>
      <c r="AL28" s="27"/>
      <c r="AM28" s="27"/>
      <c r="AN28" s="27"/>
      <c r="AO28" s="27"/>
      <c r="AP28" s="27"/>
      <c r="AQ28" s="27"/>
      <c r="AR28" s="27"/>
      <c r="AS28" s="27"/>
      <c r="AT28" s="27"/>
      <c r="AU28" s="27"/>
      <c r="AW28" s="27" t="str">
        <f>FlatbedScans!B27 &amp; ""</f>
        <v>8007140784</v>
      </c>
      <c r="AX28" s="27"/>
      <c r="AY28" s="27" t="str">
        <f>FlatbedScans!B27 &amp; ""</f>
        <v>8007140784</v>
      </c>
    </row>
    <row r="29" spans="1:51" x14ac:dyDescent="0.25">
      <c r="A29" s="5" t="s">
        <v>35</v>
      </c>
      <c r="B29" s="5"/>
      <c r="C29" s="5" t="s">
        <v>24</v>
      </c>
      <c r="F29" s="5"/>
      <c r="I29" s="5" t="s">
        <v>364</v>
      </c>
      <c r="K29" s="5" t="s">
        <v>363</v>
      </c>
      <c r="M29" s="5" t="s">
        <v>65</v>
      </c>
      <c r="O29" s="5" t="s">
        <v>56</v>
      </c>
      <c r="AJ29" s="27"/>
      <c r="AK29" s="27"/>
      <c r="AL29" s="27"/>
      <c r="AM29" s="27"/>
      <c r="AN29" s="27"/>
      <c r="AO29" s="27"/>
      <c r="AP29" s="27"/>
      <c r="AQ29" s="27"/>
      <c r="AR29" s="27"/>
      <c r="AS29" s="27"/>
      <c r="AT29" s="27"/>
      <c r="AU29" s="27"/>
      <c r="AW29" s="27" t="str">
        <f>FlatbedScans!B28 &amp; ""</f>
        <v>8007140796</v>
      </c>
      <c r="AX29" s="27"/>
      <c r="AY29" s="27" t="str">
        <f>FlatbedScans!B28 &amp; ""</f>
        <v>8007140796</v>
      </c>
    </row>
    <row r="30" spans="1:51" x14ac:dyDescent="0.25">
      <c r="A30" s="5" t="s">
        <v>27</v>
      </c>
      <c r="B30" s="5"/>
      <c r="C30" s="5" t="s">
        <v>27</v>
      </c>
      <c r="F30" s="5"/>
      <c r="I30" s="5" t="s">
        <v>81</v>
      </c>
      <c r="K30" s="5" t="s">
        <v>346</v>
      </c>
      <c r="M30" s="5" t="s">
        <v>56</v>
      </c>
      <c r="N30" s="5">
        <v>1</v>
      </c>
      <c r="O30" s="5" t="s">
        <v>56</v>
      </c>
      <c r="AJ30" s="27"/>
      <c r="AK30" s="27"/>
      <c r="AL30" s="27"/>
      <c r="AM30" s="27"/>
      <c r="AN30" s="27"/>
      <c r="AO30" s="27"/>
      <c r="AP30" s="27"/>
      <c r="AQ30" s="27"/>
      <c r="AR30" s="27"/>
      <c r="AS30" s="27"/>
      <c r="AT30" s="27"/>
      <c r="AU30" s="27"/>
      <c r="AW30" s="27" t="str">
        <f>FlatbedScans!B29 &amp; ""</f>
        <v>8007140808</v>
      </c>
      <c r="AX30" s="27"/>
      <c r="AY30" s="27" t="str">
        <f>FlatbedScans!B29 &amp; ""</f>
        <v>8007140808</v>
      </c>
    </row>
    <row r="31" spans="1:51" x14ac:dyDescent="0.25">
      <c r="A31" s="5" t="s">
        <v>38</v>
      </c>
      <c r="B31" s="5"/>
      <c r="C31" s="5" t="s">
        <v>27</v>
      </c>
      <c r="F31" s="5"/>
      <c r="I31" s="5" t="s">
        <v>365</v>
      </c>
      <c r="K31" s="5" t="s">
        <v>365</v>
      </c>
      <c r="M31" s="5" t="s">
        <v>361</v>
      </c>
      <c r="O31" s="5" t="s">
        <v>362</v>
      </c>
      <c r="AJ31" s="27"/>
      <c r="AK31" s="27"/>
      <c r="AL31" s="27"/>
      <c r="AM31" s="27"/>
      <c r="AN31" s="27"/>
      <c r="AO31" s="27"/>
      <c r="AP31" s="27"/>
      <c r="AQ31" s="27"/>
      <c r="AR31" s="27"/>
      <c r="AS31" s="27"/>
      <c r="AT31" s="27"/>
      <c r="AU31" s="27"/>
      <c r="AW31" s="27" t="str">
        <f>FlatbedScans!B30 &amp; ""</f>
        <v>8007140820</v>
      </c>
      <c r="AX31" s="27"/>
      <c r="AY31" s="27" t="str">
        <f>FlatbedScans!B30 &amp; ""</f>
        <v>8007140820</v>
      </c>
    </row>
    <row r="32" spans="1:51" x14ac:dyDescent="0.25">
      <c r="A32" s="5" t="s">
        <v>366</v>
      </c>
      <c r="B32" s="5"/>
      <c r="C32" s="5" t="s">
        <v>367</v>
      </c>
      <c r="F32" s="5"/>
      <c r="I32" s="5" t="s">
        <v>368</v>
      </c>
      <c r="K32" s="5" t="s">
        <v>365</v>
      </c>
      <c r="AJ32" s="27"/>
      <c r="AK32" s="27"/>
      <c r="AL32" s="27"/>
      <c r="AM32" s="27"/>
      <c r="AN32" s="27"/>
      <c r="AO32" s="27"/>
      <c r="AP32" s="27"/>
      <c r="AQ32" s="27"/>
      <c r="AR32" s="27"/>
      <c r="AS32" s="27"/>
      <c r="AT32" s="27"/>
      <c r="AU32" s="27"/>
      <c r="AW32" s="27" t="str">
        <f>FlatbedScans!B31 &amp; ""</f>
        <v>8007140832</v>
      </c>
      <c r="AX32" s="27"/>
      <c r="AY32" s="27" t="str">
        <f>FlatbedScans!B31 &amp; ""</f>
        <v>8007140832</v>
      </c>
    </row>
    <row r="33" spans="1:51" x14ac:dyDescent="0.25">
      <c r="A33" s="5" t="s">
        <v>369</v>
      </c>
      <c r="B33" s="5"/>
      <c r="C33" s="5" t="s">
        <v>370</v>
      </c>
      <c r="F33" s="5"/>
      <c r="I33" s="5" t="s">
        <v>371</v>
      </c>
      <c r="K33" s="5" t="s">
        <v>372</v>
      </c>
      <c r="AJ33" s="27"/>
      <c r="AK33" s="27"/>
      <c r="AL33" s="27"/>
      <c r="AM33" s="27"/>
      <c r="AN33" s="27"/>
      <c r="AO33" s="27"/>
      <c r="AP33" s="27"/>
      <c r="AQ33" s="27"/>
      <c r="AR33" s="27"/>
      <c r="AS33" s="27"/>
      <c r="AT33" s="27"/>
      <c r="AU33" s="27"/>
      <c r="AW33" s="27" t="str">
        <f>FlatbedScans!B32 &amp; ""</f>
        <v>8007140844</v>
      </c>
      <c r="AX33" s="27"/>
      <c r="AY33" s="27" t="str">
        <f>FlatbedScans!B32 &amp; ""</f>
        <v>8007140844</v>
      </c>
    </row>
    <row r="34" spans="1:51" x14ac:dyDescent="0.25">
      <c r="A34" s="5" t="s">
        <v>28</v>
      </c>
      <c r="B34" s="5"/>
      <c r="C34" s="5" t="s">
        <v>28</v>
      </c>
      <c r="F34" s="5"/>
      <c r="I34" s="5" t="s">
        <v>373</v>
      </c>
      <c r="K34" s="5" t="s">
        <v>373</v>
      </c>
      <c r="AJ34" s="27"/>
      <c r="AK34" s="27"/>
      <c r="AL34" s="27"/>
      <c r="AM34" s="27"/>
      <c r="AN34" s="27"/>
      <c r="AO34" s="27"/>
      <c r="AP34" s="27"/>
      <c r="AQ34" s="27"/>
      <c r="AR34" s="27"/>
      <c r="AS34" s="27"/>
      <c r="AT34" s="27"/>
      <c r="AU34" s="27"/>
      <c r="AW34" s="27" t="str">
        <f>FlatbedScans!B33 &amp; ""</f>
        <v>8007140856</v>
      </c>
      <c r="AX34" s="27"/>
      <c r="AY34" s="27" t="str">
        <f>FlatbedScans!B33 &amp; ""</f>
        <v>8007140856</v>
      </c>
    </row>
    <row r="35" spans="1:51" x14ac:dyDescent="0.25">
      <c r="A35" s="5" t="s">
        <v>39</v>
      </c>
      <c r="B35" s="5"/>
      <c r="C35" s="5" t="s">
        <v>28</v>
      </c>
      <c r="F35" s="5"/>
      <c r="I35" s="5" t="s">
        <v>374</v>
      </c>
      <c r="K35" s="5" t="s">
        <v>373</v>
      </c>
      <c r="AJ35" s="27"/>
      <c r="AK35" s="27"/>
      <c r="AL35" s="27"/>
      <c r="AM35" s="27"/>
      <c r="AN35" s="27"/>
      <c r="AO35" s="27"/>
      <c r="AP35" s="27"/>
      <c r="AQ35" s="27"/>
      <c r="AR35" s="27"/>
      <c r="AS35" s="27"/>
      <c r="AT35" s="27"/>
      <c r="AU35" s="27"/>
      <c r="AW35" s="27" t="str">
        <f>FlatbedScans!B34 &amp; ""</f>
        <v>8007140773</v>
      </c>
      <c r="AX35" s="27"/>
      <c r="AY35" s="27" t="str">
        <f>FlatbedScans!B34 &amp; ""</f>
        <v>8007140773</v>
      </c>
    </row>
    <row r="36" spans="1:51" x14ac:dyDescent="0.25">
      <c r="A36" s="5" t="s">
        <v>22</v>
      </c>
      <c r="B36" s="5"/>
      <c r="C36" s="5" t="s">
        <v>22</v>
      </c>
      <c r="F36" s="5"/>
      <c r="I36" s="5" t="s">
        <v>375</v>
      </c>
      <c r="K36" s="5" t="s">
        <v>376</v>
      </c>
      <c r="AJ36" s="27"/>
      <c r="AK36" s="27"/>
      <c r="AL36" s="27"/>
      <c r="AM36" s="27"/>
      <c r="AN36" s="27"/>
      <c r="AO36" s="27"/>
      <c r="AP36" s="27"/>
      <c r="AQ36" s="27"/>
      <c r="AR36" s="27"/>
      <c r="AS36" s="27"/>
      <c r="AT36" s="27"/>
      <c r="AU36" s="27"/>
      <c r="AW36" s="27" t="str">
        <f>FlatbedScans!B35 &amp; ""</f>
        <v>8007140785</v>
      </c>
      <c r="AX36" s="27"/>
      <c r="AY36" s="27" t="str">
        <f>FlatbedScans!B35 &amp; ""</f>
        <v>8007140785</v>
      </c>
    </row>
    <row r="37" spans="1:51" x14ac:dyDescent="0.25">
      <c r="A37" s="5" t="s">
        <v>33</v>
      </c>
      <c r="B37" s="5"/>
      <c r="C37" s="5" t="s">
        <v>22</v>
      </c>
      <c r="F37" s="5"/>
      <c r="I37" s="5" t="s">
        <v>376</v>
      </c>
      <c r="K37" s="5" t="s">
        <v>376</v>
      </c>
      <c r="AJ37" s="27"/>
      <c r="AK37" s="27"/>
      <c r="AL37" s="27"/>
      <c r="AM37" s="27"/>
      <c r="AN37" s="27"/>
      <c r="AO37" s="27"/>
      <c r="AP37" s="27"/>
      <c r="AQ37" s="27"/>
      <c r="AR37" s="27"/>
      <c r="AS37" s="27"/>
      <c r="AT37" s="27"/>
      <c r="AU37" s="27"/>
      <c r="AW37" s="27" t="str">
        <f>FlatbedScans!B36 &amp; ""</f>
        <v>8007140797</v>
      </c>
      <c r="AX37" s="27"/>
      <c r="AY37" s="27" t="str">
        <f>FlatbedScans!B36 &amp; ""</f>
        <v>8007140797</v>
      </c>
    </row>
    <row r="38" spans="1:51" x14ac:dyDescent="0.25">
      <c r="A38" s="5" t="s">
        <v>377</v>
      </c>
      <c r="B38" s="5"/>
      <c r="C38" s="5" t="s">
        <v>378</v>
      </c>
      <c r="F38" s="5"/>
      <c r="I38" s="5" t="s">
        <v>379</v>
      </c>
      <c r="K38" s="5" t="s">
        <v>379</v>
      </c>
      <c r="AJ38" s="27"/>
      <c r="AK38" s="27"/>
      <c r="AL38" s="27"/>
      <c r="AM38" s="27"/>
      <c r="AN38" s="27"/>
      <c r="AO38" s="27"/>
      <c r="AP38" s="27"/>
      <c r="AQ38" s="27"/>
      <c r="AR38" s="27"/>
      <c r="AS38" s="27"/>
      <c r="AT38" s="27"/>
      <c r="AU38" s="27"/>
      <c r="AW38" s="27" t="str">
        <f>FlatbedScans!B37 &amp; ""</f>
        <v>8007140809</v>
      </c>
      <c r="AX38" s="27"/>
      <c r="AY38" s="27" t="str">
        <f>FlatbedScans!B37 &amp; ""</f>
        <v>8007140809</v>
      </c>
    </row>
    <row r="39" spans="1:51" x14ac:dyDescent="0.25">
      <c r="A39" s="5" t="s">
        <v>380</v>
      </c>
      <c r="B39" s="5"/>
      <c r="C39" s="5" t="s">
        <v>381</v>
      </c>
      <c r="F39" s="5"/>
      <c r="I39" s="5" t="s">
        <v>382</v>
      </c>
      <c r="K39" s="5" t="s">
        <v>379</v>
      </c>
      <c r="AJ39" s="27"/>
      <c r="AK39" s="27"/>
      <c r="AL39" s="27"/>
      <c r="AM39" s="27"/>
      <c r="AN39" s="27"/>
      <c r="AO39" s="27"/>
      <c r="AP39" s="27"/>
      <c r="AQ39" s="27"/>
      <c r="AR39" s="27"/>
      <c r="AS39" s="27"/>
      <c r="AT39" s="27"/>
      <c r="AU39" s="27"/>
      <c r="AW39" s="27" t="str">
        <f>FlatbedScans!B38 &amp; ""</f>
        <v>8007140821</v>
      </c>
      <c r="AX39" s="27"/>
      <c r="AY39" s="27" t="str">
        <f>FlatbedScans!B38 &amp; ""</f>
        <v>8007140821</v>
      </c>
    </row>
    <row r="40" spans="1:51" x14ac:dyDescent="0.25">
      <c r="A40" s="34" t="s">
        <v>104</v>
      </c>
      <c r="B40" s="6"/>
      <c r="C40" s="5" t="s">
        <v>19</v>
      </c>
      <c r="F40" s="5"/>
      <c r="I40" s="5" t="s">
        <v>383</v>
      </c>
      <c r="K40" s="5" t="s">
        <v>383</v>
      </c>
      <c r="AJ40" s="27"/>
      <c r="AK40" s="27"/>
      <c r="AL40" s="27"/>
      <c r="AM40" s="27"/>
      <c r="AN40" s="27"/>
      <c r="AO40" s="27"/>
      <c r="AP40" s="27"/>
      <c r="AQ40" s="27"/>
      <c r="AR40" s="27"/>
      <c r="AS40" s="27"/>
      <c r="AT40" s="27"/>
      <c r="AU40" s="27"/>
      <c r="AW40" s="27" t="str">
        <f>FlatbedScans!B39 &amp; ""</f>
        <v>8007140833</v>
      </c>
      <c r="AX40" s="27"/>
      <c r="AY40" s="27" t="str">
        <f>FlatbedScans!B39 &amp; ""</f>
        <v>8007140833</v>
      </c>
    </row>
    <row r="41" spans="1:51" x14ac:dyDescent="0.25">
      <c r="A41" s="5" t="s">
        <v>20</v>
      </c>
      <c r="B41" s="5"/>
      <c r="C41" s="5" t="s">
        <v>20</v>
      </c>
      <c r="F41" s="5"/>
      <c r="I41" s="5" t="s">
        <v>384</v>
      </c>
      <c r="K41" s="5" t="s">
        <v>383</v>
      </c>
      <c r="AJ41" s="27"/>
      <c r="AK41" s="27"/>
      <c r="AL41" s="27"/>
      <c r="AM41" s="27"/>
      <c r="AN41" s="27"/>
      <c r="AO41" s="27"/>
      <c r="AP41" s="27"/>
      <c r="AQ41" s="27"/>
      <c r="AR41" s="27"/>
      <c r="AS41" s="27"/>
      <c r="AT41" s="27"/>
      <c r="AU41" s="27"/>
      <c r="AW41" s="27" t="str">
        <f>FlatbedScans!B40 &amp; ""</f>
        <v>8007140845</v>
      </c>
      <c r="AX41" s="27"/>
      <c r="AY41" s="27" t="str">
        <f>FlatbedScans!B40 &amp; ""</f>
        <v>8007140845</v>
      </c>
    </row>
    <row r="42" spans="1:51" x14ac:dyDescent="0.25">
      <c r="A42" s="5" t="s">
        <v>313</v>
      </c>
      <c r="B42" s="5"/>
      <c r="C42" s="5" t="s">
        <v>314</v>
      </c>
      <c r="F42" s="5"/>
      <c r="I42" s="5" t="s">
        <v>385</v>
      </c>
      <c r="K42" s="5" t="s">
        <v>385</v>
      </c>
      <c r="AJ42" s="27"/>
      <c r="AK42" s="27"/>
      <c r="AL42" s="27"/>
      <c r="AM42" s="27"/>
      <c r="AN42" s="27"/>
      <c r="AO42" s="27"/>
      <c r="AP42" s="27"/>
      <c r="AQ42" s="27"/>
      <c r="AR42" s="27"/>
      <c r="AS42" s="27"/>
      <c r="AT42" s="27"/>
      <c r="AU42" s="27"/>
      <c r="AW42" s="27" t="str">
        <f>FlatbedScans!B41 &amp; ""</f>
        <v>8007140857</v>
      </c>
      <c r="AX42" s="27"/>
      <c r="AY42" s="27" t="str">
        <f>FlatbedScans!B41 &amp; ""</f>
        <v>8007140857</v>
      </c>
    </row>
    <row r="43" spans="1:51" x14ac:dyDescent="0.25">
      <c r="A43" s="5" t="s">
        <v>316</v>
      </c>
      <c r="B43" s="5"/>
      <c r="C43" s="5" t="s">
        <v>21</v>
      </c>
      <c r="F43" s="5"/>
      <c r="I43" s="5" t="s">
        <v>386</v>
      </c>
      <c r="K43" s="5" t="s">
        <v>385</v>
      </c>
      <c r="AJ43" s="27"/>
      <c r="AK43" s="27"/>
      <c r="AL43" s="27"/>
      <c r="AM43" s="27"/>
      <c r="AN43" s="27"/>
      <c r="AO43" s="27"/>
      <c r="AP43" s="27"/>
      <c r="AQ43" s="27"/>
      <c r="AR43" s="27"/>
      <c r="AS43" s="27"/>
      <c r="AT43" s="27"/>
      <c r="AU43" s="27"/>
      <c r="AW43" s="27" t="str">
        <f>FlatbedScans!B42 &amp; ""</f>
        <v>8007140774</v>
      </c>
      <c r="AX43" s="27"/>
      <c r="AY43" s="27" t="str">
        <f>FlatbedScans!B42 &amp; ""</f>
        <v>8007140774</v>
      </c>
    </row>
    <row r="44" spans="1:51" x14ac:dyDescent="0.25">
      <c r="A44" s="5" t="s">
        <v>315</v>
      </c>
      <c r="B44" s="5"/>
      <c r="C44" s="5" t="s">
        <v>19</v>
      </c>
      <c r="F44" s="5"/>
      <c r="I44" s="5" t="s">
        <v>44</v>
      </c>
      <c r="K44" s="5" t="s">
        <v>44</v>
      </c>
      <c r="AJ44" s="27"/>
      <c r="AK44" s="27"/>
      <c r="AL44" s="27"/>
      <c r="AM44" s="27"/>
      <c r="AN44" s="27"/>
      <c r="AO44" s="27"/>
      <c r="AP44" s="27"/>
      <c r="AQ44" s="27"/>
      <c r="AR44" s="27"/>
      <c r="AS44" s="27"/>
      <c r="AT44" s="27"/>
      <c r="AU44" s="27"/>
      <c r="AW44" s="27" t="str">
        <f>FlatbedScans!B43 &amp; ""</f>
        <v>8007140786</v>
      </c>
      <c r="AX44" s="27"/>
      <c r="AY44" s="27" t="str">
        <f>FlatbedScans!B43 &amp; ""</f>
        <v>8007140786</v>
      </c>
    </row>
    <row r="45" spans="1:51" x14ac:dyDescent="0.25">
      <c r="A45" s="5" t="s">
        <v>123</v>
      </c>
      <c r="B45" s="5"/>
      <c r="C45" s="5" t="s">
        <v>123</v>
      </c>
      <c r="F45" s="5"/>
      <c r="I45" s="5" t="s">
        <v>372</v>
      </c>
      <c r="K45" s="5" t="s">
        <v>372</v>
      </c>
      <c r="AJ45" s="27"/>
      <c r="AK45" s="27"/>
      <c r="AL45" s="27"/>
      <c r="AM45" s="27"/>
      <c r="AN45" s="27"/>
      <c r="AO45" s="27"/>
      <c r="AP45" s="27"/>
      <c r="AQ45" s="27"/>
      <c r="AR45" s="27"/>
      <c r="AS45" s="27"/>
      <c r="AT45" s="27"/>
      <c r="AU45" s="27"/>
      <c r="AW45" s="27" t="str">
        <f>FlatbedScans!B44 &amp; ""</f>
        <v>8007140798</v>
      </c>
      <c r="AX45" s="27"/>
      <c r="AY45" s="27" t="str">
        <f>FlatbedScans!B44 &amp; ""</f>
        <v>8007140798</v>
      </c>
    </row>
    <row r="46" spans="1:51" x14ac:dyDescent="0.25">
      <c r="A46" s="5" t="s">
        <v>74</v>
      </c>
      <c r="B46" s="5"/>
      <c r="C46" s="5" t="s">
        <v>123</v>
      </c>
      <c r="F46" s="5"/>
      <c r="I46" s="5" t="s">
        <v>415</v>
      </c>
      <c r="J46" s="5">
        <v>1</v>
      </c>
      <c r="K46" s="5" t="s">
        <v>415</v>
      </c>
      <c r="AJ46" s="27"/>
      <c r="AK46" s="27"/>
      <c r="AL46" s="27"/>
      <c r="AM46" s="27"/>
      <c r="AN46" s="27"/>
      <c r="AO46" s="27"/>
      <c r="AP46" s="27"/>
      <c r="AQ46" s="27"/>
      <c r="AR46" s="27"/>
      <c r="AS46" s="27"/>
      <c r="AT46" s="27"/>
      <c r="AU46" s="27"/>
      <c r="AW46" s="27" t="str">
        <f>FlatbedScans!B45 &amp; ""</f>
        <v>8007140810</v>
      </c>
      <c r="AX46" s="27"/>
      <c r="AY46" s="27" t="str">
        <f>FlatbedScans!B45 &amp; ""</f>
        <v>8007140810</v>
      </c>
    </row>
    <row r="47" spans="1:51" x14ac:dyDescent="0.25">
      <c r="A47" s="5" t="s">
        <v>19</v>
      </c>
      <c r="B47" s="5"/>
      <c r="C47" s="5" t="s">
        <v>19</v>
      </c>
      <c r="F47" s="5"/>
      <c r="I47" s="5" t="s">
        <v>75</v>
      </c>
      <c r="K47" s="5" t="s">
        <v>44</v>
      </c>
      <c r="AJ47" s="27"/>
      <c r="AK47" s="27"/>
      <c r="AL47" s="27"/>
      <c r="AM47" s="27"/>
      <c r="AN47" s="27"/>
      <c r="AO47" s="27"/>
      <c r="AP47" s="27"/>
      <c r="AQ47" s="27"/>
      <c r="AR47" s="27"/>
      <c r="AS47" s="27"/>
      <c r="AT47" s="27"/>
      <c r="AU47" s="27"/>
      <c r="AW47" s="27" t="str">
        <f>FlatbedScans!B46 &amp; ""</f>
        <v>8007140822</v>
      </c>
      <c r="AX47" s="27"/>
      <c r="AY47" s="27" t="str">
        <f>FlatbedScans!B46 &amp; ""</f>
        <v>8007140822</v>
      </c>
    </row>
    <row r="48" spans="1:51" x14ac:dyDescent="0.25">
      <c r="A48" s="5" t="s">
        <v>30</v>
      </c>
      <c r="B48" s="5"/>
      <c r="C48" s="5" t="s">
        <v>19</v>
      </c>
      <c r="F48" s="5"/>
      <c r="I48" s="5" t="s">
        <v>416</v>
      </c>
      <c r="K48" s="5" t="s">
        <v>415</v>
      </c>
      <c r="AJ48" s="27"/>
      <c r="AK48" s="27"/>
      <c r="AL48" s="27"/>
      <c r="AM48" s="27"/>
      <c r="AN48" s="27"/>
      <c r="AO48" s="27"/>
      <c r="AP48" s="27"/>
      <c r="AQ48" s="27"/>
      <c r="AR48" s="27"/>
      <c r="AS48" s="27"/>
      <c r="AT48" s="27"/>
      <c r="AU48" s="27"/>
      <c r="AW48" s="27" t="str">
        <f>FlatbedScans!B47 &amp; ""</f>
        <v>8007140834</v>
      </c>
      <c r="AX48" s="27"/>
      <c r="AY48" s="27" t="str">
        <f>FlatbedScans!B47 &amp; ""</f>
        <v>8007140834</v>
      </c>
    </row>
    <row r="49" spans="1:51" x14ac:dyDescent="0.25">
      <c r="A49" s="5" t="s">
        <v>311</v>
      </c>
      <c r="B49" s="5"/>
      <c r="C49" s="5" t="s">
        <v>21</v>
      </c>
      <c r="F49" s="5"/>
      <c r="I49" s="5" t="s">
        <v>309</v>
      </c>
      <c r="K49" s="5" t="s">
        <v>44</v>
      </c>
      <c r="AJ49" s="27"/>
      <c r="AK49" s="27"/>
      <c r="AL49" s="27"/>
      <c r="AM49" s="27"/>
      <c r="AN49" s="27"/>
      <c r="AO49" s="27"/>
      <c r="AP49" s="27"/>
      <c r="AQ49" s="27"/>
      <c r="AR49" s="27"/>
      <c r="AS49" s="27"/>
      <c r="AT49" s="27"/>
      <c r="AU49" s="27"/>
      <c r="AW49" s="27" t="str">
        <f>FlatbedScans!B48 &amp; ""</f>
        <v>8007140846</v>
      </c>
      <c r="AX49" s="27"/>
      <c r="AY49" s="27" t="str">
        <f>FlatbedScans!B48 &amp; ""</f>
        <v>8007140846</v>
      </c>
    </row>
    <row r="50" spans="1:51" x14ac:dyDescent="0.25">
      <c r="A50" s="5" t="s">
        <v>312</v>
      </c>
      <c r="B50" s="5"/>
      <c r="C50" s="5" t="s">
        <v>19</v>
      </c>
      <c r="F50" s="5"/>
      <c r="I50" s="5" t="s">
        <v>55</v>
      </c>
      <c r="K50" s="5" t="s">
        <v>55</v>
      </c>
      <c r="AJ50" s="27"/>
      <c r="AK50" s="27"/>
      <c r="AL50" s="27"/>
      <c r="AM50" s="27"/>
      <c r="AN50" s="27"/>
      <c r="AO50" s="27"/>
      <c r="AP50" s="27"/>
      <c r="AQ50" s="27"/>
      <c r="AR50" s="27"/>
      <c r="AS50" s="27"/>
      <c r="AT50" s="27"/>
      <c r="AU50" s="27"/>
      <c r="AW50" s="27" t="str">
        <f>FlatbedScans!B49 &amp; ""</f>
        <v>8007140858</v>
      </c>
      <c r="AX50" s="27"/>
      <c r="AY50" s="27" t="str">
        <f>FlatbedScans!B49 &amp; ""</f>
        <v>8007140858</v>
      </c>
    </row>
    <row r="51" spans="1:51" x14ac:dyDescent="0.25">
      <c r="A51" s="5" t="s">
        <v>105</v>
      </c>
      <c r="B51" s="5"/>
      <c r="C51" s="5" t="s">
        <v>19</v>
      </c>
      <c r="F51" s="5"/>
      <c r="I51" s="5" t="s">
        <v>74</v>
      </c>
      <c r="K51" s="5" t="s">
        <v>55</v>
      </c>
      <c r="AJ51" s="27"/>
      <c r="AK51" s="27"/>
      <c r="AL51" s="27"/>
      <c r="AM51" s="27"/>
      <c r="AN51" s="27"/>
      <c r="AO51" s="27"/>
      <c r="AP51" s="27"/>
      <c r="AQ51" s="27"/>
      <c r="AR51" s="27"/>
      <c r="AS51" s="27"/>
      <c r="AT51" s="27"/>
      <c r="AU51" s="27"/>
      <c r="AW51" s="27" t="str">
        <f>FlatbedScans!B50 &amp; ""</f>
        <v>8007140775</v>
      </c>
      <c r="AX51" s="27"/>
      <c r="AY51" s="27" t="str">
        <f>FlatbedScans!B50 &amp; ""</f>
        <v>8007140775</v>
      </c>
    </row>
    <row r="52" spans="1:51" x14ac:dyDescent="0.25">
      <c r="A52" s="5" t="s">
        <v>43</v>
      </c>
      <c r="B52" s="5"/>
      <c r="C52" s="5" t="s">
        <v>27</v>
      </c>
      <c r="F52" s="5"/>
      <c r="I52" s="5" t="s">
        <v>387</v>
      </c>
      <c r="K52" s="5" t="s">
        <v>387</v>
      </c>
      <c r="AJ52" s="27"/>
      <c r="AK52" s="27"/>
      <c r="AL52" s="27"/>
      <c r="AM52" s="27"/>
      <c r="AN52" s="27"/>
      <c r="AO52" s="27"/>
      <c r="AP52" s="27"/>
      <c r="AQ52" s="27"/>
      <c r="AR52" s="27"/>
      <c r="AS52" s="27"/>
      <c r="AT52" s="27"/>
      <c r="AU52" s="27"/>
      <c r="AW52" s="27" t="str">
        <f>FlatbedScans!B51 &amp; ""</f>
        <v>8007140787</v>
      </c>
      <c r="AX52" s="27"/>
      <c r="AY52" s="27" t="str">
        <f>FlatbedScans!B51 &amp; ""</f>
        <v>8007140787</v>
      </c>
    </row>
    <row r="53" spans="1:51" x14ac:dyDescent="0.25">
      <c r="A53" s="5" t="s">
        <v>42</v>
      </c>
      <c r="B53" s="5"/>
      <c r="C53" s="5" t="s">
        <v>21</v>
      </c>
      <c r="F53" s="5"/>
      <c r="I53" s="5" t="s">
        <v>388</v>
      </c>
      <c r="K53" s="5" t="s">
        <v>387</v>
      </c>
      <c r="AJ53" s="27"/>
      <c r="AK53" s="27"/>
      <c r="AL53" s="27"/>
      <c r="AM53" s="27"/>
      <c r="AN53" s="27"/>
      <c r="AO53" s="27"/>
      <c r="AP53" s="27"/>
      <c r="AQ53" s="27"/>
      <c r="AR53" s="27"/>
      <c r="AS53" s="27"/>
      <c r="AT53" s="27"/>
      <c r="AU53" s="27"/>
      <c r="AW53" s="27" t="str">
        <f>FlatbedScans!B52 &amp; ""</f>
        <v>8007140799</v>
      </c>
      <c r="AX53" s="27"/>
      <c r="AY53" s="27" t="str">
        <f>FlatbedScans!B52 &amp; ""</f>
        <v>8007140799</v>
      </c>
    </row>
    <row r="54" spans="1:51" x14ac:dyDescent="0.25">
      <c r="A54" s="5" t="s">
        <v>41</v>
      </c>
      <c r="B54" s="5"/>
      <c r="C54" s="5" t="s">
        <v>19</v>
      </c>
      <c r="F54" s="5"/>
      <c r="I54" s="5" t="s">
        <v>389</v>
      </c>
      <c r="K54" s="5" t="s">
        <v>389</v>
      </c>
      <c r="AJ54" s="27"/>
      <c r="AK54" s="27"/>
      <c r="AL54" s="27"/>
      <c r="AM54" s="27"/>
      <c r="AN54" s="27"/>
      <c r="AO54" s="27"/>
      <c r="AP54" s="27"/>
      <c r="AQ54" s="27"/>
      <c r="AR54" s="27"/>
      <c r="AS54" s="27"/>
      <c r="AT54" s="27"/>
      <c r="AU54" s="27"/>
      <c r="AW54" s="27" t="str">
        <f>FlatbedScans!B53 &amp; ""</f>
        <v>8007140811</v>
      </c>
      <c r="AX54" s="27"/>
      <c r="AY54" s="27" t="str">
        <f>FlatbedScans!B53 &amp; ""</f>
        <v>8007140811</v>
      </c>
    </row>
    <row r="55" spans="1:51" x14ac:dyDescent="0.25">
      <c r="B55" s="5"/>
      <c r="F55" s="5"/>
      <c r="I55" s="5" t="s">
        <v>53</v>
      </c>
      <c r="K55" s="5" t="s">
        <v>53</v>
      </c>
      <c r="AJ55" s="27"/>
      <c r="AK55" s="27"/>
      <c r="AL55" s="27"/>
      <c r="AM55" s="27"/>
      <c r="AN55" s="27"/>
      <c r="AO55" s="27"/>
      <c r="AP55" s="27"/>
      <c r="AQ55" s="27"/>
      <c r="AR55" s="27"/>
      <c r="AS55" s="27"/>
      <c r="AT55" s="27"/>
      <c r="AU55" s="27"/>
      <c r="AW55" s="27" t="str">
        <f>FlatbedScans!B54 &amp; ""</f>
        <v>8007140823</v>
      </c>
      <c r="AX55" s="27"/>
      <c r="AY55" s="27" t="str">
        <f>FlatbedScans!B54 &amp; ""</f>
        <v>8007140823</v>
      </c>
    </row>
    <row r="56" spans="1:51" x14ac:dyDescent="0.25">
      <c r="B56" s="5"/>
      <c r="F56" s="5"/>
      <c r="I56" s="5" t="s">
        <v>84</v>
      </c>
      <c r="K56" s="5" t="s">
        <v>53</v>
      </c>
      <c r="AJ56" s="27"/>
      <c r="AK56" s="27"/>
      <c r="AL56" s="27"/>
      <c r="AM56" s="27"/>
      <c r="AN56" s="27"/>
      <c r="AO56" s="27"/>
      <c r="AP56" s="27"/>
      <c r="AQ56" s="27"/>
      <c r="AR56" s="27"/>
      <c r="AS56" s="27"/>
      <c r="AT56" s="27"/>
      <c r="AU56" s="27"/>
      <c r="AW56" s="27" t="str">
        <f>FlatbedScans!B55 &amp; ""</f>
        <v>8007140835</v>
      </c>
      <c r="AX56" s="27"/>
      <c r="AY56" s="27" t="str">
        <f>FlatbedScans!B55 &amp; ""</f>
        <v>8007140835</v>
      </c>
    </row>
    <row r="57" spans="1:51" x14ac:dyDescent="0.25">
      <c r="B57" s="5"/>
      <c r="F57" s="5"/>
      <c r="I57" s="5" t="s">
        <v>307</v>
      </c>
      <c r="K57" s="5" t="s">
        <v>53</v>
      </c>
      <c r="AJ57" s="27"/>
      <c r="AK57" s="27"/>
      <c r="AL57" s="27"/>
      <c r="AM57" s="27"/>
      <c r="AN57" s="27"/>
      <c r="AO57" s="27"/>
      <c r="AP57" s="27"/>
      <c r="AQ57" s="27"/>
      <c r="AR57" s="27"/>
      <c r="AS57" s="27"/>
      <c r="AT57" s="27"/>
      <c r="AU57" s="27"/>
      <c r="AW57" s="27" t="str">
        <f>FlatbedScans!B56 &amp; ""</f>
        <v>8007140847</v>
      </c>
      <c r="AX57" s="27"/>
      <c r="AY57" s="27" t="str">
        <f>FlatbedScans!B56 &amp; ""</f>
        <v>8007140847</v>
      </c>
    </row>
    <row r="58" spans="1:51" x14ac:dyDescent="0.25">
      <c r="B58" s="5"/>
      <c r="F58" s="5"/>
      <c r="I58" s="5" t="s">
        <v>305</v>
      </c>
      <c r="K58" s="5" t="s">
        <v>346</v>
      </c>
      <c r="AJ58" s="27"/>
      <c r="AK58" s="27"/>
      <c r="AL58" s="27"/>
      <c r="AM58" s="27"/>
      <c r="AN58" s="27"/>
      <c r="AO58" s="27"/>
      <c r="AP58" s="27"/>
      <c r="AQ58" s="27"/>
      <c r="AR58" s="27"/>
      <c r="AS58" s="27"/>
      <c r="AT58" s="27"/>
      <c r="AU58" s="27"/>
      <c r="AW58" s="27" t="str">
        <f>FlatbedScans!B57 &amp; ""</f>
        <v>8007140859</v>
      </c>
      <c r="AX58" s="27"/>
      <c r="AY58" s="27" t="str">
        <f>FlatbedScans!B57 &amp; ""</f>
        <v>8007140859</v>
      </c>
    </row>
    <row r="59" spans="1:51" x14ac:dyDescent="0.25">
      <c r="B59" s="5"/>
      <c r="F59" s="5"/>
      <c r="I59" s="5" t="s">
        <v>390</v>
      </c>
      <c r="K59" s="5" t="s">
        <v>389</v>
      </c>
      <c r="AJ59" s="27"/>
      <c r="AK59" s="27"/>
      <c r="AL59" s="27"/>
      <c r="AM59" s="27"/>
      <c r="AN59" s="27"/>
      <c r="AO59" s="27"/>
      <c r="AP59" s="27"/>
      <c r="AQ59" s="27"/>
      <c r="AR59" s="27"/>
      <c r="AS59" s="27"/>
      <c r="AT59" s="27"/>
      <c r="AU59" s="27"/>
      <c r="AW59" s="27" t="str">
        <f>FlatbedScans!B58 &amp; ""</f>
        <v>8007140776</v>
      </c>
      <c r="AX59" s="27"/>
      <c r="AY59" s="27" t="str">
        <f>FlatbedScans!B58 &amp; ""</f>
        <v>8007140776</v>
      </c>
    </row>
    <row r="60" spans="1:51" x14ac:dyDescent="0.25">
      <c r="B60" s="5"/>
      <c r="F60" s="5"/>
      <c r="I60" s="5" t="s">
        <v>391</v>
      </c>
      <c r="K60" s="5" t="s">
        <v>391</v>
      </c>
      <c r="AJ60" s="27"/>
      <c r="AK60" s="27"/>
      <c r="AL60" s="27"/>
      <c r="AM60" s="27"/>
      <c r="AN60" s="27"/>
      <c r="AO60" s="27"/>
      <c r="AP60" s="27"/>
      <c r="AQ60" s="27"/>
      <c r="AR60" s="27"/>
      <c r="AS60" s="27"/>
      <c r="AT60" s="27"/>
      <c r="AU60" s="27"/>
      <c r="AW60" s="27" t="str">
        <f>FlatbedScans!B59 &amp; ""</f>
        <v>8007140788</v>
      </c>
      <c r="AX60" s="27"/>
      <c r="AY60" s="27" t="str">
        <f>FlatbedScans!B59 &amp; ""</f>
        <v>8007140788</v>
      </c>
    </row>
    <row r="61" spans="1:51" x14ac:dyDescent="0.25">
      <c r="B61" s="5"/>
      <c r="F61" s="5"/>
      <c r="I61" s="5" t="s">
        <v>392</v>
      </c>
      <c r="K61" s="5" t="s">
        <v>391</v>
      </c>
      <c r="AJ61" s="27"/>
      <c r="AK61" s="27"/>
      <c r="AL61" s="27"/>
      <c r="AM61" s="27"/>
      <c r="AN61" s="27"/>
      <c r="AO61" s="27"/>
      <c r="AP61" s="27"/>
      <c r="AQ61" s="27"/>
      <c r="AR61" s="27"/>
      <c r="AS61" s="27"/>
      <c r="AT61" s="27"/>
      <c r="AU61" s="27"/>
      <c r="AW61" s="27" t="str">
        <f>FlatbedScans!B60 &amp; ""</f>
        <v>8007140800</v>
      </c>
      <c r="AX61" s="27"/>
      <c r="AY61" s="27" t="str">
        <f>FlatbedScans!B60 &amp; ""</f>
        <v>8007140800</v>
      </c>
    </row>
    <row r="62" spans="1:51" x14ac:dyDescent="0.25">
      <c r="B62" s="5"/>
      <c r="F62" s="5"/>
      <c r="I62" s="5" t="s">
        <v>393</v>
      </c>
      <c r="K62" s="5" t="s">
        <v>393</v>
      </c>
      <c r="AJ62" s="27"/>
      <c r="AK62" s="27"/>
      <c r="AL62" s="27"/>
      <c r="AM62" s="27"/>
      <c r="AN62" s="27"/>
      <c r="AO62" s="27"/>
      <c r="AP62" s="27"/>
      <c r="AQ62" s="27"/>
      <c r="AR62" s="27"/>
      <c r="AS62" s="27"/>
      <c r="AT62" s="27"/>
      <c r="AU62" s="27"/>
      <c r="AW62" s="27" t="str">
        <f>FlatbedScans!B61 &amp; ""</f>
        <v>8007140812</v>
      </c>
      <c r="AX62" s="27"/>
      <c r="AY62" s="27" t="str">
        <f>FlatbedScans!B61 &amp; ""</f>
        <v>8007140812</v>
      </c>
    </row>
    <row r="63" spans="1:51" x14ac:dyDescent="0.25">
      <c r="B63" s="5"/>
      <c r="F63" s="5"/>
      <c r="I63" s="5" t="s">
        <v>394</v>
      </c>
      <c r="K63" s="5" t="s">
        <v>393</v>
      </c>
      <c r="AJ63" s="27"/>
      <c r="AK63" s="27"/>
      <c r="AL63" s="27"/>
      <c r="AM63" s="27"/>
      <c r="AN63" s="27"/>
      <c r="AO63" s="27"/>
      <c r="AP63" s="27"/>
      <c r="AQ63" s="27"/>
      <c r="AR63" s="27"/>
      <c r="AS63" s="27"/>
      <c r="AT63" s="27"/>
      <c r="AU63" s="27"/>
      <c r="AW63" s="27" t="str">
        <f>FlatbedScans!B62 &amp; ""</f>
        <v>8007140824</v>
      </c>
      <c r="AX63" s="27"/>
      <c r="AY63" s="27" t="str">
        <f>FlatbedScans!B62 &amp; ""</f>
        <v>8007140824</v>
      </c>
    </row>
    <row r="64" spans="1:51" x14ac:dyDescent="0.25">
      <c r="B64" s="5"/>
      <c r="F64" s="5"/>
      <c r="I64" s="5" t="s">
        <v>46</v>
      </c>
      <c r="K64" s="5" t="s">
        <v>46</v>
      </c>
      <c r="AJ64" s="27"/>
      <c r="AK64" s="27"/>
      <c r="AL64" s="27"/>
      <c r="AM64" s="27"/>
      <c r="AN64" s="27"/>
      <c r="AO64" s="27"/>
      <c r="AP64" s="27"/>
      <c r="AQ64" s="27"/>
      <c r="AR64" s="27"/>
      <c r="AS64" s="27"/>
      <c r="AT64" s="27"/>
      <c r="AU64" s="27"/>
      <c r="AW64" s="27" t="str">
        <f>FlatbedScans!B63 &amp; ""</f>
        <v>8007140836</v>
      </c>
      <c r="AX64" s="27"/>
      <c r="AY64" s="27" t="str">
        <f>FlatbedScans!B63 &amp; ""</f>
        <v>8007140836</v>
      </c>
    </row>
    <row r="65" spans="2:51" x14ac:dyDescent="0.25">
      <c r="B65" s="5"/>
      <c r="F65" s="5"/>
      <c r="I65" s="5" t="s">
        <v>77</v>
      </c>
      <c r="K65" s="5" t="s">
        <v>46</v>
      </c>
      <c r="AJ65" s="27"/>
      <c r="AK65" s="27"/>
      <c r="AL65" s="27"/>
      <c r="AM65" s="27"/>
      <c r="AN65" s="27"/>
      <c r="AO65" s="27"/>
      <c r="AP65" s="27"/>
      <c r="AQ65" s="27"/>
      <c r="AR65" s="27"/>
      <c r="AS65" s="27"/>
      <c r="AT65" s="27"/>
      <c r="AU65" s="27"/>
      <c r="AW65" s="27" t="str">
        <f>FlatbedScans!B64 &amp; ""</f>
        <v>8007140848</v>
      </c>
      <c r="AX65" s="27"/>
      <c r="AY65" s="27" t="str">
        <f>FlatbedScans!B64 &amp; ""</f>
        <v>8007140848</v>
      </c>
    </row>
    <row r="66" spans="2:51" x14ac:dyDescent="0.25">
      <c r="B66" s="5"/>
      <c r="F66" s="5"/>
      <c r="I66" s="5" t="s">
        <v>395</v>
      </c>
      <c r="K66" s="5" t="s">
        <v>395</v>
      </c>
      <c r="AJ66" s="27"/>
      <c r="AK66" s="27"/>
      <c r="AL66" s="27"/>
      <c r="AM66" s="27"/>
      <c r="AN66" s="27"/>
      <c r="AO66" s="27"/>
      <c r="AP66" s="27"/>
      <c r="AQ66" s="27"/>
      <c r="AR66" s="27"/>
      <c r="AS66" s="27"/>
      <c r="AT66" s="27"/>
      <c r="AU66" s="27"/>
      <c r="AW66" s="27" t="str">
        <f>FlatbedScans!B65 &amp; ""</f>
        <v>8007140860</v>
      </c>
      <c r="AX66" s="27"/>
      <c r="AY66" s="27" t="str">
        <f>FlatbedScans!B65 &amp; ""</f>
        <v>8007140860</v>
      </c>
    </row>
    <row r="67" spans="2:51" x14ac:dyDescent="0.25">
      <c r="B67" s="5"/>
      <c r="F67" s="5"/>
      <c r="I67" s="5" t="s">
        <v>396</v>
      </c>
      <c r="K67" s="5" t="s">
        <v>395</v>
      </c>
      <c r="AJ67" s="27"/>
      <c r="AK67" s="27"/>
      <c r="AL67" s="27"/>
      <c r="AM67" s="27"/>
      <c r="AN67" s="27"/>
      <c r="AO67" s="27"/>
      <c r="AP67" s="27"/>
      <c r="AQ67" s="27"/>
      <c r="AR67" s="27"/>
      <c r="AS67" s="27"/>
      <c r="AT67" s="27"/>
      <c r="AU67" s="27"/>
      <c r="AW67" s="27" t="str">
        <f>FlatbedScans!B66 &amp; ""</f>
        <v>8007140777</v>
      </c>
      <c r="AX67" s="27"/>
      <c r="AY67" s="27" t="str">
        <f>FlatbedScans!B66 &amp; ""</f>
        <v>8007140777</v>
      </c>
    </row>
    <row r="68" spans="2:51" x14ac:dyDescent="0.25">
      <c r="B68" s="5"/>
      <c r="F68" s="5"/>
      <c r="I68" s="5" t="s">
        <v>47</v>
      </c>
      <c r="K68" s="5" t="s">
        <v>47</v>
      </c>
      <c r="AJ68" s="27"/>
      <c r="AK68" s="27"/>
      <c r="AL68" s="27"/>
      <c r="AM68" s="27"/>
      <c r="AN68" s="27"/>
      <c r="AO68" s="27"/>
      <c r="AP68" s="27"/>
      <c r="AQ68" s="27"/>
      <c r="AR68" s="27"/>
      <c r="AS68" s="27"/>
      <c r="AT68" s="27"/>
      <c r="AU68" s="27"/>
      <c r="AW68" s="27" t="str">
        <f>FlatbedScans!B67 &amp; ""</f>
        <v>8007140789</v>
      </c>
      <c r="AX68" s="27"/>
      <c r="AY68" s="27" t="str">
        <f>FlatbedScans!B67 &amp; ""</f>
        <v>8007140789</v>
      </c>
    </row>
    <row r="69" spans="2:51" x14ac:dyDescent="0.25">
      <c r="B69" s="5"/>
      <c r="F69" s="5"/>
      <c r="I69" s="5" t="s">
        <v>78</v>
      </c>
      <c r="K69" s="5" t="s">
        <v>47</v>
      </c>
      <c r="AJ69" s="27"/>
      <c r="AK69" s="27"/>
      <c r="AL69" s="27"/>
      <c r="AM69" s="27"/>
      <c r="AN69" s="27"/>
      <c r="AO69" s="27"/>
      <c r="AP69" s="27"/>
      <c r="AQ69" s="27"/>
      <c r="AR69" s="27"/>
      <c r="AS69" s="27"/>
      <c r="AT69" s="27"/>
      <c r="AU69" s="27"/>
      <c r="AW69" s="27" t="str">
        <f>FlatbedScans!B68 &amp; ""</f>
        <v>8007140801</v>
      </c>
      <c r="AX69" s="27"/>
      <c r="AY69" s="27" t="str">
        <f>FlatbedScans!B68 &amp; ""</f>
        <v>8007140801</v>
      </c>
    </row>
    <row r="70" spans="2:51" x14ac:dyDescent="0.25">
      <c r="B70" s="5"/>
      <c r="F70" s="5"/>
      <c r="I70" s="5" t="s">
        <v>397</v>
      </c>
      <c r="K70" s="5" t="s">
        <v>398</v>
      </c>
      <c r="AJ70" s="27"/>
      <c r="AK70" s="27"/>
      <c r="AL70" s="27"/>
      <c r="AM70" s="27"/>
      <c r="AN70" s="27"/>
      <c r="AO70" s="27"/>
      <c r="AP70" s="27"/>
      <c r="AQ70" s="27"/>
      <c r="AR70" s="27"/>
      <c r="AS70" s="27"/>
      <c r="AT70" s="27"/>
      <c r="AU70" s="27"/>
      <c r="AW70" s="27" t="str">
        <f>FlatbedScans!B69 &amp; ""</f>
        <v>8007140813</v>
      </c>
      <c r="AX70" s="27"/>
      <c r="AY70" s="27" t="str">
        <f>FlatbedScans!B69 &amp; ""</f>
        <v>8007140813</v>
      </c>
    </row>
    <row r="71" spans="2:51" x14ac:dyDescent="0.25">
      <c r="B71" s="5"/>
      <c r="F71" s="5"/>
      <c r="I71" s="5" t="s">
        <v>398</v>
      </c>
      <c r="K71" s="5" t="s">
        <v>398</v>
      </c>
      <c r="AJ71" s="27"/>
      <c r="AK71" s="27"/>
      <c r="AL71" s="27"/>
      <c r="AM71" s="27"/>
      <c r="AN71" s="27"/>
      <c r="AO71" s="27"/>
      <c r="AP71" s="27"/>
      <c r="AQ71" s="27"/>
      <c r="AR71" s="27"/>
      <c r="AS71" s="27"/>
      <c r="AT71" s="27"/>
      <c r="AU71" s="27"/>
      <c r="AW71" s="27" t="str">
        <f>FlatbedScans!B70 &amp; ""</f>
        <v>8007140825</v>
      </c>
      <c r="AX71" s="27"/>
      <c r="AY71" s="27" t="str">
        <f>FlatbedScans!B70 &amp; ""</f>
        <v>8007140825</v>
      </c>
    </row>
    <row r="72" spans="2:51" x14ac:dyDescent="0.25">
      <c r="B72" s="5"/>
      <c r="F72" s="5"/>
      <c r="I72" s="5" t="s">
        <v>399</v>
      </c>
      <c r="K72" s="5" t="s">
        <v>48</v>
      </c>
      <c r="AJ72" s="27"/>
      <c r="AK72" s="27"/>
      <c r="AL72" s="27"/>
      <c r="AM72" s="27"/>
      <c r="AN72" s="27"/>
      <c r="AO72" s="27"/>
      <c r="AP72" s="27"/>
      <c r="AQ72" s="27"/>
      <c r="AR72" s="27"/>
      <c r="AS72" s="27"/>
      <c r="AT72" s="27"/>
      <c r="AU72" s="27"/>
      <c r="AW72" s="27" t="str">
        <f>FlatbedScans!B71 &amp; ""</f>
        <v>8007140837</v>
      </c>
      <c r="AX72" s="27"/>
      <c r="AY72" s="27" t="str">
        <f>FlatbedScans!B71 &amp; ""</f>
        <v>8007140837</v>
      </c>
    </row>
    <row r="73" spans="2:51" x14ac:dyDescent="0.25">
      <c r="B73" s="5"/>
      <c r="F73" s="5"/>
      <c r="I73" s="5" t="s">
        <v>400</v>
      </c>
      <c r="K73" s="5" t="s">
        <v>353</v>
      </c>
      <c r="AJ73" s="27"/>
      <c r="AK73" s="27"/>
      <c r="AL73" s="27"/>
      <c r="AM73" s="27"/>
      <c r="AN73" s="27"/>
      <c r="AO73" s="27"/>
      <c r="AP73" s="27"/>
      <c r="AQ73" s="27"/>
      <c r="AR73" s="27"/>
      <c r="AS73" s="27"/>
      <c r="AT73" s="27"/>
      <c r="AU73" s="27"/>
      <c r="AW73" s="27" t="str">
        <f>FlatbedScans!B72 &amp; ""</f>
        <v>8007140849</v>
      </c>
      <c r="AX73" s="27"/>
      <c r="AY73" s="27" t="str">
        <f>FlatbedScans!B72 &amp; ""</f>
        <v>8007140849</v>
      </c>
    </row>
    <row r="74" spans="2:51" x14ac:dyDescent="0.25">
      <c r="B74" s="5"/>
      <c r="F74" s="5"/>
      <c r="I74" s="5" t="s">
        <v>401</v>
      </c>
      <c r="K74" s="5" t="s">
        <v>331</v>
      </c>
      <c r="AJ74" s="27"/>
      <c r="AK74" s="27"/>
      <c r="AL74" s="27"/>
      <c r="AM74" s="27"/>
      <c r="AN74" s="27"/>
      <c r="AO74" s="27"/>
      <c r="AP74" s="27"/>
      <c r="AQ74" s="27"/>
      <c r="AR74" s="27"/>
      <c r="AS74" s="27"/>
      <c r="AT74" s="27"/>
      <c r="AU74" s="27"/>
      <c r="AW74" s="27" t="str">
        <f>FlatbedScans!B73 &amp; ""</f>
        <v>8007140861</v>
      </c>
      <c r="AX74" s="27"/>
      <c r="AY74" s="27" t="str">
        <f>FlatbedScans!B73 &amp; ""</f>
        <v>8007140861</v>
      </c>
    </row>
    <row r="75" spans="2:51" x14ac:dyDescent="0.25">
      <c r="B75" s="5"/>
      <c r="F75" s="5"/>
      <c r="I75" s="5" t="s">
        <v>306</v>
      </c>
      <c r="K75" s="5" t="s">
        <v>48</v>
      </c>
      <c r="AJ75" s="27"/>
      <c r="AK75" s="27"/>
      <c r="AL75" s="27"/>
      <c r="AM75" s="27"/>
      <c r="AN75" s="27"/>
      <c r="AO75" s="27"/>
      <c r="AP75" s="27"/>
      <c r="AQ75" s="27"/>
      <c r="AR75" s="27"/>
      <c r="AS75" s="27"/>
      <c r="AT75" s="27"/>
      <c r="AU75" s="27"/>
      <c r="AW75" s="27" t="str">
        <f>FlatbedScans!B74 &amp; ""</f>
        <v>8007140778</v>
      </c>
      <c r="AX75" s="27"/>
      <c r="AY75" s="27" t="str">
        <f>FlatbedScans!B74 &amp; ""</f>
        <v>8007140778</v>
      </c>
    </row>
    <row r="76" spans="2:51" x14ac:dyDescent="0.25">
      <c r="B76" s="5"/>
      <c r="F76" s="5"/>
      <c r="AJ76" s="27"/>
      <c r="AK76" s="27"/>
      <c r="AL76" s="27"/>
      <c r="AM76" s="27"/>
      <c r="AN76" s="27"/>
      <c r="AO76" s="27"/>
      <c r="AP76" s="27"/>
      <c r="AQ76" s="27"/>
      <c r="AR76" s="27"/>
      <c r="AS76" s="27"/>
      <c r="AT76" s="27"/>
      <c r="AU76" s="27"/>
      <c r="AW76" s="27" t="str">
        <f>FlatbedScans!B75 &amp; ""</f>
        <v>8007140790</v>
      </c>
      <c r="AX76" s="27"/>
      <c r="AY76" s="27" t="str">
        <f>FlatbedScans!B75 &amp; ""</f>
        <v>8007140790</v>
      </c>
    </row>
    <row r="77" spans="2:51" x14ac:dyDescent="0.25">
      <c r="B77" s="5"/>
      <c r="F77" s="5"/>
      <c r="AJ77" s="27"/>
      <c r="AK77" s="27"/>
      <c r="AL77" s="27"/>
      <c r="AM77" s="27"/>
      <c r="AN77" s="27"/>
      <c r="AO77" s="27"/>
      <c r="AP77" s="27"/>
      <c r="AQ77" s="27"/>
      <c r="AR77" s="27"/>
      <c r="AS77" s="27"/>
      <c r="AT77" s="27"/>
      <c r="AU77" s="27"/>
      <c r="AW77" s="27" t="str">
        <f>FlatbedScans!B76 &amp; ""</f>
        <v>8007140802</v>
      </c>
      <c r="AX77" s="27"/>
      <c r="AY77" s="27" t="str">
        <f>FlatbedScans!B76 &amp; ""</f>
        <v>8007140802</v>
      </c>
    </row>
    <row r="78" spans="2:51" x14ac:dyDescent="0.25">
      <c r="B78" s="5"/>
      <c r="F78" s="5"/>
      <c r="AJ78" s="27"/>
      <c r="AK78" s="27"/>
      <c r="AL78" s="27"/>
      <c r="AM78" s="27"/>
      <c r="AN78" s="27"/>
      <c r="AO78" s="27"/>
      <c r="AP78" s="27"/>
      <c r="AQ78" s="27"/>
      <c r="AR78" s="27"/>
      <c r="AS78" s="27"/>
      <c r="AT78" s="27"/>
      <c r="AU78" s="27"/>
      <c r="AW78" s="27" t="str">
        <f>FlatbedScans!B77 &amp; ""</f>
        <v>8007140814</v>
      </c>
      <c r="AX78" s="27"/>
      <c r="AY78" s="27" t="str">
        <f>FlatbedScans!B77 &amp; ""</f>
        <v>8007140814</v>
      </c>
    </row>
    <row r="79" spans="2:51" x14ac:dyDescent="0.25">
      <c r="B79" s="5"/>
      <c r="F79" s="5"/>
      <c r="AJ79" s="27"/>
      <c r="AK79" s="27"/>
      <c r="AL79" s="27"/>
      <c r="AM79" s="27"/>
      <c r="AN79" s="27"/>
      <c r="AO79" s="27"/>
      <c r="AP79" s="27"/>
      <c r="AQ79" s="27"/>
      <c r="AR79" s="27"/>
      <c r="AS79" s="27"/>
      <c r="AT79" s="27"/>
      <c r="AU79" s="27"/>
      <c r="AW79" s="27" t="str">
        <f>FlatbedScans!B78 &amp; ""</f>
        <v>8007140826</v>
      </c>
      <c r="AX79" s="27"/>
      <c r="AY79" s="27" t="str">
        <f>FlatbedScans!B78 &amp; ""</f>
        <v>8007140826</v>
      </c>
    </row>
    <row r="80" spans="2:51" x14ac:dyDescent="0.25">
      <c r="B80" s="5"/>
      <c r="F80" s="5"/>
      <c r="AJ80" s="27"/>
      <c r="AK80" s="27"/>
      <c r="AL80" s="27"/>
      <c r="AM80" s="27"/>
      <c r="AN80" s="27"/>
      <c r="AO80" s="27"/>
      <c r="AP80" s="27"/>
      <c r="AQ80" s="27"/>
      <c r="AR80" s="27"/>
      <c r="AS80" s="27"/>
      <c r="AT80" s="27"/>
      <c r="AU80" s="27"/>
      <c r="AW80" s="27" t="str">
        <f>FlatbedScans!B79 &amp; ""</f>
        <v>8007140838</v>
      </c>
      <c r="AX80" s="27"/>
      <c r="AY80" s="27" t="str">
        <f>FlatbedScans!B79 &amp; ""</f>
        <v>8007140838</v>
      </c>
    </row>
    <row r="81" spans="2:51" x14ac:dyDescent="0.25">
      <c r="B81" s="5"/>
      <c r="F81" s="5"/>
      <c r="AJ81" s="27"/>
      <c r="AK81" s="27"/>
      <c r="AL81" s="27"/>
      <c r="AM81" s="27"/>
      <c r="AN81" s="27"/>
      <c r="AO81" s="27"/>
      <c r="AP81" s="27"/>
      <c r="AQ81" s="27"/>
      <c r="AR81" s="27"/>
      <c r="AS81" s="27"/>
      <c r="AT81" s="27"/>
      <c r="AU81" s="27"/>
      <c r="AW81" s="27" t="str">
        <f>FlatbedScans!B80 &amp; ""</f>
        <v>8007140850</v>
      </c>
      <c r="AX81" s="27"/>
      <c r="AY81" s="27" t="str">
        <f>FlatbedScans!B80 &amp; ""</f>
        <v>8007140850</v>
      </c>
    </row>
    <row r="82" spans="2:51" x14ac:dyDescent="0.25">
      <c r="B82" s="5"/>
      <c r="F82" s="5"/>
      <c r="AJ82" s="27"/>
      <c r="AK82" s="27"/>
      <c r="AL82" s="27"/>
      <c r="AM82" s="27"/>
      <c r="AN82" s="27"/>
      <c r="AO82" s="27"/>
      <c r="AP82" s="27"/>
      <c r="AQ82" s="27"/>
      <c r="AR82" s="27"/>
      <c r="AS82" s="27"/>
      <c r="AT82" s="27"/>
      <c r="AU82" s="27"/>
      <c r="AW82" s="27" t="str">
        <f>FlatbedScans!B81 &amp; ""</f>
        <v>8007140862</v>
      </c>
      <c r="AX82" s="27"/>
      <c r="AY82" s="27" t="str">
        <f>FlatbedScans!B81 &amp; ""</f>
        <v>8007140862</v>
      </c>
    </row>
    <row r="83" spans="2:51" x14ac:dyDescent="0.25">
      <c r="AW83" s="27" t="str">
        <f>FlatbedScans!B82 &amp; ""</f>
        <v>8007140779</v>
      </c>
      <c r="AX83" s="27"/>
      <c r="AY83" s="27" t="str">
        <f>FlatbedScans!B82 &amp; ""</f>
        <v>8007140779</v>
      </c>
    </row>
    <row r="84" spans="2:51" x14ac:dyDescent="0.25">
      <c r="AW84" s="27" t="str">
        <f>FlatbedScans!B83 &amp; ""</f>
        <v>8007140791</v>
      </c>
      <c r="AX84" s="27"/>
      <c r="AY84" s="27" t="str">
        <f>FlatbedScans!B83 &amp; ""</f>
        <v>8007140791</v>
      </c>
    </row>
    <row r="85" spans="2:51" x14ac:dyDescent="0.25">
      <c r="AW85" s="27" t="str">
        <f>FlatbedScans!B84 &amp; ""</f>
        <v>8007140803</v>
      </c>
      <c r="AX85" s="27"/>
      <c r="AY85" s="27" t="str">
        <f>FlatbedScans!B84 &amp; ""</f>
        <v>8007140803</v>
      </c>
    </row>
    <row r="86" spans="2:51" x14ac:dyDescent="0.25">
      <c r="AW86" s="27" t="str">
        <f>FlatbedScans!B85 &amp; ""</f>
        <v>8007140815</v>
      </c>
      <c r="AX86" s="27"/>
      <c r="AY86" s="27" t="str">
        <f>FlatbedScans!B85 &amp; ""</f>
        <v>8007140815</v>
      </c>
    </row>
    <row r="87" spans="2:51" x14ac:dyDescent="0.25">
      <c r="AW87" s="27" t="str">
        <f>FlatbedScans!B86 &amp; ""</f>
        <v>8007140827</v>
      </c>
      <c r="AX87" s="27"/>
      <c r="AY87" s="27" t="str">
        <f>FlatbedScans!B86 &amp; ""</f>
        <v>8007140827</v>
      </c>
    </row>
    <row r="88" spans="2:51" x14ac:dyDescent="0.25">
      <c r="AW88" s="27" t="str">
        <f>FlatbedScans!B87 &amp; ""</f>
        <v>8007140839</v>
      </c>
      <c r="AX88" s="27"/>
      <c r="AY88" s="27" t="str">
        <f>FlatbedScans!B87 &amp; ""</f>
        <v>8007140839</v>
      </c>
    </row>
    <row r="89" spans="2:51" x14ac:dyDescent="0.25">
      <c r="AW89" s="27" t="str">
        <f>FlatbedScans!B88 &amp; ""</f>
        <v>8007140851</v>
      </c>
      <c r="AX89" s="27"/>
      <c r="AY89" s="27" t="str">
        <f>FlatbedScans!B88 &amp; ""</f>
        <v>8007140851</v>
      </c>
    </row>
    <row r="90" spans="2:51" x14ac:dyDescent="0.25">
      <c r="AW90" s="27" t="str">
        <f>FlatbedScans!B89 &amp; ""</f>
        <v>8007140863</v>
      </c>
      <c r="AX90" s="27"/>
      <c r="AY90" s="27" t="str">
        <f>FlatbedScans!B89 &amp; ""</f>
        <v>8007140863</v>
      </c>
    </row>
    <row r="91" spans="2:51" x14ac:dyDescent="0.25">
      <c r="AW91" s="27" t="str">
        <f>FlatbedScans!B90 &amp; ""</f>
        <v>8007140780</v>
      </c>
      <c r="AX91" s="27"/>
      <c r="AY91" s="27" t="str">
        <f>FlatbedScans!B90 &amp; ""</f>
        <v>8007140780</v>
      </c>
    </row>
    <row r="92" spans="2:51" x14ac:dyDescent="0.25">
      <c r="AW92" s="27"/>
      <c r="AX92" s="27"/>
      <c r="AY92" s="27"/>
    </row>
    <row r="93" spans="2:51" x14ac:dyDescent="0.25">
      <c r="AW93" s="27"/>
      <c r="AX93" s="27"/>
      <c r="AY93" s="27"/>
    </row>
    <row r="94" spans="2:51" x14ac:dyDescent="0.25">
      <c r="AW94" s="27"/>
      <c r="AX94" s="27"/>
      <c r="AY94" s="27"/>
    </row>
    <row r="95" spans="2:51" x14ac:dyDescent="0.25">
      <c r="AW95" s="27"/>
      <c r="AX95" s="27"/>
      <c r="AY95" s="27"/>
    </row>
    <row r="96" spans="2:51" x14ac:dyDescent="0.25">
      <c r="AW96" s="27"/>
      <c r="AX96" s="27"/>
      <c r="AY96" s="27"/>
    </row>
    <row r="97" spans="49:51" x14ac:dyDescent="0.25">
      <c r="AW97" s="27"/>
      <c r="AX97" s="27"/>
      <c r="AY97" s="27"/>
    </row>
    <row r="98" spans="49:51" x14ac:dyDescent="0.25">
      <c r="AW98" s="27"/>
      <c r="AX98" s="27"/>
      <c r="AY98" s="27"/>
    </row>
    <row r="99" spans="49:51" x14ac:dyDescent="0.25">
      <c r="AW99" s="27"/>
      <c r="AX99" s="27"/>
      <c r="AY99" s="27"/>
    </row>
    <row r="100" spans="49:51" x14ac:dyDescent="0.25">
      <c r="AW100" s="27"/>
      <c r="AX100" s="27"/>
      <c r="AY100" s="27"/>
    </row>
    <row r="101" spans="49:51" x14ac:dyDescent="0.25">
      <c r="AW101" s="27"/>
      <c r="AX101" s="27"/>
      <c r="AY101" s="27"/>
    </row>
    <row r="102" spans="49:51" x14ac:dyDescent="0.25">
      <c r="AW102" s="27"/>
      <c r="AX102" s="27"/>
      <c r="AY102" s="27"/>
    </row>
    <row r="103" spans="49:51" x14ac:dyDescent="0.25">
      <c r="AW103" s="27"/>
      <c r="AX103" s="27"/>
      <c r="AY103" s="27"/>
    </row>
    <row r="104" spans="49:51" x14ac:dyDescent="0.25">
      <c r="AW104" s="27"/>
      <c r="AX104" s="27"/>
      <c r="AY104" s="27"/>
    </row>
    <row r="105" spans="49:51" x14ac:dyDescent="0.25">
      <c r="AW105" s="27"/>
      <c r="AX105" s="27"/>
      <c r="AY105" s="27"/>
    </row>
    <row r="106" spans="49:51" x14ac:dyDescent="0.25">
      <c r="AW106" s="27"/>
      <c r="AX106" s="27"/>
      <c r="AY106" s="27"/>
    </row>
    <row r="107" spans="49:51" x14ac:dyDescent="0.25">
      <c r="AW107" s="27"/>
      <c r="AX107" s="27"/>
      <c r="AY107" s="27"/>
    </row>
    <row r="108" spans="49:51" x14ac:dyDescent="0.25">
      <c r="AW108" s="27"/>
      <c r="AX108" s="27"/>
      <c r="AY108" s="27"/>
    </row>
    <row r="109" spans="49:51" x14ac:dyDescent="0.25">
      <c r="AW109" s="27"/>
      <c r="AX109" s="27"/>
      <c r="AY109" s="27"/>
    </row>
    <row r="110" spans="49:51" x14ac:dyDescent="0.25">
      <c r="AW110" s="27"/>
      <c r="AX110" s="27"/>
      <c r="AY110" s="27"/>
    </row>
    <row r="111" spans="49:51" x14ac:dyDescent="0.25">
      <c r="AW111" s="27"/>
      <c r="AX111" s="27"/>
      <c r="AY111" s="27"/>
    </row>
    <row r="112" spans="49:51" x14ac:dyDescent="0.25">
      <c r="AW112" s="27"/>
      <c r="AX112" s="27"/>
      <c r="AY112" s="27"/>
    </row>
    <row r="113" spans="49:51" x14ac:dyDescent="0.25">
      <c r="AW113" s="27"/>
      <c r="AX113" s="27"/>
      <c r="AY113" s="27"/>
    </row>
    <row r="114" spans="49:51" x14ac:dyDescent="0.25">
      <c r="AW114" s="27"/>
      <c r="AX114" s="27"/>
      <c r="AY114" s="27"/>
    </row>
    <row r="115" spans="49:51" x14ac:dyDescent="0.25">
      <c r="AW115" s="27"/>
      <c r="AX115" s="27"/>
      <c r="AY115" s="27"/>
    </row>
    <row r="116" spans="49:51" x14ac:dyDescent="0.25">
      <c r="AW116" s="27"/>
      <c r="AX116" s="27"/>
      <c r="AY116" s="27"/>
    </row>
    <row r="117" spans="49:51" x14ac:dyDescent="0.25">
      <c r="AW117" s="27"/>
      <c r="AX117" s="27"/>
      <c r="AY117" s="27"/>
    </row>
    <row r="118" spans="49:51" x14ac:dyDescent="0.25">
      <c r="AW118" s="27"/>
      <c r="AX118" s="27"/>
      <c r="AY118" s="27"/>
    </row>
    <row r="119" spans="49:51" x14ac:dyDescent="0.25">
      <c r="AW119" s="27"/>
      <c r="AX119" s="27"/>
      <c r="AY119" s="27"/>
    </row>
    <row r="120" spans="49:51" x14ac:dyDescent="0.25">
      <c r="AW120" s="27"/>
      <c r="AX120" s="27"/>
      <c r="AY120" s="27"/>
    </row>
    <row r="121" spans="49:51" x14ac:dyDescent="0.25">
      <c r="AW121" s="27"/>
      <c r="AX121" s="27"/>
      <c r="AY121" s="27"/>
    </row>
    <row r="122" spans="49:51" x14ac:dyDescent="0.25">
      <c r="AW122" s="27"/>
      <c r="AX122" s="27"/>
      <c r="AY122" s="27"/>
    </row>
    <row r="123" spans="49:51" x14ac:dyDescent="0.25">
      <c r="AW123" s="27"/>
      <c r="AX123" s="27"/>
      <c r="AY123" s="27"/>
    </row>
    <row r="124" spans="49:51" x14ac:dyDescent="0.25">
      <c r="AW124" s="27"/>
      <c r="AX124" s="27"/>
      <c r="AY124" s="27"/>
    </row>
    <row r="125" spans="49:51" x14ac:dyDescent="0.25">
      <c r="AW125" s="27"/>
      <c r="AX125" s="27"/>
      <c r="AY125" s="27"/>
    </row>
    <row r="126" spans="49:51" x14ac:dyDescent="0.25">
      <c r="AW126" s="27"/>
      <c r="AX126" s="27"/>
      <c r="AY126" s="27"/>
    </row>
    <row r="127" spans="49:51" x14ac:dyDescent="0.25">
      <c r="AW127" s="27"/>
      <c r="AX127" s="27"/>
      <c r="AY127" s="27"/>
    </row>
    <row r="128" spans="49:51" x14ac:dyDescent="0.25">
      <c r="AW128" s="27"/>
      <c r="AX128" s="27"/>
      <c r="AY128" s="27"/>
    </row>
    <row r="129" spans="49:51" x14ac:dyDescent="0.25">
      <c r="AW129" s="27"/>
      <c r="AX129" s="27"/>
      <c r="AY129" s="27"/>
    </row>
    <row r="130" spans="49:51" x14ac:dyDescent="0.25">
      <c r="AW130" s="27"/>
      <c r="AX130" s="27"/>
      <c r="AY130" s="27"/>
    </row>
    <row r="131" spans="49:51" x14ac:dyDescent="0.25">
      <c r="AW131" s="27"/>
      <c r="AX131" s="27"/>
      <c r="AY131" s="27"/>
    </row>
    <row r="132" spans="49:51" x14ac:dyDescent="0.25">
      <c r="AW132" s="27"/>
      <c r="AX132" s="27"/>
      <c r="AY132" s="27"/>
    </row>
    <row r="133" spans="49:51" x14ac:dyDescent="0.25">
      <c r="AW133" s="27"/>
      <c r="AX133" s="27"/>
      <c r="AY133" s="27"/>
    </row>
    <row r="134" spans="49:51" x14ac:dyDescent="0.25">
      <c r="AW134" s="27"/>
      <c r="AX134" s="27"/>
      <c r="AY134" s="27"/>
    </row>
    <row r="135" spans="49:51" x14ac:dyDescent="0.25">
      <c r="AW135" s="27"/>
      <c r="AX135" s="27"/>
      <c r="AY135" s="27"/>
    </row>
    <row r="136" spans="49:51" x14ac:dyDescent="0.25">
      <c r="AW136" s="27"/>
      <c r="AX136" s="27"/>
      <c r="AY136" s="27"/>
    </row>
    <row r="137" spans="49:51" x14ac:dyDescent="0.25">
      <c r="AW137" s="27"/>
      <c r="AX137" s="27"/>
      <c r="AY137" s="27"/>
    </row>
    <row r="138" spans="49:51" x14ac:dyDescent="0.25">
      <c r="AW138" s="27"/>
      <c r="AX138" s="27"/>
      <c r="AY138" s="27"/>
    </row>
    <row r="139" spans="49:51" x14ac:dyDescent="0.25">
      <c r="AW139" s="27"/>
      <c r="AX139" s="27"/>
      <c r="AY139" s="27"/>
    </row>
    <row r="140" spans="49:51" x14ac:dyDescent="0.25">
      <c r="AW140" s="27"/>
      <c r="AX140" s="27"/>
      <c r="AY140" s="27"/>
    </row>
    <row r="141" spans="49:51" x14ac:dyDescent="0.25">
      <c r="AW141" s="27"/>
      <c r="AX141" s="27"/>
      <c r="AY141" s="27"/>
    </row>
    <row r="142" spans="49:51" x14ac:dyDescent="0.25">
      <c r="AW142" s="27"/>
      <c r="AX142" s="27"/>
      <c r="AY142" s="27"/>
    </row>
    <row r="143" spans="49:51" x14ac:dyDescent="0.25">
      <c r="AW143" s="27"/>
      <c r="AX143" s="27"/>
      <c r="AY143" s="27"/>
    </row>
    <row r="144" spans="49:51" x14ac:dyDescent="0.25">
      <c r="AW144" s="27"/>
      <c r="AX144" s="27"/>
      <c r="AY144" s="27"/>
    </row>
    <row r="145" spans="49:51" x14ac:dyDescent="0.25">
      <c r="AW145" s="27"/>
      <c r="AX145" s="27"/>
      <c r="AY145" s="27"/>
    </row>
    <row r="146" spans="49:51" x14ac:dyDescent="0.25">
      <c r="AW146" s="27"/>
      <c r="AX146" s="27"/>
      <c r="AY146" s="27"/>
    </row>
    <row r="147" spans="49:51" x14ac:dyDescent="0.25">
      <c r="AW147" s="27"/>
      <c r="AX147" s="27"/>
      <c r="AY147" s="27"/>
    </row>
    <row r="148" spans="49:51" x14ac:dyDescent="0.25">
      <c r="AW148" s="27"/>
      <c r="AX148" s="27"/>
      <c r="AY148" s="27"/>
    </row>
    <row r="149" spans="49:51" x14ac:dyDescent="0.25">
      <c r="AW149" s="27"/>
      <c r="AX149" s="27"/>
      <c r="AY149" s="27"/>
    </row>
    <row r="150" spans="49:51" x14ac:dyDescent="0.25">
      <c r="AW150" s="27"/>
      <c r="AX150" s="27"/>
      <c r="AY150" s="27"/>
    </row>
    <row r="151" spans="49:51" x14ac:dyDescent="0.25">
      <c r="AW151" s="27"/>
      <c r="AX151" s="27"/>
      <c r="AY151" s="27"/>
    </row>
    <row r="152" spans="49:51" x14ac:dyDescent="0.25">
      <c r="AW152" s="27"/>
      <c r="AX152" s="27"/>
      <c r="AY152" s="27"/>
    </row>
    <row r="153" spans="49:51" x14ac:dyDescent="0.25">
      <c r="AW153" s="27"/>
      <c r="AX153" s="27"/>
      <c r="AY153" s="27"/>
    </row>
    <row r="154" spans="49:51" x14ac:dyDescent="0.25">
      <c r="AW154" s="27"/>
      <c r="AX154" s="27"/>
      <c r="AY154" s="27"/>
    </row>
    <row r="155" spans="49:51" x14ac:dyDescent="0.25">
      <c r="AW155" s="27"/>
      <c r="AX155" s="27"/>
      <c r="AY155" s="27"/>
    </row>
    <row r="156" spans="49:51" x14ac:dyDescent="0.25">
      <c r="AW156" s="27"/>
      <c r="AX156" s="27"/>
      <c r="AY156" s="27"/>
    </row>
    <row r="157" spans="49:51" x14ac:dyDescent="0.25">
      <c r="AW157" s="27"/>
      <c r="AX157" s="27"/>
      <c r="AY157" s="27"/>
    </row>
    <row r="158" spans="49:51" x14ac:dyDescent="0.25">
      <c r="AW158" s="27"/>
      <c r="AX158" s="27"/>
      <c r="AY158" s="27"/>
    </row>
    <row r="159" spans="49:51" x14ac:dyDescent="0.25">
      <c r="AW159" s="27"/>
      <c r="AX159" s="27"/>
      <c r="AY159" s="27"/>
    </row>
    <row r="160" spans="49:51" x14ac:dyDescent="0.25">
      <c r="AW160" s="27"/>
      <c r="AX160" s="27"/>
      <c r="AY160" s="27"/>
    </row>
    <row r="161" spans="49:51" x14ac:dyDescent="0.25">
      <c r="AW161" s="27"/>
      <c r="AX161" s="27"/>
      <c r="AY161" s="27"/>
    </row>
    <row r="162" spans="49:51" x14ac:dyDescent="0.25">
      <c r="AW162" s="27"/>
      <c r="AX162" s="27"/>
      <c r="AY162" s="27"/>
    </row>
    <row r="163" spans="49:51" x14ac:dyDescent="0.25">
      <c r="AW163" s="27"/>
      <c r="AX163" s="27"/>
      <c r="AY163" s="27"/>
    </row>
    <row r="164" spans="49:51" x14ac:dyDescent="0.25">
      <c r="AW164" s="27"/>
      <c r="AX164" s="27"/>
      <c r="AY164" s="27"/>
    </row>
    <row r="165" spans="49:51" x14ac:dyDescent="0.25">
      <c r="AW165" s="27"/>
      <c r="AX165" s="27"/>
      <c r="AY165" s="27"/>
    </row>
    <row r="166" spans="49:51" x14ac:dyDescent="0.25">
      <c r="AW166" s="27"/>
      <c r="AX166" s="27"/>
      <c r="AY166" s="27"/>
    </row>
    <row r="167" spans="49:51" x14ac:dyDescent="0.25">
      <c r="AW167" s="27"/>
      <c r="AX167" s="27"/>
      <c r="AY167" s="27"/>
    </row>
    <row r="168" spans="49:51" x14ac:dyDescent="0.25">
      <c r="AW168" s="27"/>
      <c r="AX168" s="27"/>
      <c r="AY168" s="27"/>
    </row>
    <row r="169" spans="49:51" x14ac:dyDescent="0.25">
      <c r="AW169" s="27"/>
      <c r="AX169" s="27"/>
      <c r="AY169" s="27"/>
    </row>
    <row r="170" spans="49:51" x14ac:dyDescent="0.25">
      <c r="AW170" s="27"/>
      <c r="AX170" s="27"/>
      <c r="AY170" s="27"/>
    </row>
    <row r="171" spans="49:51" x14ac:dyDescent="0.25">
      <c r="AW171" s="27"/>
      <c r="AX171" s="27"/>
      <c r="AY171" s="27"/>
    </row>
    <row r="172" spans="49:51" x14ac:dyDescent="0.25">
      <c r="AW172" s="27"/>
      <c r="AX172" s="27"/>
      <c r="AY172" s="27"/>
    </row>
    <row r="173" spans="49:51" x14ac:dyDescent="0.25">
      <c r="AW173" s="27"/>
      <c r="AX173" s="27"/>
      <c r="AY173" s="27"/>
    </row>
    <row r="174" spans="49:51" x14ac:dyDescent="0.25">
      <c r="AW174" s="27"/>
      <c r="AX174" s="27"/>
      <c r="AY174" s="27"/>
    </row>
    <row r="175" spans="49:51" x14ac:dyDescent="0.25">
      <c r="AW175" s="27"/>
      <c r="AX175" s="27"/>
      <c r="AY175" s="27"/>
    </row>
    <row r="176" spans="49:51" x14ac:dyDescent="0.25">
      <c r="AW176" s="27"/>
      <c r="AX176" s="27"/>
      <c r="AY176" s="27"/>
    </row>
    <row r="177" spans="49:51" x14ac:dyDescent="0.25">
      <c r="AW177" s="27"/>
      <c r="AX177" s="27"/>
      <c r="AY177" s="27"/>
    </row>
    <row r="178" spans="49:51" x14ac:dyDescent="0.25">
      <c r="AW178" s="27"/>
      <c r="AX178" s="27"/>
      <c r="AY178" s="27"/>
    </row>
    <row r="179" spans="49:51" x14ac:dyDescent="0.25">
      <c r="AW179" s="27"/>
      <c r="AX179" s="27"/>
      <c r="AY179" s="27"/>
    </row>
    <row r="180" spans="49:51" x14ac:dyDescent="0.25">
      <c r="AW180" s="27"/>
      <c r="AX180" s="27"/>
      <c r="AY180" s="27"/>
    </row>
    <row r="181" spans="49:51" x14ac:dyDescent="0.25">
      <c r="AW181" s="27"/>
      <c r="AX181" s="27"/>
      <c r="AY181" s="27"/>
    </row>
    <row r="182" spans="49:51" x14ac:dyDescent="0.25">
      <c r="AW182" s="27"/>
      <c r="AX182" s="27"/>
      <c r="AY182" s="27"/>
    </row>
    <row r="183" spans="49:51" x14ac:dyDescent="0.25">
      <c r="AW183" s="27"/>
      <c r="AX183" s="27"/>
      <c r="AY183" s="27"/>
    </row>
    <row r="184" spans="49:51" x14ac:dyDescent="0.25">
      <c r="AW184" s="27"/>
      <c r="AX184" s="27"/>
      <c r="AY184" s="27"/>
    </row>
    <row r="185" spans="49:51" x14ac:dyDescent="0.25">
      <c r="AW185" s="27"/>
      <c r="AX185" s="27"/>
      <c r="AY185" s="27"/>
    </row>
    <row r="186" spans="49:51" x14ac:dyDescent="0.25">
      <c r="AW186" s="27"/>
      <c r="AX186" s="27"/>
      <c r="AY186" s="27"/>
    </row>
    <row r="187" spans="49:51" x14ac:dyDescent="0.25">
      <c r="AW187" s="27"/>
      <c r="AX187" s="27"/>
      <c r="AY187" s="27"/>
    </row>
    <row r="188" spans="49:51" x14ac:dyDescent="0.25">
      <c r="AW188" s="27"/>
      <c r="AX188" s="27"/>
      <c r="AY188" s="27"/>
    </row>
    <row r="189" spans="49:51" x14ac:dyDescent="0.25">
      <c r="AW189" s="27"/>
      <c r="AX189" s="27"/>
      <c r="AY189" s="27"/>
    </row>
    <row r="190" spans="49:51" x14ac:dyDescent="0.25">
      <c r="AW190" s="27"/>
      <c r="AX190" s="27"/>
      <c r="AY190" s="27"/>
    </row>
    <row r="191" spans="49:51" x14ac:dyDescent="0.25">
      <c r="AW191" s="27"/>
      <c r="AX191" s="27"/>
      <c r="AY191" s="27"/>
    </row>
    <row r="192" spans="49:51" x14ac:dyDescent="0.25">
      <c r="AW192" s="27"/>
      <c r="AX192" s="27"/>
      <c r="AY192" s="27"/>
    </row>
    <row r="193" spans="49:51" x14ac:dyDescent="0.25">
      <c r="AW193" s="27"/>
      <c r="AX193" s="27"/>
      <c r="AY193" s="27"/>
    </row>
    <row r="194" spans="49:51" x14ac:dyDescent="0.25">
      <c r="AW194" s="27"/>
      <c r="AX194" s="27"/>
      <c r="AY194" s="27"/>
    </row>
    <row r="195" spans="49:51" x14ac:dyDescent="0.25">
      <c r="AW195" s="27"/>
      <c r="AX195" s="27"/>
      <c r="AY195" s="27"/>
    </row>
    <row r="196" spans="49:51" x14ac:dyDescent="0.25">
      <c r="AW196" s="27"/>
      <c r="AX196" s="27"/>
      <c r="AY196" s="27"/>
    </row>
    <row r="197" spans="49:51" x14ac:dyDescent="0.25">
      <c r="AW197" s="27"/>
      <c r="AX197" s="27"/>
      <c r="AY197" s="27"/>
    </row>
    <row r="198" spans="49:51" x14ac:dyDescent="0.25">
      <c r="AW198" s="27"/>
      <c r="AX198" s="27"/>
      <c r="AY198" s="27"/>
    </row>
    <row r="199" spans="49:51" x14ac:dyDescent="0.25">
      <c r="AW199" s="27"/>
      <c r="AX199" s="27"/>
      <c r="AY199" s="27"/>
    </row>
    <row r="200" spans="49:51" x14ac:dyDescent="0.25">
      <c r="AW200" s="27"/>
      <c r="AX200" s="27"/>
      <c r="AY200" s="27"/>
    </row>
    <row r="201" spans="49:51" x14ac:dyDescent="0.25">
      <c r="AW201" s="27"/>
      <c r="AX201" s="27"/>
      <c r="AY201" s="27"/>
    </row>
    <row r="202" spans="49:51" x14ac:dyDescent="0.25">
      <c r="AW202" s="27"/>
      <c r="AX202" s="27"/>
      <c r="AY202" s="27"/>
    </row>
  </sheetData>
  <mergeCells count="13">
    <mergeCell ref="AW1:AY1"/>
    <mergeCell ref="AS1:AU1"/>
    <mergeCell ref="U1:W1"/>
    <mergeCell ref="A1:C1"/>
    <mergeCell ref="E1:G1"/>
    <mergeCell ref="I1:K1"/>
    <mergeCell ref="M1:O1"/>
    <mergeCell ref="Q1:S1"/>
    <mergeCell ref="AK1:AM1"/>
    <mergeCell ref="AO1:AQ1"/>
    <mergeCell ref="AG1:AI1"/>
    <mergeCell ref="AC1:AE1"/>
    <mergeCell ref="Y1:AA1"/>
  </mergeCells>
  <dataValidations disablePrompts="1" count="2">
    <dataValidation type="list" errorStyle="information" allowBlank="1" showInputMessage="1" showErrorMessage="1" sqref="I35">
      <formula1>$I$3:$I$34</formula1>
    </dataValidation>
    <dataValidation type="list" errorStyle="information" allowBlank="1" showInputMessage="1" showErrorMessage="1" sqref="I34">
      <formula1>$I$3:$I$30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10"/>
  <sheetViews>
    <sheetView workbookViewId="0">
      <selection activeCell="F1" sqref="F1"/>
    </sheetView>
  </sheetViews>
  <sheetFormatPr defaultRowHeight="15" x14ac:dyDescent="0.25"/>
  <cols>
    <col min="1" max="1" width="9.85546875" style="5" bestFit="1" customWidth="1"/>
    <col min="2" max="2" width="10.85546875" style="5" bestFit="1" customWidth="1"/>
    <col min="3" max="3" width="8.42578125" style="5" bestFit="1" customWidth="1"/>
    <col min="4" max="4" width="21.85546875" bestFit="1" customWidth="1"/>
  </cols>
  <sheetData>
    <row r="1" spans="1:5" x14ac:dyDescent="0.25">
      <c r="A1" s="38" t="s">
        <v>188</v>
      </c>
      <c r="B1" s="38" t="s">
        <v>189</v>
      </c>
      <c r="C1" s="38" t="s">
        <v>190</v>
      </c>
      <c r="D1" s="38" t="s">
        <v>405</v>
      </c>
      <c r="E1" s="39" t="s">
        <v>406</v>
      </c>
    </row>
    <row r="2" spans="1:5" x14ac:dyDescent="0.25">
      <c r="A2" s="5" t="s">
        <v>191</v>
      </c>
      <c r="B2" s="5">
        <v>8007140793</v>
      </c>
      <c r="C2" s="5" t="s">
        <v>192</v>
      </c>
      <c r="D2" t="b">
        <f>IF(B2="", "",COUNTIF(RawData!L:L,B2)&gt;0)</f>
        <v>0</v>
      </c>
    </row>
    <row r="3" spans="1:5" x14ac:dyDescent="0.25">
      <c r="A3" s="5" t="s">
        <v>193</v>
      </c>
      <c r="B3" s="5">
        <v>8007140781</v>
      </c>
      <c r="C3" s="5" t="s">
        <v>192</v>
      </c>
      <c r="D3" s="27" t="b">
        <f>IF(B3="", "",COUNTIF(RawData!L:L,B3)&gt;0)</f>
        <v>0</v>
      </c>
    </row>
    <row r="4" spans="1:5" x14ac:dyDescent="0.25">
      <c r="A4" s="5" t="s">
        <v>194</v>
      </c>
      <c r="B4" s="5">
        <v>8007140769</v>
      </c>
      <c r="C4" s="5" t="s">
        <v>192</v>
      </c>
      <c r="D4" s="27" t="b">
        <f>IF(B4="", "",COUNTIF(RawData!L:L,B4)&gt;0)</f>
        <v>0</v>
      </c>
    </row>
    <row r="5" spans="1:5" x14ac:dyDescent="0.25">
      <c r="A5" s="5" t="s">
        <v>195</v>
      </c>
      <c r="B5" s="5">
        <v>8007140805</v>
      </c>
      <c r="C5" s="5" t="s">
        <v>192</v>
      </c>
      <c r="D5" s="27" t="b">
        <f>IF(B5="", "",COUNTIF(RawData!L:L,B5)&gt;0)</f>
        <v>0</v>
      </c>
    </row>
    <row r="6" spans="1:5" x14ac:dyDescent="0.25">
      <c r="A6" s="5" t="s">
        <v>196</v>
      </c>
      <c r="B6" s="5" t="s">
        <v>288</v>
      </c>
      <c r="C6" s="5" t="s">
        <v>192</v>
      </c>
      <c r="D6" s="27" t="b">
        <f>IF(B6="", "",COUNTIF(RawData!L:L,B6)&gt;0)</f>
        <v>0</v>
      </c>
    </row>
    <row r="7" spans="1:5" x14ac:dyDescent="0.25">
      <c r="A7" s="5" t="s">
        <v>197</v>
      </c>
      <c r="B7" s="5">
        <v>8007140829</v>
      </c>
      <c r="C7" s="5" t="s">
        <v>192</v>
      </c>
      <c r="D7" s="27" t="b">
        <f>IF(B7="", "",COUNTIF(RawData!L:L,B7)&gt;0)</f>
        <v>0</v>
      </c>
    </row>
    <row r="8" spans="1:5" x14ac:dyDescent="0.25">
      <c r="A8" s="5" t="s">
        <v>198</v>
      </c>
      <c r="B8" s="5">
        <v>8007140841</v>
      </c>
      <c r="C8" s="5" t="s">
        <v>192</v>
      </c>
      <c r="D8" s="27" t="b">
        <f>IF(B8="", "",COUNTIF(RawData!L:L,B8)&gt;0)</f>
        <v>0</v>
      </c>
    </row>
    <row r="9" spans="1:5" x14ac:dyDescent="0.25">
      <c r="A9" s="5" t="s">
        <v>199</v>
      </c>
      <c r="B9" s="5">
        <v>8007140853</v>
      </c>
      <c r="C9" s="5" t="s">
        <v>192</v>
      </c>
      <c r="D9" s="27" t="b">
        <f>IF(B9="", "",COUNTIF(RawData!L:L,B9)&gt;0)</f>
        <v>0</v>
      </c>
    </row>
    <row r="10" spans="1:5" x14ac:dyDescent="0.25">
      <c r="A10" s="5" t="s">
        <v>200</v>
      </c>
      <c r="B10" s="5">
        <v>8007140770</v>
      </c>
      <c r="C10" s="5" t="s">
        <v>192</v>
      </c>
      <c r="D10" s="27" t="b">
        <f>IF(B10="", "",COUNTIF(RawData!L:L,B10)&gt;0)</f>
        <v>0</v>
      </c>
    </row>
    <row r="11" spans="1:5" x14ac:dyDescent="0.25">
      <c r="A11" s="5" t="s">
        <v>201</v>
      </c>
      <c r="B11" s="5">
        <v>8007140782</v>
      </c>
      <c r="C11" s="5" t="s">
        <v>192</v>
      </c>
      <c r="D11" s="27" t="b">
        <f>IF(B11="", "",COUNTIF(RawData!L:L,B11)&gt;0)</f>
        <v>0</v>
      </c>
    </row>
    <row r="12" spans="1:5" x14ac:dyDescent="0.25">
      <c r="A12" s="5" t="s">
        <v>202</v>
      </c>
      <c r="B12" s="5">
        <v>8007140794</v>
      </c>
      <c r="C12" s="5" t="s">
        <v>192</v>
      </c>
      <c r="D12" s="27" t="b">
        <f>IF(B12="", "",COUNTIF(RawData!L:L,B12)&gt;0)</f>
        <v>0</v>
      </c>
    </row>
    <row r="13" spans="1:5" x14ac:dyDescent="0.25">
      <c r="A13" s="5" t="s">
        <v>203</v>
      </c>
      <c r="B13" s="5">
        <v>8007140806</v>
      </c>
      <c r="C13" s="5" t="s">
        <v>192</v>
      </c>
      <c r="D13" s="27" t="b">
        <f>IF(B13="", "",COUNTIF(RawData!L:L,B13)&gt;0)</f>
        <v>0</v>
      </c>
    </row>
    <row r="14" spans="1:5" x14ac:dyDescent="0.25">
      <c r="A14" s="5" t="s">
        <v>204</v>
      </c>
      <c r="B14" s="5">
        <v>8007140818</v>
      </c>
      <c r="C14" s="5" t="s">
        <v>192</v>
      </c>
      <c r="D14" s="27" t="b">
        <f>IF(B14="", "",COUNTIF(RawData!L:L,B14)&gt;0)</f>
        <v>0</v>
      </c>
    </row>
    <row r="15" spans="1:5" x14ac:dyDescent="0.25">
      <c r="A15" s="5" t="s">
        <v>205</v>
      </c>
      <c r="B15" s="5">
        <v>8007140830</v>
      </c>
      <c r="C15" s="5" t="s">
        <v>192</v>
      </c>
      <c r="D15" s="27" t="b">
        <f>IF(B15="", "",COUNTIF(RawData!L:L,B15)&gt;0)</f>
        <v>0</v>
      </c>
    </row>
    <row r="16" spans="1:5" x14ac:dyDescent="0.25">
      <c r="A16" s="5" t="s">
        <v>206</v>
      </c>
      <c r="B16" s="5" t="s">
        <v>318</v>
      </c>
      <c r="C16" s="5" t="s">
        <v>192</v>
      </c>
      <c r="D16" s="27" t="b">
        <f>IF(B16="", "",COUNTIF(RawData!L:L,B16)&gt;0)</f>
        <v>0</v>
      </c>
    </row>
    <row r="17" spans="1:4" x14ac:dyDescent="0.25">
      <c r="A17" s="5" t="s">
        <v>207</v>
      </c>
      <c r="B17" s="5">
        <v>8007140854</v>
      </c>
      <c r="C17" s="5" t="s">
        <v>192</v>
      </c>
      <c r="D17" s="27" t="b">
        <f>IF(B17="", "",COUNTIF(RawData!L:L,B17)&gt;0)</f>
        <v>0</v>
      </c>
    </row>
    <row r="18" spans="1:4" x14ac:dyDescent="0.25">
      <c r="A18" s="5" t="s">
        <v>208</v>
      </c>
      <c r="B18" s="5">
        <v>8007140771</v>
      </c>
      <c r="C18" s="5" t="s">
        <v>192</v>
      </c>
      <c r="D18" s="27" t="b">
        <f>IF(B18="", "",COUNTIF(RawData!L:L,B18)&gt;0)</f>
        <v>0</v>
      </c>
    </row>
    <row r="19" spans="1:4" x14ac:dyDescent="0.25">
      <c r="A19" s="5" t="s">
        <v>209</v>
      </c>
      <c r="B19" s="5">
        <v>8007140783</v>
      </c>
      <c r="C19" s="5" t="s">
        <v>192</v>
      </c>
      <c r="D19" s="27" t="b">
        <f>IF(B19="", "",COUNTIF(RawData!L:L,B19)&gt;0)</f>
        <v>0</v>
      </c>
    </row>
    <row r="20" spans="1:4" x14ac:dyDescent="0.25">
      <c r="A20" s="5" t="s">
        <v>210</v>
      </c>
      <c r="B20" s="5">
        <v>8007140795</v>
      </c>
      <c r="C20" s="5" t="s">
        <v>192</v>
      </c>
      <c r="D20" s="27" t="b">
        <f>IF(B20="", "",COUNTIF(RawData!L:L,B20)&gt;0)</f>
        <v>0</v>
      </c>
    </row>
    <row r="21" spans="1:4" x14ac:dyDescent="0.25">
      <c r="A21" s="5" t="s">
        <v>211</v>
      </c>
      <c r="B21" s="5">
        <v>8007140807</v>
      </c>
      <c r="C21" s="5" t="s">
        <v>192</v>
      </c>
      <c r="D21" s="27" t="b">
        <f>IF(B21="", "",COUNTIF(RawData!L:L,B21)&gt;0)</f>
        <v>0</v>
      </c>
    </row>
    <row r="22" spans="1:4" x14ac:dyDescent="0.25">
      <c r="A22" s="5" t="s">
        <v>212</v>
      </c>
      <c r="B22" s="5">
        <v>8007140819</v>
      </c>
      <c r="C22" s="5" t="s">
        <v>192</v>
      </c>
      <c r="D22" s="27" t="b">
        <f>IF(B22="", "",COUNTIF(RawData!L:L,B22)&gt;0)</f>
        <v>0</v>
      </c>
    </row>
    <row r="23" spans="1:4" x14ac:dyDescent="0.25">
      <c r="A23" s="5" t="s">
        <v>213</v>
      </c>
      <c r="B23" s="5">
        <v>8007140831</v>
      </c>
      <c r="C23" s="5" t="s">
        <v>192</v>
      </c>
      <c r="D23" s="27" t="b">
        <f>IF(B23="", "",COUNTIF(RawData!L:L,B23)&gt;0)</f>
        <v>0</v>
      </c>
    </row>
    <row r="24" spans="1:4" x14ac:dyDescent="0.25">
      <c r="A24" s="5" t="s">
        <v>214</v>
      </c>
      <c r="B24" s="5">
        <v>8007140843</v>
      </c>
      <c r="C24" s="5" t="s">
        <v>192</v>
      </c>
      <c r="D24" s="27" t="b">
        <f>IF(B24="", "",COUNTIF(RawData!L:L,B24)&gt;0)</f>
        <v>0</v>
      </c>
    </row>
    <row r="25" spans="1:4" x14ac:dyDescent="0.25">
      <c r="A25" s="5" t="s">
        <v>215</v>
      </c>
      <c r="B25" s="5">
        <v>8007140855</v>
      </c>
      <c r="C25" s="5" t="s">
        <v>192</v>
      </c>
      <c r="D25" s="27" t="b">
        <f>IF(B25="", "",COUNTIF(RawData!L:L,B25)&gt;0)</f>
        <v>0</v>
      </c>
    </row>
    <row r="26" spans="1:4" x14ac:dyDescent="0.25">
      <c r="A26" s="5" t="s">
        <v>216</v>
      </c>
      <c r="B26" s="5">
        <v>8007140772</v>
      </c>
      <c r="C26" s="5" t="s">
        <v>192</v>
      </c>
      <c r="D26" s="27" t="b">
        <f>IF(B26="", "",COUNTIF(RawData!L:L,B26)&gt;0)</f>
        <v>0</v>
      </c>
    </row>
    <row r="27" spans="1:4" x14ac:dyDescent="0.25">
      <c r="A27" s="5" t="s">
        <v>217</v>
      </c>
      <c r="B27" s="5">
        <v>8007140784</v>
      </c>
      <c r="C27" s="5" t="s">
        <v>192</v>
      </c>
      <c r="D27" s="27" t="b">
        <f>IF(B27="", "",COUNTIF(RawData!L:L,B27)&gt;0)</f>
        <v>0</v>
      </c>
    </row>
    <row r="28" spans="1:4" x14ac:dyDescent="0.25">
      <c r="A28" s="5" t="s">
        <v>218</v>
      </c>
      <c r="B28" s="5">
        <v>8007140796</v>
      </c>
      <c r="C28" s="5" t="s">
        <v>192</v>
      </c>
      <c r="D28" s="27" t="b">
        <f>IF(B28="", "",COUNTIF(RawData!L:L,B28)&gt;0)</f>
        <v>0</v>
      </c>
    </row>
    <row r="29" spans="1:4" x14ac:dyDescent="0.25">
      <c r="A29" s="5" t="s">
        <v>219</v>
      </c>
      <c r="B29" s="5">
        <v>8007140808</v>
      </c>
      <c r="C29" s="5" t="s">
        <v>192</v>
      </c>
      <c r="D29" s="27" t="b">
        <f>IF(B29="", "",COUNTIF(RawData!L:L,B29)&gt;0)</f>
        <v>0</v>
      </c>
    </row>
    <row r="30" spans="1:4" x14ac:dyDescent="0.25">
      <c r="A30" s="5" t="s">
        <v>220</v>
      </c>
      <c r="B30" s="5">
        <v>8007140820</v>
      </c>
      <c r="C30" s="5" t="s">
        <v>192</v>
      </c>
      <c r="D30" s="27" t="b">
        <f>IF(B30="", "",COUNTIF(RawData!L:L,B30)&gt;0)</f>
        <v>0</v>
      </c>
    </row>
    <row r="31" spans="1:4" x14ac:dyDescent="0.25">
      <c r="A31" s="5" t="s">
        <v>221</v>
      </c>
      <c r="B31" s="5">
        <v>8007140832</v>
      </c>
      <c r="C31" s="5" t="s">
        <v>192</v>
      </c>
      <c r="D31" s="27" t="b">
        <f>IF(B31="", "",COUNTIF(RawData!L:L,B31)&gt;0)</f>
        <v>0</v>
      </c>
    </row>
    <row r="32" spans="1:4" x14ac:dyDescent="0.25">
      <c r="A32" s="5" t="s">
        <v>222</v>
      </c>
      <c r="B32" s="5">
        <v>8007140844</v>
      </c>
      <c r="C32" s="5" t="s">
        <v>192</v>
      </c>
      <c r="D32" s="27" t="b">
        <f>IF(B32="", "",COUNTIF(RawData!L:L,B32)&gt;0)</f>
        <v>0</v>
      </c>
    </row>
    <row r="33" spans="1:4" x14ac:dyDescent="0.25">
      <c r="A33" s="5" t="s">
        <v>223</v>
      </c>
      <c r="B33" s="5">
        <v>8007140856</v>
      </c>
      <c r="C33" s="5" t="s">
        <v>192</v>
      </c>
      <c r="D33" s="27" t="b">
        <f>IF(B33="", "",COUNTIF(RawData!L:L,B33)&gt;0)</f>
        <v>0</v>
      </c>
    </row>
    <row r="34" spans="1:4" x14ac:dyDescent="0.25">
      <c r="A34" s="5" t="s">
        <v>224</v>
      </c>
      <c r="B34" s="5">
        <v>8007140773</v>
      </c>
      <c r="C34" s="5" t="s">
        <v>192</v>
      </c>
      <c r="D34" s="27" t="b">
        <f>IF(B34="", "",COUNTIF(RawData!L:L,B34)&gt;0)</f>
        <v>0</v>
      </c>
    </row>
    <row r="35" spans="1:4" x14ac:dyDescent="0.25">
      <c r="A35" s="5" t="s">
        <v>225</v>
      </c>
      <c r="B35" s="5">
        <v>8007140785</v>
      </c>
      <c r="C35" s="5" t="s">
        <v>192</v>
      </c>
      <c r="D35" s="27" t="b">
        <f>IF(B35="", "",COUNTIF(RawData!L:L,B35)&gt;0)</f>
        <v>0</v>
      </c>
    </row>
    <row r="36" spans="1:4" x14ac:dyDescent="0.25">
      <c r="A36" s="5" t="s">
        <v>226</v>
      </c>
      <c r="B36" s="5">
        <v>8007140797</v>
      </c>
      <c r="C36" s="5" t="s">
        <v>192</v>
      </c>
      <c r="D36" s="27" t="b">
        <f>IF(B36="", "",COUNTIF(RawData!L:L,B36)&gt;0)</f>
        <v>0</v>
      </c>
    </row>
    <row r="37" spans="1:4" x14ac:dyDescent="0.25">
      <c r="A37" s="5" t="s">
        <v>227</v>
      </c>
      <c r="B37" s="5">
        <v>8007140809</v>
      </c>
      <c r="C37" s="5" t="s">
        <v>192</v>
      </c>
      <c r="D37" s="27" t="b">
        <f>IF(B37="", "",COUNTIF(RawData!L:L,B37)&gt;0)</f>
        <v>0</v>
      </c>
    </row>
    <row r="38" spans="1:4" x14ac:dyDescent="0.25">
      <c r="A38" s="5" t="s">
        <v>228</v>
      </c>
      <c r="B38" s="5">
        <v>8007140821</v>
      </c>
      <c r="C38" s="5" t="s">
        <v>192</v>
      </c>
      <c r="D38" s="27" t="b">
        <f>IF(B38="", "",COUNTIF(RawData!L:L,B38)&gt;0)</f>
        <v>0</v>
      </c>
    </row>
    <row r="39" spans="1:4" x14ac:dyDescent="0.25">
      <c r="A39" s="5" t="s">
        <v>229</v>
      </c>
      <c r="B39" s="5">
        <v>8007140833</v>
      </c>
      <c r="C39" s="5" t="s">
        <v>192</v>
      </c>
      <c r="D39" s="27" t="b">
        <f>IF(B39="", "",COUNTIF(RawData!L:L,B39)&gt;0)</f>
        <v>0</v>
      </c>
    </row>
    <row r="40" spans="1:4" x14ac:dyDescent="0.25">
      <c r="A40" s="5" t="s">
        <v>230</v>
      </c>
      <c r="B40" s="5">
        <v>8007140845</v>
      </c>
      <c r="C40" s="5" t="s">
        <v>192</v>
      </c>
      <c r="D40" s="27" t="b">
        <f>IF(B40="", "",COUNTIF(RawData!L:L,B40)&gt;0)</f>
        <v>0</v>
      </c>
    </row>
    <row r="41" spans="1:4" x14ac:dyDescent="0.25">
      <c r="A41" s="5" t="s">
        <v>231</v>
      </c>
      <c r="B41" s="5">
        <v>8007140857</v>
      </c>
      <c r="C41" s="5" t="s">
        <v>192</v>
      </c>
      <c r="D41" s="27" t="b">
        <f>IF(B41="", "",COUNTIF(RawData!L:L,B41)&gt;0)</f>
        <v>0</v>
      </c>
    </row>
    <row r="42" spans="1:4" x14ac:dyDescent="0.25">
      <c r="A42" s="5" t="s">
        <v>232</v>
      </c>
      <c r="B42" s="5">
        <v>8007140774</v>
      </c>
      <c r="C42" s="5" t="s">
        <v>192</v>
      </c>
      <c r="D42" s="27" t="b">
        <f>IF(B42="", "",COUNTIF(RawData!L:L,B42)&gt;0)</f>
        <v>0</v>
      </c>
    </row>
    <row r="43" spans="1:4" x14ac:dyDescent="0.25">
      <c r="A43" s="5" t="s">
        <v>233</v>
      </c>
      <c r="B43" s="5">
        <v>8007140786</v>
      </c>
      <c r="C43" s="5" t="s">
        <v>192</v>
      </c>
      <c r="D43" s="27" t="b">
        <f>IF(B43="", "",COUNTIF(RawData!L:L,B43)&gt;0)</f>
        <v>0</v>
      </c>
    </row>
    <row r="44" spans="1:4" x14ac:dyDescent="0.25">
      <c r="A44" s="5" t="s">
        <v>234</v>
      </c>
      <c r="B44" s="5">
        <v>8007140798</v>
      </c>
      <c r="C44" s="5" t="s">
        <v>192</v>
      </c>
      <c r="D44" s="27" t="b">
        <f>IF(B44="", "",COUNTIF(RawData!L:L,B44)&gt;0)</f>
        <v>0</v>
      </c>
    </row>
    <row r="45" spans="1:4" x14ac:dyDescent="0.25">
      <c r="A45" s="5" t="s">
        <v>235</v>
      </c>
      <c r="B45" s="5">
        <v>8007140810</v>
      </c>
      <c r="C45" s="5" t="s">
        <v>192</v>
      </c>
      <c r="D45" s="27" t="b">
        <f>IF(B45="", "",COUNTIF(RawData!L:L,B45)&gt;0)</f>
        <v>0</v>
      </c>
    </row>
    <row r="46" spans="1:4" x14ac:dyDescent="0.25">
      <c r="A46" s="5" t="s">
        <v>236</v>
      </c>
      <c r="B46" s="5">
        <v>8007140822</v>
      </c>
      <c r="C46" s="5" t="s">
        <v>192</v>
      </c>
      <c r="D46" s="27" t="b">
        <f>IF(B46="", "",COUNTIF(RawData!L:L,B46)&gt;0)</f>
        <v>0</v>
      </c>
    </row>
    <row r="47" spans="1:4" x14ac:dyDescent="0.25">
      <c r="A47" s="5" t="s">
        <v>237</v>
      </c>
      <c r="B47" s="5">
        <v>8007140834</v>
      </c>
      <c r="C47" s="5" t="s">
        <v>192</v>
      </c>
      <c r="D47" s="27" t="b">
        <f>IF(B47="", "",COUNTIF(RawData!L:L,B47)&gt;0)</f>
        <v>0</v>
      </c>
    </row>
    <row r="48" spans="1:4" x14ac:dyDescent="0.25">
      <c r="A48" s="5" t="s">
        <v>238</v>
      </c>
      <c r="B48" s="5">
        <v>8007140846</v>
      </c>
      <c r="C48" s="5" t="s">
        <v>192</v>
      </c>
      <c r="D48" s="27" t="b">
        <f>IF(B48="", "",COUNTIF(RawData!L:L,B48)&gt;0)</f>
        <v>0</v>
      </c>
    </row>
    <row r="49" spans="1:4" x14ac:dyDescent="0.25">
      <c r="A49" s="5" t="s">
        <v>239</v>
      </c>
      <c r="B49" s="5">
        <v>8007140858</v>
      </c>
      <c r="C49" s="5" t="s">
        <v>192</v>
      </c>
      <c r="D49" s="27" t="b">
        <f>IF(B49="", "",COUNTIF(RawData!L:L,B49)&gt;0)</f>
        <v>0</v>
      </c>
    </row>
    <row r="50" spans="1:4" x14ac:dyDescent="0.25">
      <c r="A50" s="5" t="s">
        <v>240</v>
      </c>
      <c r="B50" s="5">
        <v>8007140775</v>
      </c>
      <c r="C50" s="5" t="s">
        <v>192</v>
      </c>
      <c r="D50" s="27" t="b">
        <f>IF(B50="", "",COUNTIF(RawData!L:L,B50)&gt;0)</f>
        <v>0</v>
      </c>
    </row>
    <row r="51" spans="1:4" x14ac:dyDescent="0.25">
      <c r="A51" s="5" t="s">
        <v>241</v>
      </c>
      <c r="B51" s="5">
        <v>8007140787</v>
      </c>
      <c r="C51" s="5" t="s">
        <v>192</v>
      </c>
      <c r="D51" s="27" t="b">
        <f>IF(B51="", "",COUNTIF(RawData!L:L,B51)&gt;0)</f>
        <v>0</v>
      </c>
    </row>
    <row r="52" spans="1:4" x14ac:dyDescent="0.25">
      <c r="A52" s="5" t="s">
        <v>242</v>
      </c>
      <c r="B52" s="5">
        <v>8007140799</v>
      </c>
      <c r="C52" s="5" t="s">
        <v>192</v>
      </c>
      <c r="D52" s="27" t="b">
        <f>IF(B52="", "",COUNTIF(RawData!L:L,B52)&gt;0)</f>
        <v>0</v>
      </c>
    </row>
    <row r="53" spans="1:4" x14ac:dyDescent="0.25">
      <c r="A53" s="5" t="s">
        <v>243</v>
      </c>
      <c r="B53" s="5">
        <v>8007140811</v>
      </c>
      <c r="C53" s="5" t="s">
        <v>192</v>
      </c>
      <c r="D53" s="27" t="b">
        <f>IF(B53="", "",COUNTIF(RawData!L:L,B53)&gt;0)</f>
        <v>0</v>
      </c>
    </row>
    <row r="54" spans="1:4" x14ac:dyDescent="0.25">
      <c r="A54" s="5" t="s">
        <v>244</v>
      </c>
      <c r="B54" s="5">
        <v>8007140823</v>
      </c>
      <c r="C54" s="5" t="s">
        <v>192</v>
      </c>
      <c r="D54" s="27" t="b">
        <f>IF(B54="", "",COUNTIF(RawData!L:L,B54)&gt;0)</f>
        <v>0</v>
      </c>
    </row>
    <row r="55" spans="1:4" x14ac:dyDescent="0.25">
      <c r="A55" s="5" t="s">
        <v>245</v>
      </c>
      <c r="B55" s="5">
        <v>8007140835</v>
      </c>
      <c r="C55" s="5" t="s">
        <v>192</v>
      </c>
      <c r="D55" s="27" t="b">
        <f>IF(B55="", "",COUNTIF(RawData!L:L,B55)&gt;0)</f>
        <v>0</v>
      </c>
    </row>
    <row r="56" spans="1:4" x14ac:dyDescent="0.25">
      <c r="A56" s="5" t="s">
        <v>246</v>
      </c>
      <c r="B56" s="5">
        <v>8007140847</v>
      </c>
      <c r="C56" s="5" t="s">
        <v>192</v>
      </c>
      <c r="D56" s="27" t="b">
        <f>IF(B56="", "",COUNTIF(RawData!L:L,B56)&gt;0)</f>
        <v>0</v>
      </c>
    </row>
    <row r="57" spans="1:4" x14ac:dyDescent="0.25">
      <c r="A57" s="5" t="s">
        <v>247</v>
      </c>
      <c r="B57" s="5" t="s">
        <v>289</v>
      </c>
      <c r="C57" s="5" t="s">
        <v>192</v>
      </c>
      <c r="D57" s="27" t="b">
        <f>IF(B57="", "",COUNTIF(RawData!L:L,B57)&gt;0)</f>
        <v>0</v>
      </c>
    </row>
    <row r="58" spans="1:4" x14ac:dyDescent="0.25">
      <c r="A58" s="5" t="s">
        <v>248</v>
      </c>
      <c r="B58" s="5" t="s">
        <v>290</v>
      </c>
      <c r="C58" s="5" t="s">
        <v>192</v>
      </c>
      <c r="D58" s="27" t="b">
        <f>IF(B58="", "",COUNTIF(RawData!L:L,B58)&gt;0)</f>
        <v>0</v>
      </c>
    </row>
    <row r="59" spans="1:4" x14ac:dyDescent="0.25">
      <c r="A59" s="5" t="s">
        <v>249</v>
      </c>
      <c r="B59" s="5">
        <v>8007140788</v>
      </c>
      <c r="C59" s="5" t="s">
        <v>192</v>
      </c>
      <c r="D59" s="27" t="b">
        <f>IF(B59="", "",COUNTIF(RawData!L:L,B59)&gt;0)</f>
        <v>0</v>
      </c>
    </row>
    <row r="60" spans="1:4" x14ac:dyDescent="0.25">
      <c r="A60" s="5" t="s">
        <v>250</v>
      </c>
      <c r="B60" s="5">
        <v>8007140800</v>
      </c>
      <c r="C60" s="5" t="s">
        <v>192</v>
      </c>
      <c r="D60" s="27" t="b">
        <f>IF(B60="", "",COUNTIF(RawData!L:L,B60)&gt;0)</f>
        <v>0</v>
      </c>
    </row>
    <row r="61" spans="1:4" x14ac:dyDescent="0.25">
      <c r="A61" s="5" t="s">
        <v>251</v>
      </c>
      <c r="B61" s="5">
        <v>8007140812</v>
      </c>
      <c r="C61" s="5" t="s">
        <v>192</v>
      </c>
      <c r="D61" s="27" t="b">
        <f>IF(B61="", "",COUNTIF(RawData!L:L,B61)&gt;0)</f>
        <v>0</v>
      </c>
    </row>
    <row r="62" spans="1:4" x14ac:dyDescent="0.25">
      <c r="A62" s="5" t="s">
        <v>252</v>
      </c>
      <c r="B62" s="5">
        <v>8007140824</v>
      </c>
      <c r="C62" s="5" t="s">
        <v>192</v>
      </c>
      <c r="D62" s="27" t="b">
        <f>IF(B62="", "",COUNTIF(RawData!L:L,B62)&gt;0)</f>
        <v>0</v>
      </c>
    </row>
    <row r="63" spans="1:4" x14ac:dyDescent="0.25">
      <c r="A63" s="5" t="s">
        <v>253</v>
      </c>
      <c r="B63" s="5">
        <v>8007140836</v>
      </c>
      <c r="C63" s="5" t="s">
        <v>192</v>
      </c>
      <c r="D63" s="27" t="b">
        <f>IF(B63="", "",COUNTIF(RawData!L:L,B63)&gt;0)</f>
        <v>0</v>
      </c>
    </row>
    <row r="64" spans="1:4" x14ac:dyDescent="0.25">
      <c r="A64" s="5" t="s">
        <v>254</v>
      </c>
      <c r="B64" s="5">
        <v>8007140848</v>
      </c>
      <c r="C64" s="5" t="s">
        <v>192</v>
      </c>
      <c r="D64" s="27" t="b">
        <f>IF(B64="", "",COUNTIF(RawData!L:L,B64)&gt;0)</f>
        <v>0</v>
      </c>
    </row>
    <row r="65" spans="1:4" x14ac:dyDescent="0.25">
      <c r="A65" s="5" t="s">
        <v>255</v>
      </c>
      <c r="B65" s="5">
        <v>8007140860</v>
      </c>
      <c r="C65" s="5" t="s">
        <v>192</v>
      </c>
      <c r="D65" s="27" t="b">
        <f>IF(B65="", "",COUNTIF(RawData!L:L,B65)&gt;0)</f>
        <v>0</v>
      </c>
    </row>
    <row r="66" spans="1:4" x14ac:dyDescent="0.25">
      <c r="A66" s="5" t="s">
        <v>256</v>
      </c>
      <c r="B66" s="5">
        <v>8007140777</v>
      </c>
      <c r="C66" s="5" t="s">
        <v>192</v>
      </c>
      <c r="D66" s="27" t="b">
        <f>IF(B66="", "",COUNTIF(RawData!L:L,B66)&gt;0)</f>
        <v>0</v>
      </c>
    </row>
    <row r="67" spans="1:4" x14ac:dyDescent="0.25">
      <c r="A67" s="5" t="s">
        <v>257</v>
      </c>
      <c r="B67" s="5">
        <v>8007140789</v>
      </c>
      <c r="C67" s="5" t="s">
        <v>192</v>
      </c>
      <c r="D67" s="27" t="b">
        <f>IF(B67="", "",COUNTIF(RawData!L:L,B67)&gt;0)</f>
        <v>0</v>
      </c>
    </row>
    <row r="68" spans="1:4" x14ac:dyDescent="0.25">
      <c r="A68" s="5" t="s">
        <v>258</v>
      </c>
      <c r="B68" s="5">
        <v>8007140801</v>
      </c>
      <c r="C68" s="5" t="s">
        <v>192</v>
      </c>
      <c r="D68" s="27" t="b">
        <f>IF(B68="", "",COUNTIF(RawData!L:L,B68)&gt;0)</f>
        <v>0</v>
      </c>
    </row>
    <row r="69" spans="1:4" x14ac:dyDescent="0.25">
      <c r="A69" s="5" t="s">
        <v>259</v>
      </c>
      <c r="B69" s="5" t="s">
        <v>404</v>
      </c>
      <c r="C69" s="5" t="s">
        <v>192</v>
      </c>
      <c r="D69" s="27" t="b">
        <f>IF(B69="", "",COUNTIF(RawData!L:L,B69)&gt;0)</f>
        <v>0</v>
      </c>
    </row>
    <row r="70" spans="1:4" x14ac:dyDescent="0.25">
      <c r="A70" s="5" t="s">
        <v>260</v>
      </c>
      <c r="B70" s="5" t="s">
        <v>403</v>
      </c>
      <c r="C70" s="5" t="s">
        <v>192</v>
      </c>
      <c r="D70" s="27" t="b">
        <f>IF(B70="", "",COUNTIF(RawData!L:L,B70)&gt;0)</f>
        <v>0</v>
      </c>
    </row>
    <row r="71" spans="1:4" x14ac:dyDescent="0.25">
      <c r="A71" s="5" t="s">
        <v>261</v>
      </c>
      <c r="B71" s="5">
        <v>8007140837</v>
      </c>
      <c r="C71" s="5" t="s">
        <v>192</v>
      </c>
      <c r="D71" s="27" t="b">
        <f>IF(B71="", "",COUNTIF(RawData!L:L,B71)&gt;0)</f>
        <v>0</v>
      </c>
    </row>
    <row r="72" spans="1:4" x14ac:dyDescent="0.25">
      <c r="A72" s="5" t="s">
        <v>262</v>
      </c>
      <c r="B72" s="5">
        <v>8007140849</v>
      </c>
      <c r="C72" s="5" t="s">
        <v>192</v>
      </c>
      <c r="D72" s="27" t="b">
        <f>IF(B72="", "",COUNTIF(RawData!L:L,B72)&gt;0)</f>
        <v>0</v>
      </c>
    </row>
    <row r="73" spans="1:4" x14ac:dyDescent="0.25">
      <c r="A73" s="5" t="s">
        <v>263</v>
      </c>
      <c r="B73" s="5">
        <v>8007140861</v>
      </c>
      <c r="C73" s="5" t="s">
        <v>192</v>
      </c>
      <c r="D73" s="27" t="b">
        <f>IF(B73="", "",COUNTIF(RawData!L:L,B73)&gt;0)</f>
        <v>0</v>
      </c>
    </row>
    <row r="74" spans="1:4" x14ac:dyDescent="0.25">
      <c r="A74" s="5" t="s">
        <v>264</v>
      </c>
      <c r="B74" s="5">
        <v>8007140778</v>
      </c>
      <c r="C74" s="5" t="s">
        <v>192</v>
      </c>
      <c r="D74" s="27" t="b">
        <f>IF(B74="", "",COUNTIF(RawData!L:L,B74)&gt;0)</f>
        <v>0</v>
      </c>
    </row>
    <row r="75" spans="1:4" x14ac:dyDescent="0.25">
      <c r="A75" s="5" t="s">
        <v>265</v>
      </c>
      <c r="B75" s="5">
        <v>8007140790</v>
      </c>
      <c r="C75" s="5" t="s">
        <v>192</v>
      </c>
      <c r="D75" s="27" t="b">
        <f>IF(B75="", "",COUNTIF(RawData!L:L,B75)&gt;0)</f>
        <v>0</v>
      </c>
    </row>
    <row r="76" spans="1:4" x14ac:dyDescent="0.25">
      <c r="A76" s="5" t="s">
        <v>266</v>
      </c>
      <c r="B76" s="5">
        <v>8007140802</v>
      </c>
      <c r="C76" s="5" t="s">
        <v>192</v>
      </c>
      <c r="D76" s="27" t="b">
        <f>IF(B76="", "",COUNTIF(RawData!L:L,B76)&gt;0)</f>
        <v>0</v>
      </c>
    </row>
    <row r="77" spans="1:4" x14ac:dyDescent="0.25">
      <c r="A77" s="5" t="s">
        <v>267</v>
      </c>
      <c r="B77" s="5">
        <v>8007140814</v>
      </c>
      <c r="C77" s="5" t="s">
        <v>192</v>
      </c>
      <c r="D77" s="27" t="b">
        <f>IF(B77="", "",COUNTIF(RawData!L:L,B77)&gt;0)</f>
        <v>0</v>
      </c>
    </row>
    <row r="78" spans="1:4" x14ac:dyDescent="0.25">
      <c r="A78" s="5" t="s">
        <v>268</v>
      </c>
      <c r="B78" s="5">
        <v>8007140826</v>
      </c>
      <c r="C78" s="5" t="s">
        <v>192</v>
      </c>
      <c r="D78" s="27" t="b">
        <f>IF(B78="", "",COUNTIF(RawData!L:L,B78)&gt;0)</f>
        <v>0</v>
      </c>
    </row>
    <row r="79" spans="1:4" x14ac:dyDescent="0.25">
      <c r="A79" s="5" t="s">
        <v>269</v>
      </c>
      <c r="B79" s="5">
        <v>8007140838</v>
      </c>
      <c r="C79" s="5" t="s">
        <v>192</v>
      </c>
      <c r="D79" s="27" t="b">
        <f>IF(B79="", "",COUNTIF(RawData!L:L,B79)&gt;0)</f>
        <v>0</v>
      </c>
    </row>
    <row r="80" spans="1:4" x14ac:dyDescent="0.25">
      <c r="A80" s="5" t="s">
        <v>270</v>
      </c>
      <c r="B80" s="5">
        <v>8007140850</v>
      </c>
      <c r="C80" s="5" t="s">
        <v>192</v>
      </c>
      <c r="D80" s="27" t="b">
        <f>IF(B80="", "",COUNTIF(RawData!L:L,B80)&gt;0)</f>
        <v>0</v>
      </c>
    </row>
    <row r="81" spans="1:4" x14ac:dyDescent="0.25">
      <c r="A81" s="5" t="s">
        <v>271</v>
      </c>
      <c r="B81" s="5">
        <v>8007140862</v>
      </c>
      <c r="C81" s="5" t="s">
        <v>192</v>
      </c>
      <c r="D81" s="27" t="b">
        <f>IF(B81="", "",COUNTIF(RawData!L:L,B81)&gt;0)</f>
        <v>0</v>
      </c>
    </row>
    <row r="82" spans="1:4" x14ac:dyDescent="0.25">
      <c r="A82" s="5" t="s">
        <v>272</v>
      </c>
      <c r="B82" s="5">
        <v>8007140779</v>
      </c>
      <c r="C82" s="5" t="s">
        <v>192</v>
      </c>
      <c r="D82" s="27" t="b">
        <f>IF(B82="", "",COUNTIF(RawData!L:L,B82)&gt;0)</f>
        <v>0</v>
      </c>
    </row>
    <row r="83" spans="1:4" x14ac:dyDescent="0.25">
      <c r="A83" s="5" t="s">
        <v>273</v>
      </c>
      <c r="B83" s="5">
        <v>8007140791</v>
      </c>
      <c r="C83" s="5" t="s">
        <v>192</v>
      </c>
      <c r="D83" s="27" t="b">
        <f>IF(B83="", "",COUNTIF(RawData!L:L,B83)&gt;0)</f>
        <v>0</v>
      </c>
    </row>
    <row r="84" spans="1:4" x14ac:dyDescent="0.25">
      <c r="A84" s="5" t="s">
        <v>274</v>
      </c>
      <c r="B84" s="5">
        <v>8007140803</v>
      </c>
      <c r="C84" s="5" t="s">
        <v>192</v>
      </c>
      <c r="D84" s="27" t="b">
        <f>IF(B84="", "",COUNTIF(RawData!L:L,B84)&gt;0)</f>
        <v>0</v>
      </c>
    </row>
    <row r="85" spans="1:4" x14ac:dyDescent="0.25">
      <c r="A85" s="5" t="s">
        <v>275</v>
      </c>
      <c r="B85" s="5">
        <v>8007140815</v>
      </c>
      <c r="C85" s="5" t="s">
        <v>192</v>
      </c>
      <c r="D85" s="27" t="b">
        <f>IF(B85="", "",COUNTIF(RawData!L:L,B85)&gt;0)</f>
        <v>0</v>
      </c>
    </row>
    <row r="86" spans="1:4" x14ac:dyDescent="0.25">
      <c r="A86" s="5" t="s">
        <v>276</v>
      </c>
      <c r="B86" s="5">
        <v>8007140827</v>
      </c>
      <c r="C86" s="5" t="s">
        <v>192</v>
      </c>
      <c r="D86" s="27" t="b">
        <f>IF(B86="", "",COUNTIF(RawData!L:L,B86)&gt;0)</f>
        <v>0</v>
      </c>
    </row>
    <row r="87" spans="1:4" x14ac:dyDescent="0.25">
      <c r="A87" s="5" t="s">
        <v>277</v>
      </c>
      <c r="B87" s="5">
        <v>8007140839</v>
      </c>
      <c r="C87" s="5" t="s">
        <v>192</v>
      </c>
      <c r="D87" s="27" t="b">
        <f>IF(B87="", "",COUNTIF(RawData!L:L,B87)&gt;0)</f>
        <v>0</v>
      </c>
    </row>
    <row r="88" spans="1:4" x14ac:dyDescent="0.25">
      <c r="A88" s="5" t="s">
        <v>278</v>
      </c>
      <c r="B88" s="5">
        <v>8007140851</v>
      </c>
      <c r="C88" s="5" t="s">
        <v>192</v>
      </c>
      <c r="D88" s="27" t="b">
        <f>IF(B88="", "",COUNTIF(RawData!L:L,B88)&gt;0)</f>
        <v>0</v>
      </c>
    </row>
    <row r="89" spans="1:4" x14ac:dyDescent="0.25">
      <c r="A89" s="5" t="s">
        <v>279</v>
      </c>
      <c r="B89" s="5">
        <v>8007140863</v>
      </c>
      <c r="C89" s="5" t="s">
        <v>192</v>
      </c>
      <c r="D89" s="27" t="b">
        <f>IF(B89="", "",COUNTIF(RawData!L:L,B89)&gt;0)</f>
        <v>0</v>
      </c>
    </row>
    <row r="90" spans="1:4" x14ac:dyDescent="0.25">
      <c r="A90" s="5" t="s">
        <v>280</v>
      </c>
      <c r="B90" s="5">
        <v>8007140780</v>
      </c>
      <c r="C90" s="5" t="s">
        <v>192</v>
      </c>
      <c r="D90" s="27" t="b">
        <f>IF(B90="", "",COUNTIF(RawData!L:L,B90)&gt;0)</f>
        <v>0</v>
      </c>
    </row>
    <row r="91" spans="1:4" x14ac:dyDescent="0.25">
      <c r="A91" s="5" t="s">
        <v>281</v>
      </c>
      <c r="B91" s="5">
        <v>8007140792</v>
      </c>
      <c r="C91" s="5" t="s">
        <v>192</v>
      </c>
      <c r="D91" s="27" t="b">
        <f>IF(B91="", "",COUNTIF(RawData!L:L,B91)&gt;0)</f>
        <v>0</v>
      </c>
    </row>
    <row r="92" spans="1:4" x14ac:dyDescent="0.25">
      <c r="A92" s="5" t="s">
        <v>282</v>
      </c>
      <c r="B92" s="5">
        <v>8007140804</v>
      </c>
      <c r="C92" s="5" t="s">
        <v>192</v>
      </c>
      <c r="D92" s="27" t="b">
        <f>IF(B92="", "",COUNTIF(RawData!L:L,B92)&gt;0)</f>
        <v>0</v>
      </c>
    </row>
    <row r="93" spans="1:4" x14ac:dyDescent="0.25">
      <c r="A93" s="5" t="s">
        <v>283</v>
      </c>
      <c r="B93" s="5">
        <v>8007140816</v>
      </c>
      <c r="C93" s="5" t="s">
        <v>192</v>
      </c>
      <c r="D93" s="27" t="b">
        <f>IF(B93="", "",COUNTIF(RawData!L:L,B93)&gt;0)</f>
        <v>0</v>
      </c>
    </row>
    <row r="94" spans="1:4" x14ac:dyDescent="0.25">
      <c r="A94" s="5" t="s">
        <v>284</v>
      </c>
      <c r="B94" s="5">
        <v>8007140828</v>
      </c>
      <c r="C94" s="5" t="s">
        <v>192</v>
      </c>
      <c r="D94" s="27" t="b">
        <f>IF(B94="", "",COUNTIF(RawData!L:L,B94)&gt;0)</f>
        <v>0</v>
      </c>
    </row>
    <row r="95" spans="1:4" x14ac:dyDescent="0.25">
      <c r="A95" s="5" t="s">
        <v>285</v>
      </c>
      <c r="B95" s="5">
        <v>8007140840</v>
      </c>
      <c r="C95" s="5" t="s">
        <v>192</v>
      </c>
      <c r="D95" s="27" t="b">
        <f>IF(B95="", "",COUNTIF(RawData!L:L,B95)&gt;0)</f>
        <v>0</v>
      </c>
    </row>
    <row r="96" spans="1:4" x14ac:dyDescent="0.25">
      <c r="A96" s="5" t="s">
        <v>286</v>
      </c>
      <c r="B96" s="5">
        <v>8007140852</v>
      </c>
      <c r="C96" s="5" t="s">
        <v>192</v>
      </c>
      <c r="D96" s="27" t="b">
        <f>IF(B96="", "",COUNTIF(RawData!L:L,B96)&gt;0)</f>
        <v>0</v>
      </c>
    </row>
    <row r="97" spans="1:4" x14ac:dyDescent="0.25">
      <c r="A97" s="5" t="s">
        <v>287</v>
      </c>
      <c r="B97" s="5">
        <v>8007140864</v>
      </c>
      <c r="C97" s="5" t="s">
        <v>192</v>
      </c>
      <c r="D97" s="27" t="b">
        <f>IF(B97="", "",COUNTIF(RawData!L:L,B97)&gt;0)</f>
        <v>0</v>
      </c>
    </row>
    <row r="98" spans="1:4" x14ac:dyDescent="0.25">
      <c r="D98" s="27" t="str">
        <f>IF(B98="", "",COUNTIF(RawData!L:L,B98)&gt;0)</f>
        <v/>
      </c>
    </row>
    <row r="99" spans="1:4" x14ac:dyDescent="0.25">
      <c r="D99" s="27" t="str">
        <f>IF(B99="", "",COUNTIF(RawData!L:L,B99)&gt;0)</f>
        <v/>
      </c>
    </row>
    <row r="100" spans="1:4" x14ac:dyDescent="0.25">
      <c r="D100" s="27" t="str">
        <f>IF(B100="", "",COUNTIF(RawData!L:L,B100)&gt;0)</f>
        <v/>
      </c>
    </row>
    <row r="101" spans="1:4" x14ac:dyDescent="0.25">
      <c r="D101" s="27" t="str">
        <f>IF(B101="", "",COUNTIF(RawData!L:L,B101)&gt;0)</f>
        <v/>
      </c>
    </row>
    <row r="102" spans="1:4" x14ac:dyDescent="0.25">
      <c r="D102" s="27" t="str">
        <f>IF(B102="", "",COUNTIF(RawData!L:L,B102)&gt;0)</f>
        <v/>
      </c>
    </row>
    <row r="103" spans="1:4" x14ac:dyDescent="0.25">
      <c r="D103" s="27" t="str">
        <f>IF(B103="", "",COUNTIF(RawData!L:L,B103)&gt;0)</f>
        <v/>
      </c>
    </row>
    <row r="104" spans="1:4" x14ac:dyDescent="0.25">
      <c r="D104" s="27" t="str">
        <f>IF(B104="", "",COUNTIF(RawData!L:L,B104)&gt;0)</f>
        <v/>
      </c>
    </row>
    <row r="105" spans="1:4" x14ac:dyDescent="0.25">
      <c r="D105" s="27" t="str">
        <f>IF(B105="", "",COUNTIF(RawData!L:L,B105)&gt;0)</f>
        <v/>
      </c>
    </row>
    <row r="106" spans="1:4" x14ac:dyDescent="0.25">
      <c r="D106" s="27" t="str">
        <f>IF(B106="", "",COUNTIF(RawData!L:L,B106)&gt;0)</f>
        <v/>
      </c>
    </row>
    <row r="107" spans="1:4" x14ac:dyDescent="0.25">
      <c r="D107" s="27" t="str">
        <f>IF(B107="", "",COUNTIF(RawData!L:L,B107)&gt;0)</f>
        <v/>
      </c>
    </row>
    <row r="108" spans="1:4" x14ac:dyDescent="0.25">
      <c r="D108" s="27" t="str">
        <f>IF(B108="", "",COUNTIF(RawData!L:L,B108)&gt;0)</f>
        <v/>
      </c>
    </row>
    <row r="109" spans="1:4" x14ac:dyDescent="0.25">
      <c r="D109" s="27" t="str">
        <f>IF(B109="", "",COUNTIF(RawData!L:L,B109)&gt;0)</f>
        <v/>
      </c>
    </row>
    <row r="110" spans="1:4" x14ac:dyDescent="0.25">
      <c r="D110" s="27" t="str">
        <f>IF(B110="", "",COUNTIF(RawData!L:L,B110)&gt;0)</f>
        <v/>
      </c>
    </row>
    <row r="111" spans="1:4" x14ac:dyDescent="0.25">
      <c r="D111" s="27" t="str">
        <f>IF(B111="", "",COUNTIF(RawData!L:L,B111)&gt;0)</f>
        <v/>
      </c>
    </row>
    <row r="112" spans="1:4" x14ac:dyDescent="0.25">
      <c r="D112" s="27" t="str">
        <f>IF(B112="", "",COUNTIF(RawData!L:L,B112)&gt;0)</f>
        <v/>
      </c>
    </row>
    <row r="113" spans="4:4" x14ac:dyDescent="0.25">
      <c r="D113" s="27" t="str">
        <f>IF(B113="", "",COUNTIF(RawData!L:L,B113)&gt;0)</f>
        <v/>
      </c>
    </row>
    <row r="114" spans="4:4" x14ac:dyDescent="0.25">
      <c r="D114" s="27" t="str">
        <f>IF(B114="", "",COUNTIF(RawData!L:L,B114)&gt;0)</f>
        <v/>
      </c>
    </row>
    <row r="115" spans="4:4" x14ac:dyDescent="0.25">
      <c r="D115" s="27" t="str">
        <f>IF(B115="", "",COUNTIF(RawData!L:L,B115)&gt;0)</f>
        <v/>
      </c>
    </row>
    <row r="116" spans="4:4" x14ac:dyDescent="0.25">
      <c r="D116" s="27" t="str">
        <f>IF(B116="", "",COUNTIF(RawData!L:L,B116)&gt;0)</f>
        <v/>
      </c>
    </row>
    <row r="117" spans="4:4" x14ac:dyDescent="0.25">
      <c r="D117" s="27" t="str">
        <f>IF(B117="", "",COUNTIF(RawData!L:L,B117)&gt;0)</f>
        <v/>
      </c>
    </row>
    <row r="118" spans="4:4" x14ac:dyDescent="0.25">
      <c r="D118" s="27" t="str">
        <f>IF(B118="", "",COUNTIF(RawData!L:L,B118)&gt;0)</f>
        <v/>
      </c>
    </row>
    <row r="119" spans="4:4" x14ac:dyDescent="0.25">
      <c r="D119" s="27" t="str">
        <f>IF(B119="", "",COUNTIF(RawData!L:L,B119)&gt;0)</f>
        <v/>
      </c>
    </row>
    <row r="120" spans="4:4" x14ac:dyDescent="0.25">
      <c r="D120" s="27" t="str">
        <f>IF(B120="", "",COUNTIF(RawData!L:L,B120)&gt;0)</f>
        <v/>
      </c>
    </row>
    <row r="121" spans="4:4" x14ac:dyDescent="0.25">
      <c r="D121" s="27" t="str">
        <f>IF(B121="", "",COUNTIF(RawData!L:L,B121)&gt;0)</f>
        <v/>
      </c>
    </row>
    <row r="122" spans="4:4" x14ac:dyDescent="0.25">
      <c r="D122" s="27" t="str">
        <f>IF(B122="", "",COUNTIF(RawData!L:L,B122)&gt;0)</f>
        <v/>
      </c>
    </row>
    <row r="123" spans="4:4" x14ac:dyDescent="0.25">
      <c r="D123" s="27" t="str">
        <f>IF(B123="", "",COUNTIF(RawData!L:L,B123)&gt;0)</f>
        <v/>
      </c>
    </row>
    <row r="124" spans="4:4" x14ac:dyDescent="0.25">
      <c r="D124" s="27" t="str">
        <f>IF(B124="", "",COUNTIF(RawData!L:L,B124)&gt;0)</f>
        <v/>
      </c>
    </row>
    <row r="125" spans="4:4" x14ac:dyDescent="0.25">
      <c r="D125" s="27" t="str">
        <f>IF(B125="", "",COUNTIF(RawData!L:L,B125)&gt;0)</f>
        <v/>
      </c>
    </row>
    <row r="126" spans="4:4" x14ac:dyDescent="0.25">
      <c r="D126" s="27" t="str">
        <f>IF(B126="", "",COUNTIF(RawData!L:L,B126)&gt;0)</f>
        <v/>
      </c>
    </row>
    <row r="127" spans="4:4" x14ac:dyDescent="0.25">
      <c r="D127" s="27" t="str">
        <f>IF(B127="", "",COUNTIF(RawData!L:L,B127)&gt;0)</f>
        <v/>
      </c>
    </row>
    <row r="128" spans="4:4" x14ac:dyDescent="0.25">
      <c r="D128" s="27" t="str">
        <f>IF(B128="", "",COUNTIF(RawData!L:L,B128)&gt;0)</f>
        <v/>
      </c>
    </row>
    <row r="129" spans="4:4" x14ac:dyDescent="0.25">
      <c r="D129" s="27" t="str">
        <f>IF(B129="", "",COUNTIF(RawData!L:L,B129)&gt;0)</f>
        <v/>
      </c>
    </row>
    <row r="130" spans="4:4" x14ac:dyDescent="0.25">
      <c r="D130" s="27" t="str">
        <f>IF(B130="", "",COUNTIF(RawData!L:L,B130)&gt;0)</f>
        <v/>
      </c>
    </row>
    <row r="131" spans="4:4" x14ac:dyDescent="0.25">
      <c r="D131" s="27" t="str">
        <f>IF(B131="", "",COUNTIF(RawData!L:L,B131)&gt;0)</f>
        <v/>
      </c>
    </row>
    <row r="132" spans="4:4" x14ac:dyDescent="0.25">
      <c r="D132" s="27" t="str">
        <f>IF(B132="", "",COUNTIF(RawData!L:L,B132)&gt;0)</f>
        <v/>
      </c>
    </row>
    <row r="133" spans="4:4" x14ac:dyDescent="0.25">
      <c r="D133" s="27" t="str">
        <f>IF(B133="", "",COUNTIF(RawData!L:L,B133)&gt;0)</f>
        <v/>
      </c>
    </row>
    <row r="134" spans="4:4" x14ac:dyDescent="0.25">
      <c r="D134" s="27" t="str">
        <f>IF(B134="", "",COUNTIF(RawData!L:L,B134)&gt;0)</f>
        <v/>
      </c>
    </row>
    <row r="135" spans="4:4" x14ac:dyDescent="0.25">
      <c r="D135" s="27" t="str">
        <f>IF(B135="", "",COUNTIF(RawData!L:L,B135)&gt;0)</f>
        <v/>
      </c>
    </row>
    <row r="136" spans="4:4" x14ac:dyDescent="0.25">
      <c r="D136" s="27" t="str">
        <f>IF(B136="", "",COUNTIF(RawData!L:L,B136)&gt;0)</f>
        <v/>
      </c>
    </row>
    <row r="137" spans="4:4" x14ac:dyDescent="0.25">
      <c r="D137" s="27" t="str">
        <f>IF(B137="", "",COUNTIF(RawData!L:L,B137)&gt;0)</f>
        <v/>
      </c>
    </row>
    <row r="138" spans="4:4" x14ac:dyDescent="0.25">
      <c r="D138" s="27" t="str">
        <f>IF(B138="", "",COUNTIF(RawData!L:L,B138)&gt;0)</f>
        <v/>
      </c>
    </row>
    <row r="139" spans="4:4" x14ac:dyDescent="0.25">
      <c r="D139" s="27" t="str">
        <f>IF(B139="", "",COUNTIF(RawData!L:L,B139)&gt;0)</f>
        <v/>
      </c>
    </row>
    <row r="140" spans="4:4" x14ac:dyDescent="0.25">
      <c r="D140" s="27" t="str">
        <f>IF(B140="", "",COUNTIF(RawData!L:L,B140)&gt;0)</f>
        <v/>
      </c>
    </row>
    <row r="141" spans="4:4" x14ac:dyDescent="0.25">
      <c r="D141" s="27" t="str">
        <f>IF(B141="", "",COUNTIF(RawData!L:L,B141)&gt;0)</f>
        <v/>
      </c>
    </row>
    <row r="142" spans="4:4" x14ac:dyDescent="0.25">
      <c r="D142" s="27" t="str">
        <f>IF(B142="", "",COUNTIF(RawData!L:L,B142)&gt;0)</f>
        <v/>
      </c>
    </row>
    <row r="143" spans="4:4" x14ac:dyDescent="0.25">
      <c r="D143" s="27" t="str">
        <f>IF(B143="", "",COUNTIF(RawData!L:L,B143)&gt;0)</f>
        <v/>
      </c>
    </row>
    <row r="144" spans="4:4" x14ac:dyDescent="0.25">
      <c r="D144" s="27" t="str">
        <f>IF(B144="", "",COUNTIF(RawData!L:L,B144)&gt;0)</f>
        <v/>
      </c>
    </row>
    <row r="145" spans="4:4" x14ac:dyDescent="0.25">
      <c r="D145" s="27" t="str">
        <f>IF(B145="", "",COUNTIF(RawData!L:L,B145)&gt;0)</f>
        <v/>
      </c>
    </row>
    <row r="146" spans="4:4" x14ac:dyDescent="0.25">
      <c r="D146" s="27" t="str">
        <f>IF(B146="", "",COUNTIF(RawData!L:L,B146)&gt;0)</f>
        <v/>
      </c>
    </row>
    <row r="147" spans="4:4" x14ac:dyDescent="0.25">
      <c r="D147" s="27" t="str">
        <f>IF(B147="", "",COUNTIF(RawData!L:L,B147)&gt;0)</f>
        <v/>
      </c>
    </row>
    <row r="148" spans="4:4" x14ac:dyDescent="0.25">
      <c r="D148" s="27" t="str">
        <f>IF(B148="", "",COUNTIF(RawData!L:L,B148)&gt;0)</f>
        <v/>
      </c>
    </row>
    <row r="149" spans="4:4" x14ac:dyDescent="0.25">
      <c r="D149" s="27" t="str">
        <f>IF(B149="", "",COUNTIF(RawData!L:L,B149)&gt;0)</f>
        <v/>
      </c>
    </row>
    <row r="150" spans="4:4" x14ac:dyDescent="0.25">
      <c r="D150" s="27" t="str">
        <f>IF(B150="", "",COUNTIF(RawData!L:L,B150)&gt;0)</f>
        <v/>
      </c>
    </row>
    <row r="151" spans="4:4" x14ac:dyDescent="0.25">
      <c r="D151" s="27" t="str">
        <f>IF(B151="", "",COUNTIF(RawData!L:L,B151)&gt;0)</f>
        <v/>
      </c>
    </row>
    <row r="152" spans="4:4" x14ac:dyDescent="0.25">
      <c r="D152" s="27" t="str">
        <f>IF(B152="", "",COUNTIF(RawData!L:L,B152)&gt;0)</f>
        <v/>
      </c>
    </row>
    <row r="153" spans="4:4" x14ac:dyDescent="0.25">
      <c r="D153" s="27" t="str">
        <f>IF(B153="", "",COUNTIF(RawData!L:L,B153)&gt;0)</f>
        <v/>
      </c>
    </row>
    <row r="154" spans="4:4" x14ac:dyDescent="0.25">
      <c r="D154" s="27" t="str">
        <f>IF(B154="", "",COUNTIF(RawData!L:L,B154)&gt;0)</f>
        <v/>
      </c>
    </row>
    <row r="155" spans="4:4" x14ac:dyDescent="0.25">
      <c r="D155" s="27" t="str">
        <f>IF(B155="", "",COUNTIF(RawData!L:L,B155)&gt;0)</f>
        <v/>
      </c>
    </row>
    <row r="156" spans="4:4" x14ac:dyDescent="0.25">
      <c r="D156" s="27" t="str">
        <f>IF(B156="", "",COUNTIF(RawData!L:L,B156)&gt;0)</f>
        <v/>
      </c>
    </row>
    <row r="157" spans="4:4" x14ac:dyDescent="0.25">
      <c r="D157" s="27" t="str">
        <f>IF(B157="", "",COUNTIF(RawData!L:L,B157)&gt;0)</f>
        <v/>
      </c>
    </row>
    <row r="158" spans="4:4" x14ac:dyDescent="0.25">
      <c r="D158" s="27" t="str">
        <f>IF(B158="", "",COUNTIF(RawData!L:L,B158)&gt;0)</f>
        <v/>
      </c>
    </row>
    <row r="159" spans="4:4" x14ac:dyDescent="0.25">
      <c r="D159" s="27" t="str">
        <f>IF(B159="", "",COUNTIF(RawData!L:L,B159)&gt;0)</f>
        <v/>
      </c>
    </row>
    <row r="160" spans="4:4" x14ac:dyDescent="0.25">
      <c r="D160" s="27" t="str">
        <f>IF(B160="", "",COUNTIF(RawData!L:L,B160)&gt;0)</f>
        <v/>
      </c>
    </row>
    <row r="161" spans="4:4" x14ac:dyDescent="0.25">
      <c r="D161" s="27" t="str">
        <f>IF(B161="", "",COUNTIF(RawData!L:L,B161)&gt;0)</f>
        <v/>
      </c>
    </row>
    <row r="162" spans="4:4" x14ac:dyDescent="0.25">
      <c r="D162" s="27" t="str">
        <f>IF(B162="", "",COUNTIF(RawData!L:L,B162)&gt;0)</f>
        <v/>
      </c>
    </row>
    <row r="163" spans="4:4" x14ac:dyDescent="0.25">
      <c r="D163" s="27" t="str">
        <f>IF(B163="", "",COUNTIF(RawData!L:L,B163)&gt;0)</f>
        <v/>
      </c>
    </row>
    <row r="164" spans="4:4" x14ac:dyDescent="0.25">
      <c r="D164" s="27" t="str">
        <f>IF(B164="", "",COUNTIF(RawData!L:L,B164)&gt;0)</f>
        <v/>
      </c>
    </row>
    <row r="165" spans="4:4" x14ac:dyDescent="0.25">
      <c r="D165" s="27" t="str">
        <f>IF(B165="", "",COUNTIF(RawData!L:L,B165)&gt;0)</f>
        <v/>
      </c>
    </row>
    <row r="166" spans="4:4" x14ac:dyDescent="0.25">
      <c r="D166" s="27" t="str">
        <f>IF(B166="", "",COUNTIF(RawData!L:L,B166)&gt;0)</f>
        <v/>
      </c>
    </row>
    <row r="167" spans="4:4" x14ac:dyDescent="0.25">
      <c r="D167" s="27" t="str">
        <f>IF(B167="", "",COUNTIF(RawData!L:L,B167)&gt;0)</f>
        <v/>
      </c>
    </row>
    <row r="168" spans="4:4" x14ac:dyDescent="0.25">
      <c r="D168" s="27" t="str">
        <f>IF(B168="", "",COUNTIF(RawData!L:L,B168)&gt;0)</f>
        <v/>
      </c>
    </row>
    <row r="169" spans="4:4" x14ac:dyDescent="0.25">
      <c r="D169" s="27" t="str">
        <f>IF(B169="", "",COUNTIF(RawData!L:L,B169)&gt;0)</f>
        <v/>
      </c>
    </row>
    <row r="170" spans="4:4" x14ac:dyDescent="0.25">
      <c r="D170" s="27" t="str">
        <f>IF(B170="", "",COUNTIF(RawData!L:L,B170)&gt;0)</f>
        <v/>
      </c>
    </row>
    <row r="171" spans="4:4" x14ac:dyDescent="0.25">
      <c r="D171" s="27" t="str">
        <f>IF(B171="", "",COUNTIF(RawData!L:L,B171)&gt;0)</f>
        <v/>
      </c>
    </row>
    <row r="172" spans="4:4" x14ac:dyDescent="0.25">
      <c r="D172" s="27" t="str">
        <f>IF(B172="", "",COUNTIF(RawData!L:L,B172)&gt;0)</f>
        <v/>
      </c>
    </row>
    <row r="173" spans="4:4" x14ac:dyDescent="0.25">
      <c r="D173" s="27" t="str">
        <f>IF(B173="", "",COUNTIF(RawData!L:L,B173)&gt;0)</f>
        <v/>
      </c>
    </row>
    <row r="174" spans="4:4" x14ac:dyDescent="0.25">
      <c r="D174" s="27" t="str">
        <f>IF(B174="", "",COUNTIF(RawData!L:L,B174)&gt;0)</f>
        <v/>
      </c>
    </row>
    <row r="175" spans="4:4" x14ac:dyDescent="0.25">
      <c r="D175" s="27" t="str">
        <f>IF(B175="", "",COUNTIF(RawData!L:L,B175)&gt;0)</f>
        <v/>
      </c>
    </row>
    <row r="176" spans="4:4" x14ac:dyDescent="0.25">
      <c r="D176" s="27" t="str">
        <f>IF(B176="", "",COUNTIF(RawData!L:L,B176)&gt;0)</f>
        <v/>
      </c>
    </row>
    <row r="177" spans="4:4" x14ac:dyDescent="0.25">
      <c r="D177" s="27" t="str">
        <f>IF(B177="", "",COUNTIF(RawData!L:L,B177)&gt;0)</f>
        <v/>
      </c>
    </row>
    <row r="178" spans="4:4" x14ac:dyDescent="0.25">
      <c r="D178" s="27" t="str">
        <f>IF(B178="", "",COUNTIF(RawData!L:L,B178)&gt;0)</f>
        <v/>
      </c>
    </row>
    <row r="179" spans="4:4" x14ac:dyDescent="0.25">
      <c r="D179" s="27" t="str">
        <f>IF(B179="", "",COUNTIF(RawData!L:L,B179)&gt;0)</f>
        <v/>
      </c>
    </row>
    <row r="180" spans="4:4" x14ac:dyDescent="0.25">
      <c r="D180" s="27" t="str">
        <f>IF(B180="", "",COUNTIF(RawData!L:L,B180)&gt;0)</f>
        <v/>
      </c>
    </row>
    <row r="181" spans="4:4" x14ac:dyDescent="0.25">
      <c r="D181" s="27" t="str">
        <f>IF(B181="", "",COUNTIF(RawData!L:L,B181)&gt;0)</f>
        <v/>
      </c>
    </row>
    <row r="182" spans="4:4" x14ac:dyDescent="0.25">
      <c r="D182" s="27" t="str">
        <f>IF(B182="", "",COUNTIF(RawData!L:L,B182)&gt;0)</f>
        <v/>
      </c>
    </row>
    <row r="183" spans="4:4" x14ac:dyDescent="0.25">
      <c r="D183" s="27" t="str">
        <f>IF(B183="", "",COUNTIF(RawData!L:L,B183)&gt;0)</f>
        <v/>
      </c>
    </row>
    <row r="184" spans="4:4" x14ac:dyDescent="0.25">
      <c r="D184" s="27" t="str">
        <f>IF(B184="", "",COUNTIF(RawData!L:L,B184)&gt;0)</f>
        <v/>
      </c>
    </row>
    <row r="185" spans="4:4" x14ac:dyDescent="0.25">
      <c r="D185" s="27" t="str">
        <f>IF(B185="", "",COUNTIF(RawData!L:L,B185)&gt;0)</f>
        <v/>
      </c>
    </row>
    <row r="186" spans="4:4" x14ac:dyDescent="0.25">
      <c r="D186" s="27" t="str">
        <f>IF(B186="", "",COUNTIF(RawData!L:L,B186)&gt;0)</f>
        <v/>
      </c>
    </row>
    <row r="187" spans="4:4" x14ac:dyDescent="0.25">
      <c r="D187" s="27" t="str">
        <f>IF(B187="", "",COUNTIF(RawData!L:L,B187)&gt;0)</f>
        <v/>
      </c>
    </row>
    <row r="188" spans="4:4" x14ac:dyDescent="0.25">
      <c r="D188" s="27" t="str">
        <f>IF(B188="", "",COUNTIF(RawData!L:L,B188)&gt;0)</f>
        <v/>
      </c>
    </row>
    <row r="189" spans="4:4" x14ac:dyDescent="0.25">
      <c r="D189" s="27" t="str">
        <f>IF(B189="", "",COUNTIF(RawData!L:L,B189)&gt;0)</f>
        <v/>
      </c>
    </row>
    <row r="190" spans="4:4" x14ac:dyDescent="0.25">
      <c r="D190" s="27" t="str">
        <f>IF(B190="", "",COUNTIF(RawData!L:L,B190)&gt;0)</f>
        <v/>
      </c>
    </row>
    <row r="191" spans="4:4" x14ac:dyDescent="0.25">
      <c r="D191" s="27" t="str">
        <f>IF(B191="", "",COUNTIF(RawData!L:L,B191)&gt;0)</f>
        <v/>
      </c>
    </row>
    <row r="192" spans="4:4" x14ac:dyDescent="0.25">
      <c r="D192" s="27" t="str">
        <f>IF(B192="", "",COUNTIF(RawData!L:L,B192)&gt;0)</f>
        <v/>
      </c>
    </row>
    <row r="193" spans="4:4" x14ac:dyDescent="0.25">
      <c r="D193" s="27" t="str">
        <f>IF(B193="", "",COUNTIF(RawData!L:L,B193)&gt;0)</f>
        <v/>
      </c>
    </row>
    <row r="194" spans="4:4" x14ac:dyDescent="0.25">
      <c r="D194" s="27" t="str">
        <f>IF(B194="", "",COUNTIF(RawData!L:L,B194)&gt;0)</f>
        <v/>
      </c>
    </row>
    <row r="195" spans="4:4" x14ac:dyDescent="0.25">
      <c r="D195" s="27" t="str">
        <f>IF(B195="", "",COUNTIF(RawData!L:L,B195)&gt;0)</f>
        <v/>
      </c>
    </row>
    <row r="196" spans="4:4" x14ac:dyDescent="0.25">
      <c r="D196" s="27" t="str">
        <f>IF(B196="", "",COUNTIF(RawData!L:L,B196)&gt;0)</f>
        <v/>
      </c>
    </row>
    <row r="197" spans="4:4" x14ac:dyDescent="0.25">
      <c r="D197" s="27" t="str">
        <f>IF(B197="", "",COUNTIF(RawData!L:L,B197)&gt;0)</f>
        <v/>
      </c>
    </row>
    <row r="198" spans="4:4" x14ac:dyDescent="0.25">
      <c r="D198" s="27" t="str">
        <f>IF(B198="", "",COUNTIF(RawData!L:L,B198)&gt;0)</f>
        <v/>
      </c>
    </row>
    <row r="199" spans="4:4" x14ac:dyDescent="0.25">
      <c r="D199" s="27" t="str">
        <f>IF(B199="", "",COUNTIF(RawData!L:L,B199)&gt;0)</f>
        <v/>
      </c>
    </row>
    <row r="200" spans="4:4" x14ac:dyDescent="0.25">
      <c r="D200" s="27" t="str">
        <f>IF(B200="", "",COUNTIF(RawData!L:L,B200)&gt;0)</f>
        <v/>
      </c>
    </row>
    <row r="201" spans="4:4" x14ac:dyDescent="0.25">
      <c r="D201" s="27" t="str">
        <f>IF(B201="", "",COUNTIF(RawData!L:L,B201)&gt;0)</f>
        <v/>
      </c>
    </row>
    <row r="202" spans="4:4" x14ac:dyDescent="0.25">
      <c r="D202" s="27" t="str">
        <f>IF(B202="", "",COUNTIF(RawData!L:L,B202)&gt;0)</f>
        <v/>
      </c>
    </row>
    <row r="203" spans="4:4" x14ac:dyDescent="0.25">
      <c r="D203" s="27" t="str">
        <f>IF(B203="", "",COUNTIF(RawData!L:L,B203)&gt;0)</f>
        <v/>
      </c>
    </row>
    <row r="204" spans="4:4" x14ac:dyDescent="0.25">
      <c r="D204" s="27" t="str">
        <f>IF(B204="", "",COUNTIF(RawData!L:L,B204)&gt;0)</f>
        <v/>
      </c>
    </row>
    <row r="205" spans="4:4" x14ac:dyDescent="0.25">
      <c r="D205" s="27" t="str">
        <f>IF(B205="", "",COUNTIF(RawData!L:L,B205)&gt;0)</f>
        <v/>
      </c>
    </row>
    <row r="206" spans="4:4" x14ac:dyDescent="0.25">
      <c r="D206" s="27" t="str">
        <f>IF(B206="", "",COUNTIF(RawData!L:L,B206)&gt;0)</f>
        <v/>
      </c>
    </row>
    <row r="207" spans="4:4" x14ac:dyDescent="0.25">
      <c r="D207" s="27" t="str">
        <f>IF(B207="", "",COUNTIF(RawData!L:L,B207)&gt;0)</f>
        <v/>
      </c>
    </row>
    <row r="208" spans="4:4" x14ac:dyDescent="0.25">
      <c r="D208" s="27" t="str">
        <f>IF(B208="", "",COUNTIF(RawData!L:L,B208)&gt;0)</f>
        <v/>
      </c>
    </row>
    <row r="209" spans="4:4" x14ac:dyDescent="0.25">
      <c r="D209" s="27" t="str">
        <f>IF(B209="", "",COUNTIF(RawData!L:L,B209)&gt;0)</f>
        <v/>
      </c>
    </row>
    <row r="210" spans="4:4" x14ac:dyDescent="0.25">
      <c r="D210" s="27" t="str">
        <f>IF(B210="", "",COUNTIF(RawData!L:L,B210)&gt;0)</f>
        <v/>
      </c>
    </row>
  </sheetData>
  <autoFilter ref="A1:D1"/>
  <conditionalFormatting sqref="D1:D1048576 E1">
    <cfRule type="cellIs" dxfId="1" priority="1" operator="equal">
      <formula>TRUE</formula>
    </cfRule>
    <cfRule type="cellIs" dxfId="0" priority="2" operator="equal">
      <formula>FALSE</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30"/>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x14ac:dyDescent="0.25"/>
  <cols>
    <col min="1" max="1" width="24.28515625" bestFit="1" customWidth="1"/>
    <col min="2" max="2" width="19.5703125" customWidth="1"/>
    <col min="3" max="3" width="20.42578125" customWidth="1"/>
    <col min="4" max="4" width="31" bestFit="1" customWidth="1"/>
    <col min="5" max="6" width="15.85546875" customWidth="1"/>
    <col min="7" max="7" width="31" bestFit="1" customWidth="1"/>
    <col min="8" max="8" width="13.85546875" style="27" customWidth="1"/>
    <col min="9" max="9" width="31" bestFit="1" customWidth="1"/>
    <col min="11" max="11" width="14.5703125" customWidth="1"/>
  </cols>
  <sheetData>
    <row r="1" spans="1:18" ht="60" x14ac:dyDescent="0.25">
      <c r="A1" s="1" t="s">
        <v>11</v>
      </c>
      <c r="B1" s="1" t="s">
        <v>17</v>
      </c>
      <c r="C1" s="1" t="s">
        <v>13</v>
      </c>
      <c r="D1" s="1" t="s">
        <v>12</v>
      </c>
      <c r="E1" s="3" t="s">
        <v>18</v>
      </c>
      <c r="F1" s="3" t="s">
        <v>402</v>
      </c>
      <c r="G1" s="4" t="s">
        <v>110</v>
      </c>
      <c r="H1" s="7" t="s">
        <v>317</v>
      </c>
      <c r="I1" s="2" t="s">
        <v>106</v>
      </c>
      <c r="J1" s="7" t="s">
        <v>129</v>
      </c>
      <c r="K1" s="7" t="s">
        <v>169</v>
      </c>
    </row>
    <row r="2" spans="1:18" s="27" customFormat="1" x14ac:dyDescent="0.25">
      <c r="A2" s="27" t="s">
        <v>4</v>
      </c>
      <c r="B2" s="27" t="s">
        <v>10</v>
      </c>
      <c r="C2" s="28" t="str">
        <f>IFERROR(VLOOKUP(1,Dictionary!$F3:G11,2, FALSE),"")</f>
        <v>MoTrPAC</v>
      </c>
      <c r="D2" s="27">
        <v>1</v>
      </c>
      <c r="E2" s="27">
        <v>1</v>
      </c>
      <c r="F2" s="27" t="s">
        <v>320</v>
      </c>
      <c r="M2" s="31"/>
      <c r="N2" s="31"/>
      <c r="O2" s="31"/>
      <c r="P2" s="31"/>
      <c r="Q2" s="31"/>
      <c r="R2" s="31"/>
    </row>
    <row r="3" spans="1:18" s="27" customFormat="1" x14ac:dyDescent="0.25">
      <c r="A3" s="27" t="s">
        <v>407</v>
      </c>
      <c r="C3" s="28"/>
      <c r="M3" s="31"/>
      <c r="N3" s="31"/>
      <c r="O3" s="31"/>
      <c r="P3" s="31"/>
      <c r="Q3" s="31"/>
      <c r="R3" s="31"/>
    </row>
    <row r="4" spans="1:18" s="27" customFormat="1" x14ac:dyDescent="0.25">
      <c r="A4" s="27" t="s">
        <v>170</v>
      </c>
      <c r="C4" s="29">
        <f ca="1">TODAY()</f>
        <v>43174</v>
      </c>
      <c r="D4" s="27">
        <v>1</v>
      </c>
      <c r="J4" s="27">
        <v>1</v>
      </c>
    </row>
    <row r="5" spans="1:18" s="27" customFormat="1" x14ac:dyDescent="0.25">
      <c r="A5" s="27" t="s">
        <v>5</v>
      </c>
      <c r="B5" s="27" t="s">
        <v>10</v>
      </c>
      <c r="C5" s="28" t="str">
        <f>IFERROR(VLOOKUP(1,Dictionary!V3:W11,2, FALSE),"")</f>
        <v>Florida Hosp.</v>
      </c>
      <c r="D5" s="27">
        <v>1</v>
      </c>
      <c r="E5" s="27">
        <v>1</v>
      </c>
      <c r="F5" s="27" t="s">
        <v>322</v>
      </c>
    </row>
    <row r="6" spans="1:18" s="27" customFormat="1" x14ac:dyDescent="0.25">
      <c r="A6" s="27" t="s">
        <v>6</v>
      </c>
      <c r="B6" s="27" t="s">
        <v>10</v>
      </c>
      <c r="C6" s="28" t="str">
        <f>IFERROR(VLOOKUP(1,Dictionary!$R3:S100,2, FALSE),"")</f>
        <v>Human</v>
      </c>
      <c r="D6" s="27">
        <v>1</v>
      </c>
      <c r="E6" s="27">
        <v>1</v>
      </c>
      <c r="F6" s="27" t="s">
        <v>323</v>
      </c>
    </row>
    <row r="7" spans="1:18" s="27" customFormat="1" x14ac:dyDescent="0.25">
      <c r="A7" s="27" t="s">
        <v>173</v>
      </c>
      <c r="C7" s="28"/>
      <c r="I7" s="27" t="s">
        <v>175</v>
      </c>
    </row>
    <row r="8" spans="1:18" s="27" customFormat="1" x14ac:dyDescent="0.25">
      <c r="A8" s="27" t="s">
        <v>7</v>
      </c>
      <c r="B8" s="27" t="s">
        <v>10</v>
      </c>
      <c r="C8" s="28" t="str">
        <f>IFERROR(VLOOKUP(1,Dictionary!$B3:C100,2, FALSE),"")</f>
        <v>15m 15mPost</v>
      </c>
      <c r="D8" s="27" t="s">
        <v>176</v>
      </c>
      <c r="E8" s="27">
        <v>1</v>
      </c>
      <c r="F8" s="27" t="s">
        <v>324</v>
      </c>
      <c r="I8" s="27" t="s">
        <v>175</v>
      </c>
    </row>
    <row r="9" spans="1:18" s="27" customFormat="1" ht="15.75" customHeight="1" x14ac:dyDescent="0.25">
      <c r="A9" s="27" t="s">
        <v>171</v>
      </c>
      <c r="C9" s="30"/>
      <c r="I9" s="27" t="s">
        <v>175</v>
      </c>
    </row>
    <row r="10" spans="1:18" s="27" customFormat="1" ht="30" x14ac:dyDescent="0.25">
      <c r="A10" s="27" t="s">
        <v>162</v>
      </c>
      <c r="B10" s="27" t="s">
        <v>10</v>
      </c>
      <c r="C10" s="28" t="str">
        <f>IFERROR(VLOOKUP(1,Dictionary!$J3:K100,2, FALSE),"")</f>
        <v>MuP_ Muscle powder</v>
      </c>
      <c r="D10" s="27">
        <v>1</v>
      </c>
      <c r="E10" s="27">
        <v>1</v>
      </c>
      <c r="F10" s="27" t="s">
        <v>325</v>
      </c>
      <c r="I10" s="27" t="s">
        <v>175</v>
      </c>
    </row>
    <row r="11" spans="1:18" s="27" customFormat="1" x14ac:dyDescent="0.25">
      <c r="A11" s="27" t="s">
        <v>174</v>
      </c>
      <c r="C11" s="28"/>
      <c r="D11" s="27">
        <v>1</v>
      </c>
      <c r="G11" s="27" t="s">
        <v>175</v>
      </c>
      <c r="H11" s="27">
        <v>1</v>
      </c>
    </row>
    <row r="12" spans="1:18" s="27" customFormat="1" x14ac:dyDescent="0.25">
      <c r="A12" s="27" t="s">
        <v>172</v>
      </c>
      <c r="C12" s="28"/>
    </row>
    <row r="13" spans="1:18" s="27" customFormat="1" x14ac:dyDescent="0.25">
      <c r="A13" s="27" t="s">
        <v>177</v>
      </c>
      <c r="B13" s="27" t="s">
        <v>10</v>
      </c>
      <c r="C13" s="28"/>
      <c r="D13" s="27" t="s">
        <v>175</v>
      </c>
      <c r="E13" s="27">
        <v>1</v>
      </c>
      <c r="F13" s="27" t="s">
        <v>321</v>
      </c>
      <c r="G13" s="27">
        <v>1</v>
      </c>
      <c r="H13" s="27">
        <v>1</v>
      </c>
    </row>
    <row r="14" spans="1:18" s="27" customFormat="1" ht="30" x14ac:dyDescent="0.25">
      <c r="A14" s="27" t="s">
        <v>86</v>
      </c>
      <c r="B14" s="27" t="s">
        <v>10</v>
      </c>
      <c r="C14" s="28" t="str">
        <f>IFERROR(VLOOKUP(1,Dictionary!$N3:O100,2, FALSE),"")</f>
        <v>SSp_ Source Specimen</v>
      </c>
      <c r="D14" s="27">
        <v>1</v>
      </c>
      <c r="E14" s="27">
        <v>1</v>
      </c>
      <c r="F14" s="27" t="s">
        <v>326</v>
      </c>
    </row>
    <row r="15" spans="1:18" s="27" customFormat="1" x14ac:dyDescent="0.25">
      <c r="A15" s="27" t="s">
        <v>107</v>
      </c>
      <c r="B15" s="27" t="s">
        <v>10</v>
      </c>
      <c r="C15" s="28" t="str">
        <f>IFERROR(VLOOKUP(1,Dictionary!$AD3:AE100,2, FALSE),"")</f>
        <v>Received</v>
      </c>
      <c r="D15" s="27">
        <v>1</v>
      </c>
      <c r="E15" s="27">
        <v>1</v>
      </c>
      <c r="F15" s="27" t="s">
        <v>327</v>
      </c>
    </row>
    <row r="16" spans="1:18" s="27" customFormat="1" x14ac:dyDescent="0.25">
      <c r="A16" s="27" t="s">
        <v>8</v>
      </c>
      <c r="B16" s="27" t="s">
        <v>10</v>
      </c>
      <c r="C16" s="28" t="str">
        <f>IFERROR(VLOOKUP(1,Dictionary!$Z3:AA100,2, FALSE),"")</f>
        <v>Micronic tube</v>
      </c>
      <c r="D16" s="27">
        <v>1</v>
      </c>
      <c r="E16" s="27">
        <v>1</v>
      </c>
      <c r="F16" s="27" t="s">
        <v>328</v>
      </c>
    </row>
    <row r="17" spans="1:11" s="27" customFormat="1" x14ac:dyDescent="0.25">
      <c r="A17" s="27" t="s">
        <v>178</v>
      </c>
      <c r="C17" s="28"/>
      <c r="K17" s="27">
        <v>1</v>
      </c>
    </row>
    <row r="18" spans="1:11" s="27" customFormat="1" x14ac:dyDescent="0.25">
      <c r="A18" s="27" t="s">
        <v>179</v>
      </c>
      <c r="C18" s="28"/>
    </row>
    <row r="19" spans="1:11" s="27" customFormat="1" x14ac:dyDescent="0.25">
      <c r="A19" s="27" t="s">
        <v>180</v>
      </c>
      <c r="C19" s="28"/>
      <c r="K19" s="27">
        <v>1</v>
      </c>
    </row>
    <row r="20" spans="1:11" s="27" customFormat="1" x14ac:dyDescent="0.25">
      <c r="A20" s="27" t="s">
        <v>9</v>
      </c>
      <c r="B20" s="27" t="s">
        <v>10</v>
      </c>
      <c r="C20" s="28" t="str">
        <f>IFERROR(VLOOKUP(1,Dictionary!$AL3:AM100,2, FALSE),"")</f>
        <v>microliters</v>
      </c>
      <c r="E20" s="27">
        <v>1</v>
      </c>
      <c r="F20" s="27" t="s">
        <v>329</v>
      </c>
    </row>
    <row r="21" spans="1:11" s="27" customFormat="1" x14ac:dyDescent="0.25">
      <c r="A21" s="27" t="s">
        <v>181</v>
      </c>
      <c r="C21" s="27" t="str">
        <f>IFERROR(VLOOKUP(1,Dictionary!AT3:AU100,2, FALSE),"")</f>
        <v>14f_14193_Section1</v>
      </c>
      <c r="D21" s="27">
        <v>1</v>
      </c>
      <c r="E21" s="27">
        <v>1</v>
      </c>
      <c r="F21" s="27" t="s">
        <v>330</v>
      </c>
    </row>
    <row r="22" spans="1:11" s="27" customFormat="1" x14ac:dyDescent="0.25">
      <c r="A22" s="27" t="s">
        <v>182</v>
      </c>
      <c r="C22" s="28"/>
    </row>
    <row r="23" spans="1:11" s="27" customFormat="1" x14ac:dyDescent="0.25">
      <c r="A23" s="27" t="s">
        <v>183</v>
      </c>
      <c r="C23" s="28"/>
    </row>
    <row r="24" spans="1:11" s="27" customFormat="1" x14ac:dyDescent="0.25">
      <c r="A24" s="27" t="s">
        <v>184</v>
      </c>
      <c r="C24" s="28"/>
    </row>
    <row r="25" spans="1:11" s="27" customFormat="1" x14ac:dyDescent="0.25">
      <c r="A25" s="27" t="s">
        <v>185</v>
      </c>
      <c r="C25" s="28"/>
      <c r="I25" s="27">
        <v>1</v>
      </c>
    </row>
    <row r="26" spans="1:11" s="27" customFormat="1" x14ac:dyDescent="0.25">
      <c r="A26" s="27" t="s">
        <v>186</v>
      </c>
      <c r="I26" s="27">
        <v>1</v>
      </c>
    </row>
    <row r="27" spans="1:11" x14ac:dyDescent="0.25">
      <c r="A27" s="27"/>
    </row>
    <row r="28" spans="1:11" x14ac:dyDescent="0.25">
      <c r="A28" s="27"/>
    </row>
    <row r="29" spans="1:11" x14ac:dyDescent="0.25">
      <c r="A29" s="27"/>
    </row>
    <row r="30" spans="1:11" x14ac:dyDescent="0.25">
      <c r="A30"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33"/>
  <sheetViews>
    <sheetView topLeftCell="A4" workbookViewId="0">
      <selection activeCell="H17" sqref="H17"/>
    </sheetView>
  </sheetViews>
  <sheetFormatPr defaultRowHeight="15" x14ac:dyDescent="0.25"/>
  <cols>
    <col min="1" max="1" width="4.28515625" style="19" customWidth="1"/>
    <col min="2" max="2" width="17.5703125" style="8" bestFit="1" customWidth="1"/>
    <col min="3" max="3" width="42.28515625" style="9" customWidth="1"/>
  </cols>
  <sheetData>
    <row r="1" spans="1:7" ht="24" customHeight="1" x14ac:dyDescent="0.25">
      <c r="B1" s="44" t="s">
        <v>159</v>
      </c>
      <c r="C1" s="45"/>
    </row>
    <row r="2" spans="1:7" ht="30" x14ac:dyDescent="0.25">
      <c r="B2" s="10" t="s">
        <v>132</v>
      </c>
      <c r="C2" s="16" t="s">
        <v>133</v>
      </c>
    </row>
    <row r="3" spans="1:7" ht="30" x14ac:dyDescent="0.25">
      <c r="B3" s="11" t="s">
        <v>0</v>
      </c>
      <c r="C3" s="16" t="s">
        <v>130</v>
      </c>
    </row>
    <row r="4" spans="1:7" ht="30" x14ac:dyDescent="0.25">
      <c r="B4" s="12" t="s">
        <v>87</v>
      </c>
      <c r="C4" s="16" t="s">
        <v>131</v>
      </c>
    </row>
    <row r="5" spans="1:7" ht="30" x14ac:dyDescent="0.25">
      <c r="B5" s="13" t="s">
        <v>10</v>
      </c>
      <c r="C5" s="16" t="s">
        <v>134</v>
      </c>
    </row>
    <row r="6" spans="1:7" x14ac:dyDescent="0.25">
      <c r="B6" s="14"/>
      <c r="C6" s="16" t="s">
        <v>135</v>
      </c>
    </row>
    <row r="7" spans="1:7" x14ac:dyDescent="0.25">
      <c r="B7" s="21" t="s">
        <v>139</v>
      </c>
      <c r="C7" s="18" t="s">
        <v>160</v>
      </c>
    </row>
    <row r="8" spans="1:7" ht="30.75" thickBot="1" x14ac:dyDescent="0.3">
      <c r="B8" s="15"/>
      <c r="C8" s="17" t="s">
        <v>136</v>
      </c>
    </row>
    <row r="10" spans="1:7" ht="23.25" x14ac:dyDescent="0.25">
      <c r="A10" s="46" t="s">
        <v>137</v>
      </c>
      <c r="B10" s="46"/>
      <c r="C10" s="46"/>
      <c r="D10" s="46"/>
      <c r="E10" s="46"/>
      <c r="F10" s="46"/>
      <c r="G10" s="46"/>
    </row>
    <row r="11" spans="1:7" ht="18.75" x14ac:dyDescent="0.25">
      <c r="A11" s="20">
        <v>1</v>
      </c>
      <c r="B11" s="24" t="s">
        <v>144</v>
      </c>
    </row>
    <row r="12" spans="1:7" x14ac:dyDescent="0.25">
      <c r="A12" s="19">
        <v>1.1000000000000001</v>
      </c>
      <c r="B12" s="49" t="s">
        <v>140</v>
      </c>
      <c r="C12" s="49"/>
      <c r="D12" s="49"/>
      <c r="E12" s="49"/>
      <c r="F12" s="49"/>
      <c r="G12" s="49"/>
    </row>
    <row r="13" spans="1:7" ht="6.75" customHeight="1" x14ac:dyDescent="0.25">
      <c r="B13" s="23"/>
      <c r="C13" s="23"/>
      <c r="D13" s="23"/>
      <c r="E13" s="23"/>
      <c r="F13" s="23"/>
      <c r="G13" s="23"/>
    </row>
    <row r="14" spans="1:7" x14ac:dyDescent="0.25">
      <c r="B14" s="8" t="s">
        <v>150</v>
      </c>
    </row>
    <row r="25" spans="1:7" ht="19.5" customHeight="1" x14ac:dyDescent="0.25"/>
    <row r="26" spans="1:7" ht="18.75" x14ac:dyDescent="0.25">
      <c r="A26" s="20">
        <v>2</v>
      </c>
      <c r="B26" s="48" t="s">
        <v>146</v>
      </c>
      <c r="C26" s="48"/>
      <c r="D26" s="48"/>
      <c r="E26" s="48"/>
      <c r="F26" s="48"/>
      <c r="G26" s="48"/>
    </row>
    <row r="27" spans="1:7" x14ac:dyDescent="0.25">
      <c r="A27" s="19">
        <v>2.1</v>
      </c>
      <c r="B27" s="47" t="s">
        <v>138</v>
      </c>
      <c r="C27" s="47"/>
      <c r="D27" s="47"/>
      <c r="E27" s="47"/>
      <c r="F27" s="47"/>
      <c r="G27" s="47"/>
    </row>
    <row r="28" spans="1:7" ht="51.75" customHeight="1" x14ac:dyDescent="0.25">
      <c r="A28" s="19">
        <v>2.2000000000000002</v>
      </c>
      <c r="B28" s="51" t="s">
        <v>161</v>
      </c>
      <c r="C28" s="47"/>
      <c r="D28" s="47"/>
      <c r="E28" s="47"/>
      <c r="F28" s="47"/>
      <c r="G28" s="47"/>
    </row>
    <row r="29" spans="1:7" ht="66.75" customHeight="1" x14ac:dyDescent="0.25">
      <c r="A29" s="19">
        <v>2.2999999999999998</v>
      </c>
      <c r="B29" s="51" t="s">
        <v>145</v>
      </c>
      <c r="C29" s="51"/>
      <c r="D29" s="51"/>
      <c r="E29" s="51"/>
      <c r="F29" s="51"/>
      <c r="G29" s="51"/>
    </row>
    <row r="30" spans="1:7" ht="69" customHeight="1" x14ac:dyDescent="0.25">
      <c r="A30" s="19">
        <v>2.4</v>
      </c>
      <c r="B30" s="51" t="s">
        <v>151</v>
      </c>
      <c r="C30" s="51"/>
      <c r="D30" s="51"/>
      <c r="E30" s="51"/>
      <c r="F30" s="51"/>
      <c r="G30" s="51"/>
    </row>
    <row r="31" spans="1:7" ht="6.75" customHeight="1" x14ac:dyDescent="0.25">
      <c r="B31" s="22"/>
      <c r="C31" s="22"/>
      <c r="D31" s="22"/>
      <c r="E31" s="22"/>
      <c r="F31" s="22"/>
      <c r="G31" s="22"/>
    </row>
    <row r="32" spans="1:7" x14ac:dyDescent="0.25">
      <c r="B32" s="8" t="s">
        <v>142</v>
      </c>
    </row>
    <row r="52" spans="2:2" x14ac:dyDescent="0.25">
      <c r="B52" s="8" t="s">
        <v>141</v>
      </c>
    </row>
    <row r="79" spans="2:2" x14ac:dyDescent="0.25">
      <c r="B79" s="8" t="s">
        <v>143</v>
      </c>
    </row>
    <row r="106" spans="1:7" ht="69.75" customHeight="1" x14ac:dyDescent="0.25">
      <c r="A106" s="19">
        <v>2.5</v>
      </c>
      <c r="B106" s="51" t="s">
        <v>152</v>
      </c>
      <c r="C106" s="51"/>
      <c r="D106" s="51"/>
      <c r="E106" s="51"/>
      <c r="F106" s="51"/>
      <c r="G106" s="51"/>
    </row>
    <row r="107" spans="1:7" ht="191.25" customHeight="1" x14ac:dyDescent="0.25"/>
    <row r="108" spans="1:7" ht="42" customHeight="1" x14ac:dyDescent="0.25">
      <c r="A108" s="20">
        <v>3</v>
      </c>
      <c r="B108" s="48" t="s">
        <v>147</v>
      </c>
      <c r="C108" s="48"/>
      <c r="D108" s="48"/>
      <c r="E108" s="48"/>
      <c r="F108" s="48"/>
      <c r="G108" s="48"/>
    </row>
    <row r="109" spans="1:7" ht="33.75" customHeight="1" x14ac:dyDescent="0.25">
      <c r="A109" s="19">
        <v>3.1</v>
      </c>
      <c r="B109" s="51" t="s">
        <v>149</v>
      </c>
      <c r="C109" s="51"/>
      <c r="D109" s="51"/>
      <c r="E109" s="51"/>
      <c r="F109" s="51"/>
      <c r="G109" s="51"/>
    </row>
    <row r="110" spans="1:7" ht="31.5" customHeight="1" x14ac:dyDescent="0.25">
      <c r="A110" s="19">
        <v>3.2</v>
      </c>
      <c r="B110" s="51" t="s">
        <v>153</v>
      </c>
      <c r="C110" s="51"/>
      <c r="D110" s="51"/>
      <c r="E110" s="51"/>
      <c r="F110" s="51"/>
      <c r="G110" s="51"/>
    </row>
    <row r="112" spans="1:7" x14ac:dyDescent="0.25">
      <c r="B112" s="8" t="s">
        <v>148</v>
      </c>
    </row>
    <row r="129" spans="1:7" ht="50.25" customHeight="1" x14ac:dyDescent="0.25">
      <c r="A129" s="19">
        <v>3.3</v>
      </c>
      <c r="B129" s="50" t="s">
        <v>154</v>
      </c>
      <c r="C129" s="50"/>
      <c r="D129" s="50"/>
      <c r="E129" s="50"/>
      <c r="F129" s="50"/>
      <c r="G129" s="50"/>
    </row>
    <row r="130" spans="1:7" ht="47.25" customHeight="1" x14ac:dyDescent="0.25">
      <c r="A130" s="19">
        <v>3.4</v>
      </c>
      <c r="B130" s="50" t="s">
        <v>155</v>
      </c>
      <c r="C130" s="50"/>
      <c r="D130" s="50"/>
      <c r="E130" s="50"/>
      <c r="F130" s="50"/>
      <c r="G130" s="50"/>
    </row>
    <row r="131" spans="1:7" ht="51" customHeight="1" x14ac:dyDescent="0.25">
      <c r="A131" s="19">
        <v>3.5</v>
      </c>
      <c r="B131" s="50" t="s">
        <v>156</v>
      </c>
      <c r="C131" s="50"/>
      <c r="D131" s="50"/>
      <c r="E131" s="50"/>
      <c r="F131" s="50"/>
      <c r="G131" s="50"/>
    </row>
    <row r="132" spans="1:7" ht="63.75" customHeight="1" x14ac:dyDescent="0.25">
      <c r="A132" s="19">
        <v>3.6</v>
      </c>
      <c r="B132" s="50" t="s">
        <v>157</v>
      </c>
      <c r="C132" s="50"/>
      <c r="D132" s="50"/>
      <c r="E132" s="50"/>
      <c r="F132" s="50"/>
      <c r="G132" s="50"/>
    </row>
    <row r="133" spans="1:7" ht="34.5" customHeight="1" x14ac:dyDescent="0.25">
      <c r="A133" s="19">
        <v>3.7</v>
      </c>
      <c r="B133" s="50" t="s">
        <v>158</v>
      </c>
      <c r="C133" s="50"/>
      <c r="D133" s="50"/>
      <c r="E133" s="50"/>
      <c r="F133" s="50"/>
      <c r="G133" s="50"/>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RawData</vt:lpstr>
      <vt:lpstr>Validated</vt:lpstr>
      <vt:lpstr>Dictionary</vt:lpstr>
      <vt:lpstr>FlatbedScans</vt:lpstr>
      <vt:lpstr>FieldSettings</vt:lpstr>
      <vt:lpstr>Legend &amp; Instructions</vt:lpstr>
      <vt:lpstr>Dictionary!temp1</vt:lpstr>
      <vt:lpstr>Dictionary!temp1_2</vt:lpstr>
      <vt:lpstr>Dictionary!temp1_3</vt:lpstr>
      <vt:lpstr>Dictionary!temp1_4</vt:lpstr>
      <vt:lpstr>Dictionary!temp1_5</vt:lpstr>
      <vt:lpstr>Dictionary!temp1_6</vt:lpstr>
      <vt:lpstr>Dictionary!temp1_7</vt:lpstr>
      <vt:lpstr>Dictionary!temp1_8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2018-03-15T19:42:08Z</dcterms:modified>
</cp:coreProperties>
</file>