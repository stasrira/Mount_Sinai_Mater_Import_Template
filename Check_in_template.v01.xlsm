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29" codeName="{54D0D2CB-4C12-4D6E-6EDF-ACB5E8E520A3}"/>
  <workbookPr codeName="ThisWorkbook" defaultThemeVersion="166925"/>
  <mc:AlternateContent xmlns:mc="http://schemas.openxmlformats.org/markup-compatibility/2006">
    <mc:Choice Requires="x15">
      <x15ac:absPath xmlns:x15ac="http://schemas.microsoft.com/office/spreadsheetml/2010/11/ac" url="E:\MounSinai\FreezerWork\FW Import templates\CodeBehind\"/>
    </mc:Choice>
  </mc:AlternateContent>
  <xr:revisionPtr revIDLastSave="0" documentId="13_ncr:1_{9C6A58CC-B5CC-41CE-91DE-6EB10B05F22A}" xr6:coauthVersionLast="43" xr6:coauthVersionMax="43" xr10:uidLastSave="{00000000-0000-0000-0000-000000000000}"/>
  <bookViews>
    <workbookView xWindow="-120" yWindow="-120" windowWidth="29040" windowHeight="15840" activeTab="4" xr2:uid="{00000000-000D-0000-FFFF-FFFF00000000}"/>
  </bookViews>
  <sheets>
    <sheet name="RawData" sheetId="1" r:id="rId1"/>
    <sheet name="Validated" sheetId="2" r:id="rId2"/>
    <sheet name="Dictionary" sheetId="3" r:id="rId3"/>
    <sheet name="FlatbedScans" sheetId="10" r:id="rId4"/>
    <sheet name="FieldSettings" sheetId="5" r:id="rId5"/>
    <sheet name="Configuration" sheetId="9" state="hidden" r:id="rId6"/>
    <sheet name="SQL_Update" sheetId="12" state="hidden" r:id="rId7"/>
    <sheet name="Legend &amp; Instructions" sheetId="7" r:id="rId8"/>
  </sheets>
  <functionGroups builtInGroupCount="19"/>
  <definedNames>
    <definedName name="_xlnm._FilterDatabase" localSheetId="3" hidden="1">FlatbedScans!$B$1:$B$79</definedName>
    <definedName name="_xlnm.Extract" localSheetId="2">Dictionary!#REF!</definedName>
    <definedName name="temp1_10" localSheetId="2">Dictionary!$I$37:$K$56</definedName>
    <definedName name="temp1_11" localSheetId="2">Dictionary!$I$37:$K$56</definedName>
    <definedName name="temp1_12" localSheetId="2">Dictionary!$I$37:$K$56</definedName>
    <definedName name="temp1_2" localSheetId="2">Dictionary!$I$37:$K$56</definedName>
    <definedName name="temp1_6" localSheetId="2">Dictionary!$I$37:$K$56</definedName>
    <definedName name="temp1_7" localSheetId="2">Dictionary!$I$37:$K$56</definedName>
    <definedName name="temp1_8" localSheetId="2">Dictionary!$I$37:$K$56</definedName>
    <definedName name="temp1_9" localSheetId="2">Dictionary!$I$37:$K$56</definedName>
  </definedNames>
  <calcPr calcId="18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C10" i="5" l="1"/>
  <c r="C15" i="5"/>
  <c r="C14" i="5"/>
  <c r="C11" i="5"/>
  <c r="C9" i="5"/>
  <c r="C6" i="5"/>
  <c r="E303" i="10" l="1"/>
  <c r="E302" i="10"/>
  <c r="E301" i="10"/>
  <c r="E300" i="10"/>
  <c r="E299" i="10"/>
  <c r="E298" i="10"/>
  <c r="E297" i="10"/>
  <c r="E296" i="10"/>
  <c r="E295" i="10"/>
  <c r="E294" i="10"/>
  <c r="E293" i="10"/>
  <c r="E292" i="10"/>
  <c r="E291" i="10"/>
  <c r="E290" i="10"/>
  <c r="E289" i="10"/>
  <c r="E288" i="10"/>
  <c r="E287" i="10"/>
  <c r="E286" i="10"/>
  <c r="E285" i="10"/>
  <c r="E284" i="10"/>
  <c r="E283" i="10"/>
  <c r="E282" i="10"/>
  <c r="E281" i="10"/>
  <c r="E280" i="10"/>
  <c r="E279" i="10"/>
  <c r="E278" i="10"/>
  <c r="E277" i="10"/>
  <c r="E276" i="10"/>
  <c r="E275" i="10"/>
  <c r="E274" i="10"/>
  <c r="E273" i="10"/>
  <c r="E272" i="10"/>
  <c r="E271" i="10"/>
  <c r="E270" i="10"/>
  <c r="E269" i="10"/>
  <c r="E268" i="10"/>
  <c r="E267" i="10"/>
  <c r="E266" i="10"/>
  <c r="E265" i="10"/>
  <c r="E264" i="10"/>
  <c r="E263" i="10"/>
  <c r="E262" i="10"/>
  <c r="E261" i="10"/>
  <c r="E260" i="10"/>
  <c r="E259" i="10"/>
  <c r="E258" i="10"/>
  <c r="E257" i="10"/>
  <c r="E256" i="10"/>
  <c r="E255" i="10"/>
  <c r="E254" i="10"/>
  <c r="E253" i="10"/>
  <c r="E252" i="10"/>
  <c r="E251" i="10"/>
  <c r="E250" i="10"/>
  <c r="E249" i="10"/>
  <c r="E248" i="10"/>
  <c r="E247" i="10"/>
  <c r="E246" i="10"/>
  <c r="E245" i="10"/>
  <c r="E244" i="10"/>
  <c r="E243" i="10"/>
  <c r="E242" i="10"/>
  <c r="E241" i="10"/>
  <c r="E240" i="10"/>
  <c r="E239" i="10"/>
  <c r="E238" i="10"/>
  <c r="E237" i="10"/>
  <c r="E236" i="10"/>
  <c r="E235" i="10"/>
  <c r="E234" i="10"/>
  <c r="E233" i="10"/>
  <c r="E232" i="10"/>
  <c r="E231" i="10"/>
  <c r="E230" i="10"/>
  <c r="E229" i="10"/>
  <c r="E228" i="10"/>
  <c r="E227" i="10"/>
  <c r="E226" i="10"/>
  <c r="E225" i="10"/>
  <c r="E224" i="10"/>
  <c r="E223" i="10"/>
  <c r="E222" i="10"/>
  <c r="E221" i="10"/>
  <c r="E220" i="10"/>
  <c r="E219" i="10"/>
  <c r="E218" i="10"/>
  <c r="E217" i="10"/>
  <c r="E216" i="10"/>
  <c r="E215" i="10"/>
  <c r="E214" i="10"/>
  <c r="E213" i="10"/>
  <c r="E212" i="10"/>
  <c r="E211" i="10"/>
  <c r="E210" i="10"/>
  <c r="E209" i="10"/>
  <c r="E208" i="10"/>
  <c r="E207" i="10"/>
  <c r="E206" i="10"/>
  <c r="E205" i="10"/>
  <c r="E204" i="10"/>
  <c r="E203" i="10"/>
  <c r="E202" i="10"/>
  <c r="E201" i="10"/>
  <c r="E200" i="10"/>
  <c r="E199" i="10"/>
  <c r="E198" i="10"/>
  <c r="E197" i="10"/>
  <c r="E196" i="10"/>
  <c r="E195" i="10"/>
  <c r="E194" i="10"/>
  <c r="E193" i="10"/>
  <c r="E192" i="10"/>
  <c r="E191" i="10"/>
  <c r="E190" i="10"/>
  <c r="E189" i="10"/>
  <c r="E188" i="10"/>
  <c r="E187" i="10"/>
  <c r="E186" i="10"/>
  <c r="E185" i="10"/>
  <c r="E184" i="10"/>
  <c r="E183" i="10"/>
  <c r="E182" i="10"/>
  <c r="E181" i="10"/>
  <c r="E180" i="10"/>
  <c r="E179" i="10"/>
  <c r="E178" i="10"/>
  <c r="E177" i="10"/>
  <c r="E176" i="10"/>
  <c r="E175" i="10"/>
  <c r="E174" i="10"/>
  <c r="E173" i="10"/>
  <c r="E172" i="10"/>
  <c r="E171" i="10"/>
  <c r="E170" i="10"/>
  <c r="E169" i="10"/>
  <c r="E168" i="10"/>
  <c r="E167" i="10"/>
  <c r="E166" i="10"/>
  <c r="E165" i="10"/>
  <c r="E164" i="10"/>
  <c r="E163" i="10"/>
  <c r="E162" i="10"/>
  <c r="E161" i="10"/>
  <c r="E160" i="10"/>
  <c r="E159" i="10"/>
  <c r="E158" i="10"/>
  <c r="E157" i="10"/>
  <c r="E156" i="10"/>
  <c r="E155" i="10"/>
  <c r="E154" i="10"/>
  <c r="E153" i="10"/>
  <c r="E152" i="10"/>
  <c r="E151" i="10"/>
  <c r="E150" i="10"/>
  <c r="E149" i="10"/>
  <c r="E148" i="10"/>
  <c r="E147" i="10"/>
  <c r="E146" i="10"/>
  <c r="E145" i="10"/>
  <c r="E144" i="10"/>
  <c r="E143" i="10"/>
  <c r="E142" i="10"/>
  <c r="E141" i="10"/>
  <c r="E140" i="10"/>
  <c r="E139" i="10"/>
  <c r="E138" i="10"/>
  <c r="E137" i="10"/>
  <c r="E136" i="10"/>
  <c r="E135" i="10"/>
  <c r="E134" i="10"/>
  <c r="E133" i="10"/>
  <c r="E132" i="10"/>
  <c r="E131" i="10"/>
  <c r="E130" i="10"/>
  <c r="E129" i="10"/>
  <c r="E128" i="10"/>
  <c r="E127" i="10"/>
  <c r="E126" i="10"/>
  <c r="E125" i="10"/>
  <c r="E124" i="10"/>
  <c r="E123" i="10"/>
  <c r="E122" i="10"/>
  <c r="E121" i="10"/>
  <c r="E120" i="10"/>
  <c r="E119" i="10"/>
  <c r="E118" i="10"/>
  <c r="E117" i="10"/>
  <c r="E116" i="10"/>
  <c r="E115" i="10"/>
  <c r="E114" i="10"/>
  <c r="E113" i="10"/>
  <c r="E112" i="10"/>
  <c r="E111" i="10"/>
  <c r="E110" i="10"/>
  <c r="E109" i="10"/>
  <c r="E108" i="10"/>
  <c r="E107" i="10"/>
  <c r="E106" i="10"/>
  <c r="E105" i="10"/>
  <c r="E104" i="10"/>
  <c r="E103" i="10"/>
  <c r="E102" i="10"/>
  <c r="E101" i="10"/>
  <c r="E100" i="10"/>
  <c r="E99" i="10"/>
  <c r="E98" i="10"/>
  <c r="E97" i="10"/>
  <c r="E96" i="10"/>
  <c r="E95" i="10"/>
  <c r="E94" i="10"/>
  <c r="E93" i="10"/>
  <c r="E92" i="10"/>
  <c r="E91" i="10"/>
  <c r="E90" i="10"/>
  <c r="E89" i="10"/>
  <c r="E88" i="10"/>
  <c r="E87" i="10"/>
  <c r="E86" i="10"/>
  <c r="E85" i="10"/>
  <c r="E84" i="10"/>
  <c r="E83" i="10"/>
  <c r="E82" i="10"/>
  <c r="E81" i="10"/>
  <c r="E80" i="10"/>
  <c r="E79" i="10"/>
  <c r="E78" i="10"/>
  <c r="E77" i="10"/>
  <c r="E76" i="10"/>
  <c r="E75" i="10"/>
  <c r="E74" i="10"/>
  <c r="E73" i="10"/>
  <c r="E72" i="10"/>
  <c r="E71" i="10"/>
  <c r="E70" i="10"/>
  <c r="E69" i="10"/>
  <c r="E68" i="10"/>
  <c r="E67" i="10"/>
  <c r="E66" i="10"/>
  <c r="E65" i="10"/>
  <c r="E64" i="10"/>
  <c r="E63" i="10"/>
  <c r="E62" i="10"/>
  <c r="E61" i="10"/>
  <c r="E60" i="10"/>
  <c r="E59" i="10"/>
  <c r="E58" i="10"/>
  <c r="E57" i="10"/>
  <c r="E56" i="10"/>
  <c r="E55" i="10"/>
  <c r="E54" i="10"/>
  <c r="E53" i="10"/>
  <c r="E52" i="10"/>
  <c r="E51" i="10"/>
  <c r="E50" i="10"/>
  <c r="E49" i="10"/>
  <c r="E48" i="10"/>
  <c r="E47" i="10"/>
  <c r="E46" i="10"/>
  <c r="E45" i="10"/>
  <c r="E44" i="10"/>
  <c r="E43" i="10"/>
  <c r="E42" i="10"/>
  <c r="E41" i="10"/>
  <c r="E40" i="10"/>
  <c r="E39" i="10"/>
  <c r="E38" i="10"/>
  <c r="E37" i="10"/>
  <c r="E36" i="10"/>
  <c r="E35" i="10"/>
  <c r="E34" i="10"/>
  <c r="E33" i="10"/>
  <c r="E32" i="10"/>
  <c r="E31" i="10"/>
  <c r="E30" i="10"/>
  <c r="E29" i="10"/>
  <c r="E28" i="10"/>
  <c r="E27" i="10"/>
  <c r="E26" i="10"/>
  <c r="E25" i="10"/>
  <c r="E24" i="10"/>
  <c r="E23" i="10"/>
  <c r="E22" i="10"/>
  <c r="E21" i="10"/>
  <c r="E20" i="10"/>
  <c r="E19" i="10"/>
  <c r="E18" i="10"/>
  <c r="E17" i="10"/>
  <c r="E16" i="10"/>
  <c r="E15" i="10"/>
  <c r="E14" i="10"/>
  <c r="E13" i="10"/>
  <c r="E12" i="10"/>
  <c r="E11" i="10"/>
  <c r="E10" i="10"/>
  <c r="E9" i="10"/>
  <c r="E8" i="10"/>
  <c r="E7" i="10"/>
  <c r="E6" i="10"/>
  <c r="E5" i="10"/>
  <c r="E4" i="10"/>
  <c r="E3" i="10"/>
  <c r="E2" i="10"/>
  <c r="O1" i="12"/>
  <c r="N1" i="12" l="1"/>
  <c r="M1" i="12"/>
  <c r="L1" i="12"/>
  <c r="K1" i="12"/>
  <c r="J1" i="12"/>
  <c r="I1" i="12"/>
  <c r="H1" i="12"/>
  <c r="G1" i="12"/>
  <c r="F1" i="12"/>
  <c r="E1" i="12"/>
  <c r="D1" i="12"/>
  <c r="C1" i="12"/>
  <c r="P1" i="12"/>
  <c r="B1" i="12" l="1"/>
  <c r="Q1" i="12" l="1"/>
  <c r="R1" i="12"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temp1" type="6" refreshedVersion="6" background="1" saveData="1">
    <textPr codePage="437" sourceFile="C:\Users\Stas\Desktop\temp1.txt">
      <textFields count="2">
        <textField/>
        <textField/>
      </textFields>
    </textPr>
  </connection>
  <connection id="2" xr16:uid="{00000000-0015-0000-FFFF-FFFF01000000}" name="temp11" type="6" refreshedVersion="6" background="1" saveData="1">
    <textPr codePage="437" sourceFile="C:\Users\Stas\Desktop\temp1.txt">
      <textFields count="2">
        <textField/>
        <textField/>
      </textFields>
    </textPr>
  </connection>
  <connection id="3" xr16:uid="{00000000-0015-0000-FFFF-FFFF02000000}" name="temp111" type="6" refreshedVersion="6" background="1" saveData="1">
    <textPr codePage="437" sourceFile="C:\Users\Stas\Desktop\temp1.txt">
      <textFields count="2">
        <textField/>
        <textField/>
      </textFields>
    </textPr>
  </connection>
  <connection id="4" xr16:uid="{00000000-0015-0000-FFFF-FFFF03000000}" name="temp12" type="6" refreshedVersion="6" background="1" saveData="1">
    <textPr codePage="437" sourceFile="C:\Users\Stas\Desktop\temp1.txt">
      <textFields count="2">
        <textField/>
        <textField/>
      </textFields>
    </textPr>
  </connection>
  <connection id="5" xr16:uid="{00000000-0015-0000-FFFF-FFFF04000000}" name="temp121" type="6" refreshedVersion="6" background="1" saveData="1">
    <textPr codePage="437" sourceFile="C:\Users\Stas\Desktop\temp1.txt">
      <textFields count="2">
        <textField/>
        <textField/>
      </textFields>
    </textPr>
  </connection>
  <connection id="6" xr16:uid="{00000000-0015-0000-FFFF-FFFF05000000}" name="temp1211" type="6" refreshedVersion="6" background="1" saveData="1">
    <textPr codePage="437" sourceFile="C:\Users\Stas\Desktop\temp1.txt">
      <textFields count="2">
        <textField/>
        <textField/>
      </textFields>
    </textPr>
  </connection>
  <connection id="7" xr16:uid="{00000000-0015-0000-FFFF-FFFF06000000}" name="temp122" type="6" refreshedVersion="6" background="1" saveData="1">
    <textPr codePage="437" sourceFile="C:\Users\Stas\Desktop\temp1.txt">
      <textFields count="2">
        <textField/>
        <textField/>
      </textFields>
    </textPr>
  </connection>
  <connection id="8" xr16:uid="{00000000-0015-0000-FFFF-FFFF07000000}" name="temp13" type="6" refreshedVersion="6" background="1" saveData="1">
    <textPr codePage="437" sourceFile="C:\Users\Stas\Desktop\temp1.txt">
      <textFields count="2">
        <textField/>
        <textField/>
      </textFields>
    </textPr>
  </connection>
</connections>
</file>

<file path=xl/sharedStrings.xml><?xml version="1.0" encoding="utf-8"?>
<sst xmlns="http://schemas.openxmlformats.org/spreadsheetml/2006/main" count="1341" uniqueCount="548">
  <si>
    <t>MoTrPAC</t>
  </si>
  <si>
    <t>MoTrPAC pilot</t>
  </si>
  <si>
    <t>MoTrPAC ancillary</t>
  </si>
  <si>
    <t>Non-MoTrPAC</t>
  </si>
  <si>
    <t>MT_Project</t>
  </si>
  <si>
    <t>MT_Clinical Center</t>
  </si>
  <si>
    <t>MT_Species</t>
  </si>
  <si>
    <t>MT_Study Timepoint</t>
  </si>
  <si>
    <t>MT_Vessel Type</t>
  </si>
  <si>
    <t>MT_Units</t>
  </si>
  <si>
    <t>Unexpected Value</t>
  </si>
  <si>
    <t>Field Name</t>
  </si>
  <si>
    <t>Required</t>
  </si>
  <si>
    <t>Default</t>
  </si>
  <si>
    <t>Raw Value</t>
  </si>
  <si>
    <t>Validated Value</t>
  </si>
  <si>
    <t>Default flag</t>
  </si>
  <si>
    <t>Dropdown Error Message</t>
  </si>
  <si>
    <t>Dropdown</t>
  </si>
  <si>
    <t>Pre PreExer</t>
  </si>
  <si>
    <t>Ex_ 20mExer</t>
  </si>
  <si>
    <t>0m_ 0mPost</t>
  </si>
  <si>
    <t>5m_ 5mPost</t>
  </si>
  <si>
    <t>15m 15mPost</t>
  </si>
  <si>
    <t>30m 30mPost</t>
  </si>
  <si>
    <t>1h_ 1hPost</t>
  </si>
  <si>
    <t>2h_ 2hPost</t>
  </si>
  <si>
    <t>3h_ 3hPost</t>
  </si>
  <si>
    <t>4h_ 4hPost</t>
  </si>
  <si>
    <t>24h 24hPost</t>
  </si>
  <si>
    <t>PreExer</t>
  </si>
  <si>
    <t>20mExer</t>
  </si>
  <si>
    <t>0mPost</t>
  </si>
  <si>
    <t>5mPost</t>
  </si>
  <si>
    <t>15mPost</t>
  </si>
  <si>
    <t>30mPost</t>
  </si>
  <si>
    <t>1hPost</t>
  </si>
  <si>
    <t>2hPost</t>
  </si>
  <si>
    <t>3hPost</t>
  </si>
  <si>
    <t>4hPost</t>
  </si>
  <si>
    <t>24hPost</t>
  </si>
  <si>
    <t>VISIT 4 PRE EX</t>
  </si>
  <si>
    <t>VISIT 4 POST EX</t>
  </si>
  <si>
    <t>VISIT 4 3HR POST EX</t>
  </si>
  <si>
    <t>Oth_ Other</t>
  </si>
  <si>
    <t>SSp_ Source Specimen</t>
  </si>
  <si>
    <t>R___ RNA</t>
  </si>
  <si>
    <t>D___ DNA</t>
  </si>
  <si>
    <t>DL__ DNA Library</t>
  </si>
  <si>
    <t>miR_ miRNA</t>
  </si>
  <si>
    <t>miRL miRNA Library</t>
  </si>
  <si>
    <t>Exo_ Exosome</t>
  </si>
  <si>
    <t>scRL SC RNA library</t>
  </si>
  <si>
    <t>scDL SC DNA library</t>
  </si>
  <si>
    <t>Source Specimen</t>
  </si>
  <si>
    <t>RNA</t>
  </si>
  <si>
    <t>DNA</t>
  </si>
  <si>
    <t>DNA Library</t>
  </si>
  <si>
    <t>miRNA</t>
  </si>
  <si>
    <t>miRNA Library</t>
  </si>
  <si>
    <t>Exosome</t>
  </si>
  <si>
    <t>SC RNA library</t>
  </si>
  <si>
    <t>SC DNA library</t>
  </si>
  <si>
    <t>Other</t>
  </si>
  <si>
    <t>Stool</t>
  </si>
  <si>
    <t>Urine</t>
  </si>
  <si>
    <t>Pituitary</t>
  </si>
  <si>
    <t>Cell Line</t>
  </si>
  <si>
    <t>MT_Aliqout Type</t>
  </si>
  <si>
    <t>Human</t>
  </si>
  <si>
    <t>Mouse</t>
  </si>
  <si>
    <t>Rat</t>
  </si>
  <si>
    <t>Duke U.</t>
  </si>
  <si>
    <t>Florida Hosp.</t>
  </si>
  <si>
    <t>U. Florida</t>
  </si>
  <si>
    <t>Pennington</t>
  </si>
  <si>
    <t>U. Alabama Birmingham</t>
  </si>
  <si>
    <t>U. Colorado Denver</t>
  </si>
  <si>
    <t>U. Pittsburgh</t>
  </si>
  <si>
    <t>U. Texas</t>
  </si>
  <si>
    <t>U. California Irvine</t>
  </si>
  <si>
    <t>Wake Forest</t>
  </si>
  <si>
    <t>Mt. Sinai</t>
  </si>
  <si>
    <t>Micronic tube</t>
  </si>
  <si>
    <t>Plastic bag</t>
  </si>
  <si>
    <t>96-well plate</t>
  </si>
  <si>
    <t>Baseline</t>
  </si>
  <si>
    <t xml:space="preserve">Sedentary - no training </t>
  </si>
  <si>
    <t>Calculated</t>
  </si>
  <si>
    <t>Received</t>
  </si>
  <si>
    <t>Generated</t>
  </si>
  <si>
    <t>Calculation Trigger</t>
  </si>
  <si>
    <t>01</t>
  </si>
  <si>
    <t>10</t>
  </si>
  <si>
    <t>MT_Sample Group</t>
  </si>
  <si>
    <t>Oth Other</t>
  </si>
  <si>
    <t>U. Alabama Birm</t>
  </si>
  <si>
    <t>U. California Irv.</t>
  </si>
  <si>
    <t>U. Colorado Denv.</t>
  </si>
  <si>
    <t>Control</t>
  </si>
  <si>
    <t>Experimental</t>
  </si>
  <si>
    <t>Date Field</t>
  </si>
  <si>
    <t>Mapped value was applied. The cell has passed the validation process</t>
  </si>
  <si>
    <t>Default value was applied. The cell has passed the validation process</t>
  </si>
  <si>
    <t>S1234567</t>
  </si>
  <si>
    <t>The cell has passed the validation process. No changes to the entered value were made</t>
  </si>
  <si>
    <t>Unexpected value was provided for a dropdown field</t>
  </si>
  <si>
    <t>Required field was left empty</t>
  </si>
  <si>
    <t>No value was provided for not required field and no default value was specified.</t>
  </si>
  <si>
    <t>Instructions</t>
  </si>
  <si>
    <t>Load data received in the sample manifest to RawData sheet allocating it to the appropriate columns.</t>
  </si>
  <si>
    <t>Value 1</t>
  </si>
  <si>
    <t>Menu is accessable through "Add-ins" ribbon "MSSM MENU" menu option - see screenshot below.</t>
  </si>
  <si>
    <t>Pic. 2.2 - Validation of cell "I7"</t>
  </si>
  <si>
    <t>Pic. 2.1 - Validation of cell "A3"</t>
  </si>
  <si>
    <t>Pic. 2.3 - Validation of cell "L5"</t>
  </si>
  <si>
    <t>Custom Add-on Menu</t>
  </si>
  <si>
    <t>Color coding of the validation results will be applied to each validated cell on RawData and Validated sheets. Color coding will be in sync with Legend presented above.
Corresponded cells on RawData and Validated sheets will have the same color coding.
The "Rawdata" sheet will contain original values entered to the sheet. The  "Validated" sheet will contain validated value.</t>
  </si>
  <si>
    <t>Basic steps for validating sample data and creating an export file</t>
  </si>
  <si>
    <t>Additional Custom Menu options</t>
  </si>
  <si>
    <t>Pic. 3.1 - Setting sub-menu</t>
  </si>
  <si>
    <t>"Clear Validation Formating". This menu option will clear validation formating from all cells on RawData and Validated sheets. See Pic. 1.1.</t>
  </si>
  <si>
    <t>Pic. 1.1 - Custom menu</t>
  </si>
  <si>
    <t>Detailed Validation Status report can be view for each validated cell. 
In order to invoke a report, the cursor has to be put on the validated cell (on RawData or Validated sheet). 
The report can be invoked through the menu "Show Cell Validation Report" or using a key short cut "SHIFT+F1" (see Pic. 1.1).
Example of the status reports are presented on the below screenshots.</t>
  </si>
  <si>
    <t>Once validation process is completed and data on the Validated sheet is satisfactory, the Validated sheet can be exported. 
The Export functionality can be accessed through the custom menu, the "Export 'Validated' Sheet" menu item (see Pic. 1.1). The system will allow users to name the file and select the export location. 
Note that in order to compy with the Freezerwork requirements, the system will allow exporting of the data only in Comma delimited format (.csv) or in Tab delimited text file (.txt).</t>
  </si>
  <si>
    <t>"Settings". This is a sub-menu header containing several sub-menus related to different settings of this template (see Pic. 3.1).</t>
  </si>
  <si>
    <t>"Settings/Set Automatic Validation" (see Pic. 3.1) This menu switches automatic validation of cells on the RawData sheet  to ON/OFF position in a continues loop - every time the option is selected, it will switch to the oposit value. At the time of opening this file, this settings is always ON.</t>
  </si>
  <si>
    <t>"Settings/Set Dropdown functionatlity" (see Pic. 3.1) This menu switches displaying dropdowns controls for the dropdown fields on the RawData sheet  to ON/OFF position in a continues loop - every time the option is selected, it will switch to the oposit value. At the time of opening this file, this settings is always ON.</t>
  </si>
  <si>
    <t xml:space="preserve">"Settings/Sync Dropdown values to RawData" sheet (see Pic. 3.1) This option syncs dropdown values (provided on the Dictionary sheet) to the options of the dropdown fields (marked as Dropdown fields on FieldSetting sheet) of the RawData sheet. </t>
  </si>
  <si>
    <t>"Settings/Sync 'FieldSetting' fields to data sheets" (see Pic. 3.1) This option syncs names of the fields from FieldSettings sheet to the column's titles of the RawData and Validated sheets. The same process is happening automatically at the time of modification of the FieldSetting sheet values. This menu provide a direct access to the this function, in case this is needed to be re-run manually.</t>
  </si>
  <si>
    <t>"Settings/About Sampe Entry Validation Tool" (see Pic. 3.1) This menu displays the "About" message. This message contains internal version number that can be used to distinguish different versions of the files.</t>
  </si>
  <si>
    <t>Validation Results Formating Legend</t>
  </si>
  <si>
    <t>Other validation errors</t>
  </si>
  <si>
    <t>Validation process will be triggered automaticaly for each updated cell. Validated values will be posted to the Validated sheet. 
Validation of the whole RawData sheet can be triggered through the custom menu - "Validate 'RawData' Sheet". Validation of the currently selected cell on RawData sheet can be triggered by "Validate Current Cell" menu option (see Pic. 1.1).</t>
  </si>
  <si>
    <t>MT_Source Specimen</t>
  </si>
  <si>
    <t>Freezer</t>
  </si>
  <si>
    <t>MT_14f_Crothall14193</t>
  </si>
  <si>
    <t>MT_19f_Croth</t>
  </si>
  <si>
    <t>MT_TestLIMS_integr</t>
  </si>
  <si>
    <t>Exclude From Export</t>
  </si>
  <si>
    <t>MT_Source Aliquot Label</t>
  </si>
  <si>
    <t>MT_Vessel ID</t>
  </si>
  <si>
    <t>Freezer Section</t>
  </si>
  <si>
    <t>Box_Plate_p3</t>
  </si>
  <si>
    <t>Row_p4</t>
  </si>
  <si>
    <t>Column_p5</t>
  </si>
  <si>
    <t>Test Section 1</t>
  </si>
  <si>
    <t>14f_14193_Section1</t>
  </si>
  <si>
    <t>14f_14193_Section2</t>
  </si>
  <si>
    <t>14f_14193_Section3</t>
  </si>
  <si>
    <t>PAXgene tube</t>
  </si>
  <si>
    <t>Eppendorf tube</t>
  </si>
  <si>
    <t>Cryovial</t>
  </si>
  <si>
    <t>Test Section 2</t>
  </si>
  <si>
    <t xml:space="preserve">McGill University </t>
  </si>
  <si>
    <t>McGill U.</t>
  </si>
  <si>
    <t>Running</t>
  </si>
  <si>
    <t>Sedentary</t>
  </si>
  <si>
    <t>MUSCLE BX 3HR POST EX</t>
  </si>
  <si>
    <t>MUSCLE BX PRE EX</t>
  </si>
  <si>
    <t>MUSCLE BX POST EX</t>
  </si>
  <si>
    <t>Calculation overwrites existing value</t>
  </si>
  <si>
    <t>Q3</t>
  </si>
  <si>
    <t>A3</t>
  </si>
  <si>
    <t>I3</t>
  </si>
  <si>
    <t>M3</t>
  </si>
  <si>
    <t>AS3</t>
  </si>
  <si>
    <t xml:space="preserve">ATAC Seq Library </t>
  </si>
  <si>
    <t xml:space="preserve">Ball State University </t>
  </si>
  <si>
    <t xml:space="preserve">East Carolina University </t>
  </si>
  <si>
    <t xml:space="preserve">DNA MC library </t>
  </si>
  <si>
    <t>Methyl capture Library</t>
  </si>
  <si>
    <t xml:space="preserve">DNA RRBS library </t>
  </si>
  <si>
    <t>Adrenal</t>
  </si>
  <si>
    <t>Ao__Aorta</t>
  </si>
  <si>
    <t>Aorta</t>
  </si>
  <si>
    <t xml:space="preserve">mRNA library </t>
  </si>
  <si>
    <t xml:space="preserve">1W_1week post </t>
  </si>
  <si>
    <t xml:space="preserve">U.Texas Health Science Center </t>
  </si>
  <si>
    <t xml:space="preserve">UT. HSC </t>
  </si>
  <si>
    <t>U. Texas Medical Branch</t>
  </si>
  <si>
    <t>UT. Medical</t>
  </si>
  <si>
    <t xml:space="preserve">24h_24hr post </t>
  </si>
  <si>
    <t xml:space="preserve">2W_2weeks post </t>
  </si>
  <si>
    <t>Total RNA library</t>
  </si>
  <si>
    <t>Co__Colon</t>
  </si>
  <si>
    <t>Colon</t>
  </si>
  <si>
    <t xml:space="preserve">3W_3weeks post </t>
  </si>
  <si>
    <t xml:space="preserve">48h_48hr post </t>
  </si>
  <si>
    <t>He__Heart</t>
  </si>
  <si>
    <t>Heart</t>
  </si>
  <si>
    <t>Hippocampus</t>
  </si>
  <si>
    <t>Hp__Hippocampus</t>
  </si>
  <si>
    <t xml:space="preserve">6-8h_ 6-8hr post </t>
  </si>
  <si>
    <t>Ki__Kidney</t>
  </si>
  <si>
    <t xml:space="preserve">8W_8weeks post </t>
  </si>
  <si>
    <t>Kidney</t>
  </si>
  <si>
    <t>Liver</t>
  </si>
  <si>
    <t>Lu__Lung</t>
  </si>
  <si>
    <t>Lung</t>
  </si>
  <si>
    <t>Ovary</t>
  </si>
  <si>
    <t>PFC_Pre-Frontal Ctx</t>
  </si>
  <si>
    <t>SI__Sm Intestine</t>
  </si>
  <si>
    <t>Sp__Spleen</t>
  </si>
  <si>
    <t>Spleen</t>
  </si>
  <si>
    <t>Te__Testes</t>
  </si>
  <si>
    <t>Testes</t>
  </si>
  <si>
    <t>DropDown Values First Cell Of Lookup Range</t>
  </si>
  <si>
    <t>MT_Aliquot Type</t>
  </si>
  <si>
    <t>MT_Box Label</t>
  </si>
  <si>
    <t>MT_Aliqout Status</t>
  </si>
  <si>
    <t>Adr_Adrenal</t>
  </si>
  <si>
    <t>mitochondrial DNA</t>
  </si>
  <si>
    <t>mtD_ mitochondrial DNA</t>
  </si>
  <si>
    <t>mitochondrial RNA</t>
  </si>
  <si>
    <t>mtR_ mitochondrial RNA</t>
  </si>
  <si>
    <t>ATAC_ ATACLibrary</t>
  </si>
  <si>
    <t>BSU</t>
  </si>
  <si>
    <t>East Carolina U.</t>
  </si>
  <si>
    <t>RRBS_RRBS Library</t>
  </si>
  <si>
    <t>mRL_mRNA Library</t>
  </si>
  <si>
    <t>1W_1weekPost</t>
  </si>
  <si>
    <t>CL__Cell Line</t>
  </si>
  <si>
    <t>2W_2weeksPost</t>
  </si>
  <si>
    <t>toRL_Total RNA Library</t>
  </si>
  <si>
    <t>3W_3weeksPost</t>
  </si>
  <si>
    <t>48h_48hrPost</t>
  </si>
  <si>
    <t>6-8h_ 6-8hrPost</t>
  </si>
  <si>
    <t>8W_8weeksPost</t>
  </si>
  <si>
    <t>Li__Liver</t>
  </si>
  <si>
    <t>3h_3hPost</t>
  </si>
  <si>
    <t>Oth_Other</t>
  </si>
  <si>
    <t>Ov__Ovary</t>
  </si>
  <si>
    <t>Pit_Pituitary</t>
  </si>
  <si>
    <t>Sto_Stool</t>
  </si>
  <si>
    <t>Uri_Urine</t>
  </si>
  <si>
    <t>1</t>
  </si>
  <si>
    <t/>
  </si>
  <si>
    <t>7h_ 7hPost</t>
  </si>
  <si>
    <t>7hPost</t>
  </si>
  <si>
    <t>Hpt_Hypothalamus</t>
  </si>
  <si>
    <t>Hypothalamus</t>
  </si>
  <si>
    <t>Joslin Diabetes Center</t>
  </si>
  <si>
    <t>Joslin Diabetes Ctr</t>
  </si>
  <si>
    <t>Key</t>
  </si>
  <si>
    <t>Value</t>
  </si>
  <si>
    <t>Conn_Dict_local</t>
  </si>
  <si>
    <t>Provider=SQLOLEDB;Data Source=localhost\sqlexpress; Initial Catalog=dw_motrpac; Integrated Security=SSPI;</t>
  </si>
  <si>
    <t>Conn_Dict_Mount_Sinai</t>
  </si>
  <si>
    <t>Provider=SQLOLEDB;Data Source=10.160.20.65\TESTINS1; Initial Catalog=dw_motrpac; Integrated Security=SSPI;</t>
  </si>
  <si>
    <t>Conn_Dict_Current</t>
  </si>
  <si>
    <t>Dict_DB_Title_Range_Start_Cell</t>
  </si>
  <si>
    <t>A1</t>
  </si>
  <si>
    <t>Dict_DB_Select_Statment</t>
  </si>
  <si>
    <t>Vessel ID Exists on RawData tab</t>
  </si>
  <si>
    <t>exec [Get_Dictionary_Values]  '{{search_field_name}}'</t>
  </si>
  <si>
    <t>FieldSetting_Get_Statement</t>
  </si>
  <si>
    <t>FieldSetting_LastLoadedProfile</t>
  </si>
  <si>
    <t>FieldSetting_Range_First_Cell</t>
  </si>
  <si>
    <t>FieldSetting_Get_Profiles</t>
  </si>
  <si>
    <t>exec [Get_FieldSetting_Profiles]</t>
  </si>
  <si>
    <t>exec [Get_Field_Settings_byID]  {{profile_id}}</t>
  </si>
  <si>
    <t>FBS_HostIP</t>
  </si>
  <si>
    <t>10.90.121.149</t>
  </si>
  <si>
    <t>FBS_ScpiPort</t>
  </si>
  <si>
    <t>FBS_Winsock_Ver</t>
  </si>
  <si>
    <t>FBS_ReadScanDelay</t>
  </si>
  <si>
    <t>FBS_ScanResultsTargetLocation</t>
  </si>
  <si>
    <t>FBS_ScanResultsColumnsUsed</t>
  </si>
  <si>
    <t>FBS_ScanResultsStatusLocation</t>
  </si>
  <si>
    <t>F2</t>
  </si>
  <si>
    <t>512</t>
  </si>
  <si>
    <t>Position</t>
  </si>
  <si>
    <t>Tube ID</t>
  </si>
  <si>
    <t>Status</t>
  </si>
  <si>
    <t>Rack ID</t>
  </si>
  <si>
    <t>A01</t>
  </si>
  <si>
    <t>OK</t>
  </si>
  <si>
    <t>B01</t>
  </si>
  <si>
    <t>C01</t>
  </si>
  <si>
    <t>D01</t>
  </si>
  <si>
    <t>MT_Sample ID</t>
  </si>
  <si>
    <t>Y3</t>
  </si>
  <si>
    <t>Initial Amount</t>
  </si>
  <si>
    <t>AK3</t>
  </si>
  <si>
    <t>Dflt_bVoidDropDownFunctionality</t>
  </si>
  <si>
    <t>MT_Aliquot_Preparation_State</t>
  </si>
  <si>
    <t>BE3</t>
  </si>
  <si>
    <t>30</t>
  </si>
  <si>
    <t>Adi_Adipose</t>
  </si>
  <si>
    <t>BAd_Brown Fat</t>
  </si>
  <si>
    <t>Bl__Blood</t>
  </si>
  <si>
    <t>MuG_Muscle Gastrocnemius</t>
  </si>
  <si>
    <t>MuV_Muscle Vastus Lateralis</t>
  </si>
  <si>
    <t>Ti__Tibia Bone</t>
  </si>
  <si>
    <t>WAd_White Fat</t>
  </si>
  <si>
    <t>Adipose</t>
  </si>
  <si>
    <t>Brown Fat</t>
  </si>
  <si>
    <t>Blood</t>
  </si>
  <si>
    <t>Muscle Gastrocnemius</t>
  </si>
  <si>
    <t>Muscle Vastus Lateralis</t>
  </si>
  <si>
    <t>Pre-Frontal Ctx</t>
  </si>
  <si>
    <t>Sm Intestine</t>
  </si>
  <si>
    <t>Tibia Bone</t>
  </si>
  <si>
    <t>White Fat</t>
  </si>
  <si>
    <t>52</t>
  </si>
  <si>
    <t>53</t>
  </si>
  <si>
    <t>54</t>
  </si>
  <si>
    <t>55</t>
  </si>
  <si>
    <t>56</t>
  </si>
  <si>
    <t>57</t>
  </si>
  <si>
    <t>58</t>
  </si>
  <si>
    <t>59</t>
  </si>
  <si>
    <t>60</t>
  </si>
  <si>
    <t>61</t>
  </si>
  <si>
    <t>62</t>
  </si>
  <si>
    <t>63</t>
  </si>
  <si>
    <t>64</t>
  </si>
  <si>
    <t>69</t>
  </si>
  <si>
    <t>70</t>
  </si>
  <si>
    <t>65</t>
  </si>
  <si>
    <t>66</t>
  </si>
  <si>
    <t>67</t>
  </si>
  <si>
    <t>68</t>
  </si>
  <si>
    <t>31</t>
  </si>
  <si>
    <t>32</t>
  </si>
  <si>
    <t>33</t>
  </si>
  <si>
    <t>34</t>
  </si>
  <si>
    <t>35</t>
  </si>
  <si>
    <t>36</t>
  </si>
  <si>
    <t>37</t>
  </si>
  <si>
    <t>38</t>
  </si>
  <si>
    <t>39</t>
  </si>
  <si>
    <t>40</t>
  </si>
  <si>
    <t>41</t>
  </si>
  <si>
    <t>42</t>
  </si>
  <si>
    <t>43</t>
  </si>
  <si>
    <t>44</t>
  </si>
  <si>
    <t>45</t>
  </si>
  <si>
    <t>46</t>
  </si>
  <si>
    <t>47</t>
  </si>
  <si>
    <t>48</t>
  </si>
  <si>
    <t>49</t>
  </si>
  <si>
    <t>50</t>
  </si>
  <si>
    <t>51</t>
  </si>
  <si>
    <t>Tissue Specific Pool</t>
  </si>
  <si>
    <t>19f_Shelf1</t>
  </si>
  <si>
    <t>19f_Shelf2</t>
  </si>
  <si>
    <t>19f_Shelf3</t>
  </si>
  <si>
    <t>19f_Shelf4</t>
  </si>
  <si>
    <t>Chu_Chunk</t>
  </si>
  <si>
    <t>ECP_EDTA Pellet</t>
  </si>
  <si>
    <t>Pla_EDTA Plasma</t>
  </si>
  <si>
    <t>BPx_PAXgene</t>
  </si>
  <si>
    <t>PBM_PBMC</t>
  </si>
  <si>
    <t>Pow_Powder</t>
  </si>
  <si>
    <t>Ser_Serum</t>
  </si>
  <si>
    <t>Chunk</t>
  </si>
  <si>
    <t>EDTA Pellet</t>
  </si>
  <si>
    <t>EDTA Plasma</t>
  </si>
  <si>
    <t>PAXgene</t>
  </si>
  <si>
    <t>PBMC</t>
  </si>
  <si>
    <t>Powder</t>
  </si>
  <si>
    <t>Serum</t>
  </si>
  <si>
    <t>Conn_Mount_Sinai_SQL2016</t>
  </si>
  <si>
    <t>Provider=SQLOLEDB;Data Source=10.160.20.65\SSQL_2016; Initial Catalog=dw_motrpac; Integrated Security=SSPI;</t>
  </si>
  <si>
    <t>Current Amount</t>
  </si>
  <si>
    <t>ND_ Not Defined</t>
  </si>
  <si>
    <t>mg</t>
  </si>
  <si>
    <t>mL</t>
  </si>
  <si>
    <t>ug</t>
  </si>
  <si>
    <t>Numeric Only</t>
  </si>
  <si>
    <t>Comments</t>
  </si>
  <si>
    <t>This is connection to SQL Server 2014; it is planned to be depricated.</t>
  </si>
  <si>
    <t>Misc Settings</t>
  </si>
  <si>
    <t>Manifest_Add_New</t>
  </si>
  <si>
    <t>exec [usp_add_received_manifests] {{study_id}}, '{{manifest_ids}}', '{{user_id}}'</t>
  </si>
  <si>
    <t>Manifest_Prompt_OnExport</t>
  </si>
  <si>
    <t>True/False. If set to True, a prompt to Submit Manifest IDs will be displayed upon completion of Export procedure.</t>
  </si>
  <si>
    <t xml:space="preserve">Stored procedure to submit Manifest IDs. Parameter place holders (in {{}}) have to be  replaced with actual values  </t>
  </si>
  <si>
    <t>F01</t>
  </si>
  <si>
    <t>Dflt_bVoidAutomatedValidation</t>
  </si>
  <si>
    <t>Rack_p1</t>
  </si>
  <si>
    <t>Tray_p2</t>
  </si>
  <si>
    <t>CAS Manifest - PASS 1A - Ver: 2019.02</t>
  </si>
  <si>
    <t>Insert into dw_fw_field_set_profile_details (profile_id, Field_Name, Dropdown_Error_Message, [Default], [Required], Dropdown, DropDown_Values_First_Cell_Of_Lookup_Range, Calculation_Trigger, Calculation_overwrites_existing_value, Calculated, Date_Field,  Exclude_From_Export, Numeric_Only, Misc_settings, field_order) Values (</t>
  </si>
  <si>
    <t>A02</t>
  </si>
  <si>
    <t>A03</t>
  </si>
  <si>
    <t>A04</t>
  </si>
  <si>
    <t>A05</t>
  </si>
  <si>
    <t>A06</t>
  </si>
  <si>
    <t>A07</t>
  </si>
  <si>
    <t>A08</t>
  </si>
  <si>
    <t>A09</t>
  </si>
  <si>
    <t>A10</t>
  </si>
  <si>
    <t>B02</t>
  </si>
  <si>
    <t>B03</t>
  </si>
  <si>
    <t>B04</t>
  </si>
  <si>
    <t>B05</t>
  </si>
  <si>
    <t>B06</t>
  </si>
  <si>
    <t>B07</t>
  </si>
  <si>
    <t>B08</t>
  </si>
  <si>
    <t>B09</t>
  </si>
  <si>
    <t>B10</t>
  </si>
  <si>
    <t>C02</t>
  </si>
  <si>
    <t>C03</t>
  </si>
  <si>
    <t>C04</t>
  </si>
  <si>
    <t>C05</t>
  </si>
  <si>
    <t>C06</t>
  </si>
  <si>
    <t>C07</t>
  </si>
  <si>
    <t>C08</t>
  </si>
  <si>
    <t>C09</t>
  </si>
  <si>
    <t>C10</t>
  </si>
  <si>
    <t>D02</t>
  </si>
  <si>
    <t>D03</t>
  </si>
  <si>
    <t>D04</t>
  </si>
  <si>
    <t>D05</t>
  </si>
  <si>
    <t>D06</t>
  </si>
  <si>
    <t>D07</t>
  </si>
  <si>
    <t>D08</t>
  </si>
  <si>
    <t>D09</t>
  </si>
  <si>
    <t>D10</t>
  </si>
  <si>
    <t>E01</t>
  </si>
  <si>
    <t>E02</t>
  </si>
  <si>
    <t>E03</t>
  </si>
  <si>
    <t>E04</t>
  </si>
  <si>
    <t>E05</t>
  </si>
  <si>
    <t>E06</t>
  </si>
  <si>
    <t>E07</t>
  </si>
  <si>
    <t>E08</t>
  </si>
  <si>
    <t>E09</t>
  </si>
  <si>
    <t>E10</t>
  </si>
  <si>
    <t>F02</t>
  </si>
  <si>
    <t>F03</t>
  </si>
  <si>
    <t>F04</t>
  </si>
  <si>
    <t>F05</t>
  </si>
  <si>
    <t>F06</t>
  </si>
  <si>
    <t>F07</t>
  </si>
  <si>
    <t>F08</t>
  </si>
  <si>
    <t>F09</t>
  </si>
  <si>
    <t>F10</t>
  </si>
  <si>
    <t>G01</t>
  </si>
  <si>
    <t>G02</t>
  </si>
  <si>
    <t>G03</t>
  </si>
  <si>
    <t>G04</t>
  </si>
  <si>
    <t>G05</t>
  </si>
  <si>
    <t>G06</t>
  </si>
  <si>
    <t>G07</t>
  </si>
  <si>
    <t>G08</t>
  </si>
  <si>
    <t>G09</t>
  </si>
  <si>
    <t>H01</t>
  </si>
  <si>
    <t>H02</t>
  </si>
  <si>
    <t>H03</t>
  </si>
  <si>
    <t>H04</t>
  </si>
  <si>
    <t>H05</t>
  </si>
  <si>
    <t>H06</t>
  </si>
  <si>
    <t>H07</t>
  </si>
  <si>
    <t>H08</t>
  </si>
  <si>
    <t>H09</t>
  </si>
  <si>
    <t>8019467331</t>
  </si>
  <si>
    <t>8019467569</t>
  </si>
  <si>
    <t>8019467792</t>
  </si>
  <si>
    <t>8019467834</t>
  </si>
  <si>
    <t>8019467539</t>
  </si>
  <si>
    <t>8019467578</t>
  </si>
  <si>
    <t>8019467672</t>
  </si>
  <si>
    <t>8019467660</t>
  </si>
  <si>
    <t>8019467637</t>
  </si>
  <si>
    <t>8019467876</t>
  </si>
  <si>
    <t>8019467754</t>
  </si>
  <si>
    <t>8019467859</t>
  </si>
  <si>
    <t>8019468143</t>
  </si>
  <si>
    <t>8019467514</t>
  </si>
  <si>
    <t>8019468125</t>
  </si>
  <si>
    <t>8019468078</t>
  </si>
  <si>
    <t>8019467989</t>
  </si>
  <si>
    <t>8019467469</t>
  </si>
  <si>
    <t>8019467984</t>
  </si>
  <si>
    <t>8019467448</t>
  </si>
  <si>
    <t>8019467826</t>
  </si>
  <si>
    <t>8019467544</t>
  </si>
  <si>
    <t>8019467305</t>
  </si>
  <si>
    <t>8019467343</t>
  </si>
  <si>
    <t>8019467521</t>
  </si>
  <si>
    <t>8019467292</t>
  </si>
  <si>
    <t>8019467677</t>
  </si>
  <si>
    <t>8019467706</t>
  </si>
  <si>
    <t>8019467673</t>
  </si>
  <si>
    <t>8019467707</t>
  </si>
  <si>
    <t>8019468210</t>
  </si>
  <si>
    <t>8019467793</t>
  </si>
  <si>
    <t>8019467603</t>
  </si>
  <si>
    <t>8019467666</t>
  </si>
  <si>
    <t>8019467546</t>
  </si>
  <si>
    <t>8019467574</t>
  </si>
  <si>
    <t>8019468243</t>
  </si>
  <si>
    <t>8019468111</t>
  </si>
  <si>
    <t>8019467504</t>
  </si>
  <si>
    <t>8019467538</t>
  </si>
  <si>
    <t>8019467870</t>
  </si>
  <si>
    <t>8019467329</t>
  </si>
  <si>
    <t>8019468249</t>
  </si>
  <si>
    <t>8019467717</t>
  </si>
  <si>
    <t>8019467693</t>
  </si>
  <si>
    <t>8019467432</t>
  </si>
  <si>
    <t>8019468203</t>
  </si>
  <si>
    <t>8019467591</t>
  </si>
  <si>
    <t>8019468212</t>
  </si>
  <si>
    <t>8019467889</t>
  </si>
  <si>
    <t>8019467496</t>
  </si>
  <si>
    <t>8019467841</t>
  </si>
  <si>
    <t>8019468032</t>
  </si>
  <si>
    <t>8019467529</t>
  </si>
  <si>
    <t>8019468154</t>
  </si>
  <si>
    <t>8019467627</t>
  </si>
  <si>
    <t>8019468039</t>
  </si>
  <si>
    <t>8019467665</t>
  </si>
  <si>
    <t>8019468077</t>
  </si>
  <si>
    <t>8019468018</t>
  </si>
  <si>
    <t>8019467648</t>
  </si>
  <si>
    <t>8019467936</t>
  </si>
  <si>
    <t>8019467946</t>
  </si>
  <si>
    <t>8019468176</t>
  </si>
  <si>
    <t>8019468242</t>
  </si>
  <si>
    <t>8019467930</t>
  </si>
  <si>
    <t>8019467704</t>
  </si>
  <si>
    <t>8019467985</t>
  </si>
  <si>
    <t>8019467476</t>
  </si>
  <si>
    <t>8019467389</t>
  </si>
  <si>
    <t>8019467820</t>
  </si>
  <si>
    <t>8019467656</t>
  </si>
  <si>
    <t>8019468250</t>
  </si>
  <si>
    <t>8019467327</t>
  </si>
  <si>
    <t>8019467749</t>
  </si>
  <si>
    <t>8019467445</t>
  </si>
  <si>
    <t>8019468157</t>
  </si>
  <si>
    <t>8019467802</t>
  </si>
  <si>
    <t>7000194356</t>
  </si>
  <si>
    <t xml:space="preserve">Note: Range in the formula in E column of this page should point to the Vessel ID column on RawData tab and the cell address should point to the corresponded cell of the B column of this tab.For Example, cell E2 should have this formula:
=IF(B2="", "",COUNTIF(RawData!D:D,B2)&gt;0)
* Few values in the first 4 columns are provided as an example only. </t>
  </si>
  <si>
    <t>Lot: Lot Name</t>
  </si>
  <si>
    <t>{Lot: Lot Name}</t>
  </si>
  <si>
    <t>ECHO</t>
  </si>
  <si>
    <t>Precision Medicine</t>
  </si>
  <si>
    <t>Cells (M)</t>
  </si>
  <si>
    <t>Not Defined</t>
  </si>
  <si>
    <t>STAS LOT 1234</t>
  </si>
  <si>
    <t>ABC 1234</t>
  </si>
  <si>
    <t>uL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</si>
</sst>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b/>
      <sz val="11"/>
      <color theme="1"/>
      <name val="Calibri"/>
      <family val="2"/>
      <scheme val="minor"/>
    </font>
    <font>
      <sz val="11"/>
      <color rgb="FFFF0000"/>
      <name val="Calibri"/>
      <family val="2"/>
      <scheme val="minor"/>
    </font>
    <font>
      <sz val="11"/>
      <color rgb="FF000000"/>
      <name val="Calibri"/>
      <family val="2"/>
      <scheme val="minor"/>
    </font>
    <font>
      <sz val="11"/>
      <color rgb="FF006100"/>
      <name val="Calibri"/>
      <family val="2"/>
      <scheme val="minor"/>
    </font>
    <font>
      <sz val="11"/>
      <color rgb="FFFFFFFF"/>
      <name val="Calibri"/>
      <family val="2"/>
      <scheme val="minor"/>
    </font>
    <font>
      <b/>
      <sz val="14"/>
      <color theme="1"/>
      <name val="Calibri"/>
      <family val="2"/>
      <scheme val="minor"/>
    </font>
    <font>
      <b/>
      <sz val="18"/>
      <color theme="1"/>
      <name val="Calibri"/>
      <family val="2"/>
      <scheme val="minor"/>
    </font>
    <font>
      <sz val="10"/>
      <color theme="1"/>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18"/>
      <color theme="3"/>
      <name val="Calibri Light"/>
      <family val="2"/>
      <scheme val="major"/>
    </font>
    <font>
      <sz val="11"/>
      <color rgb="FF9C6500"/>
      <name val="Calibri"/>
      <family val="2"/>
      <scheme val="minor"/>
    </font>
    <font>
      <i/>
      <sz val="11"/>
      <color theme="1"/>
      <name val="Calibri"/>
      <family val="2"/>
      <scheme val="minor"/>
    </font>
    <font>
      <sz val="11"/>
      <color rgb="FF000000"/>
      <name val="Calibri"/>
      <family val="2"/>
    </font>
  </fonts>
  <fills count="39">
    <fill>
      <patternFill patternType="none"/>
    </fill>
    <fill>
      <patternFill patternType="gray125"/>
    </fill>
    <fill>
      <patternFill patternType="solid">
        <fgColor rgb="FFC6EFCE"/>
        <bgColor indexed="64"/>
      </patternFill>
    </fill>
    <fill>
      <patternFill patternType="solid">
        <fgColor rgb="FFF4B084"/>
        <bgColor indexed="64"/>
      </patternFill>
    </fill>
    <fill>
      <patternFill patternType="solid">
        <fgColor rgb="FFFF0000"/>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B4C6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9">
    <border>
      <left/>
      <right/>
      <top/>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hair">
        <color indexed="64"/>
      </top>
      <bottom style="hair">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10" fillId="0" borderId="10" applyNumberFormat="0" applyFill="0" applyAlignment="0" applyProtection="0"/>
    <xf numFmtId="0" fontId="11" fillId="0" borderId="11" applyNumberFormat="0" applyFill="0" applyAlignment="0" applyProtection="0"/>
    <xf numFmtId="0" fontId="12" fillId="0" borderId="12" applyNumberFormat="0" applyFill="0" applyAlignment="0" applyProtection="0"/>
    <xf numFmtId="0" fontId="12" fillId="0" borderId="0" applyNumberFormat="0" applyFill="0" applyBorder="0" applyAlignment="0" applyProtection="0"/>
    <xf numFmtId="0" fontId="4" fillId="8" borderId="0" applyNumberFormat="0" applyBorder="0" applyAlignment="0" applyProtection="0"/>
    <xf numFmtId="0" fontId="13" fillId="9" borderId="0" applyNumberFormat="0" applyBorder="0" applyAlignment="0" applyProtection="0"/>
    <xf numFmtId="0" fontId="14" fillId="11" borderId="13" applyNumberFormat="0" applyAlignment="0" applyProtection="0"/>
    <xf numFmtId="0" fontId="15" fillId="12" borderId="14" applyNumberFormat="0" applyAlignment="0" applyProtection="0"/>
    <xf numFmtId="0" fontId="16" fillId="12" borderId="13" applyNumberFormat="0" applyAlignment="0" applyProtection="0"/>
    <xf numFmtId="0" fontId="17" fillId="0" borderId="15" applyNumberFormat="0" applyFill="0" applyAlignment="0" applyProtection="0"/>
    <xf numFmtId="0" fontId="18" fillId="13" borderId="16" applyNumberFormat="0" applyAlignment="0" applyProtection="0"/>
    <xf numFmtId="0" fontId="2" fillId="0" borderId="0" applyNumberFormat="0" applyFill="0" applyBorder="0" applyAlignment="0" applyProtection="0"/>
    <xf numFmtId="0" fontId="9" fillId="14" borderId="17" applyNumberFormat="0" applyFont="0" applyAlignment="0" applyProtection="0"/>
    <xf numFmtId="0" fontId="19" fillId="0" borderId="0" applyNumberFormat="0" applyFill="0" applyBorder="0" applyAlignment="0" applyProtection="0"/>
    <xf numFmtId="0" fontId="1" fillId="0" borderId="18" applyNumberFormat="0" applyFill="0" applyAlignment="0" applyProtection="0"/>
    <xf numFmtId="0" fontId="20"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20"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20" fillId="23" borderId="0" applyNumberFormat="0" applyBorder="0" applyAlignment="0" applyProtection="0"/>
    <xf numFmtId="0" fontId="9" fillId="24" borderId="0" applyNumberFormat="0" applyBorder="0" applyAlignment="0" applyProtection="0"/>
    <xf numFmtId="0" fontId="9" fillId="25" borderId="0" applyNumberFormat="0" applyBorder="0" applyAlignment="0" applyProtection="0"/>
    <xf numFmtId="0" fontId="20" fillId="27" borderId="0" applyNumberFormat="0" applyBorder="0" applyAlignment="0" applyProtection="0"/>
    <xf numFmtId="0" fontId="9" fillId="28" borderId="0" applyNumberFormat="0" applyBorder="0" applyAlignment="0" applyProtection="0"/>
    <xf numFmtId="0" fontId="9" fillId="29" borderId="0" applyNumberFormat="0" applyBorder="0" applyAlignment="0" applyProtection="0"/>
    <xf numFmtId="0" fontId="20" fillId="31" borderId="0" applyNumberFormat="0" applyBorder="0" applyAlignment="0" applyProtection="0"/>
    <xf numFmtId="0" fontId="9" fillId="32" borderId="0" applyNumberFormat="0" applyBorder="0" applyAlignment="0" applyProtection="0"/>
    <xf numFmtId="0" fontId="9" fillId="33" borderId="0" applyNumberFormat="0" applyBorder="0" applyAlignment="0" applyProtection="0"/>
    <xf numFmtId="0" fontId="20" fillId="35" borderId="0" applyNumberFormat="0" applyBorder="0" applyAlignment="0" applyProtection="0"/>
    <xf numFmtId="0" fontId="9" fillId="36" borderId="0" applyNumberFormat="0" applyBorder="0" applyAlignment="0" applyProtection="0"/>
    <xf numFmtId="0" fontId="9" fillId="37" borderId="0" applyNumberFormat="0" applyBorder="0" applyAlignment="0" applyProtection="0"/>
    <xf numFmtId="0" fontId="21" fillId="0" borderId="0" applyNumberFormat="0" applyFill="0" applyBorder="0" applyAlignment="0" applyProtection="0"/>
    <xf numFmtId="0" fontId="22" fillId="10"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38" borderId="0" applyNumberFormat="0" applyBorder="0" applyAlignment="0" applyProtection="0"/>
  </cellStyleXfs>
  <cellXfs count="54">
    <xf numFmtId="0" fontId="0" fillId="0" borderId="0" xfId="0"/>
    <xf numFmtId="0" fontId="1" fillId="0" borderId="0" xfId="0" applyFont="1" applyAlignment="1">
      <alignment horizontal="center" vertical="center" wrapText="1"/>
    </xf>
    <xf numFmtId="0" fontId="1" fillId="0" borderId="0" xfId="0" applyFont="1" applyAlignment="1">
      <alignment horizontal="center" vertical="center"/>
    </xf>
    <xf numFmtId="0" fontId="1" fillId="0" borderId="0" xfId="0" applyFont="1" applyAlignment="1">
      <alignment horizontal="center" vertical="center" wrapText="1"/>
    </xf>
    <xf numFmtId="0" fontId="1" fillId="0" borderId="0" xfId="0" applyFont="1" applyAlignment="1">
      <alignment horizontal="center" vertical="center" wrapText="1"/>
    </xf>
    <xf numFmtId="49" fontId="0" fillId="0" borderId="0" xfId="0" applyNumberFormat="1"/>
    <xf numFmtId="0" fontId="1" fillId="0" borderId="0" xfId="0" applyFont="1" applyAlignment="1">
      <alignment horizontal="center" vertical="center" wrapText="1"/>
    </xf>
    <xf numFmtId="0" fontId="0" fillId="0" borderId="0" xfId="0" applyAlignment="1">
      <alignment vertical="center"/>
    </xf>
    <xf numFmtId="0" fontId="0" fillId="0" borderId="0" xfId="0" applyAlignment="1">
      <alignment vertical="center" wrapText="1"/>
    </xf>
    <xf numFmtId="49" fontId="3" fillId="0" borderId="4" xfId="0" applyNumberFormat="1" applyFont="1" applyFill="1" applyBorder="1" applyAlignment="1">
      <alignment vertical="center"/>
    </xf>
    <xf numFmtId="49" fontId="4" fillId="2" borderId="4" xfId="0" applyNumberFormat="1" applyFont="1" applyFill="1" applyBorder="1" applyAlignment="1">
      <alignment vertical="center"/>
    </xf>
    <xf numFmtId="49" fontId="3" fillId="2" borderId="4" xfId="0" applyNumberFormat="1" applyFont="1" applyFill="1" applyBorder="1" applyAlignment="1">
      <alignment vertical="center"/>
    </xf>
    <xf numFmtId="49" fontId="3" fillId="3" borderId="4" xfId="0" applyNumberFormat="1" applyFont="1" applyFill="1" applyBorder="1" applyAlignment="1">
      <alignment vertical="center"/>
    </xf>
    <xf numFmtId="49" fontId="5" fillId="4" borderId="4" xfId="0" applyNumberFormat="1" applyFont="1" applyFill="1" applyBorder="1"/>
    <xf numFmtId="0" fontId="0" fillId="0" borderId="6" xfId="0" applyBorder="1" applyAlignment="1">
      <alignment vertical="center"/>
    </xf>
    <xf numFmtId="0" fontId="0" fillId="6" borderId="5" xfId="0" applyFill="1" applyBorder="1" applyAlignment="1">
      <alignment vertical="center" wrapText="1"/>
    </xf>
    <xf numFmtId="0" fontId="0" fillId="6" borderId="7" xfId="0" applyFill="1" applyBorder="1" applyAlignment="1">
      <alignment vertical="center" wrapText="1"/>
    </xf>
    <xf numFmtId="0" fontId="0" fillId="6" borderId="8" xfId="0" applyFill="1" applyBorder="1" applyAlignment="1">
      <alignment vertical="center" wrapText="1"/>
    </xf>
    <xf numFmtId="0" fontId="0" fillId="0" borderId="0" xfId="0" applyAlignment="1">
      <alignment horizontal="center" vertical="top"/>
    </xf>
    <xf numFmtId="0" fontId="6" fillId="0" borderId="0" xfId="0" applyFont="1" applyAlignment="1">
      <alignment horizontal="center" vertical="top"/>
    </xf>
    <xf numFmtId="49" fontId="3" fillId="7" borderId="9" xfId="0" applyNumberFormat="1" applyFont="1" applyFill="1" applyBorder="1"/>
    <xf numFmtId="0" fontId="0" fillId="0" borderId="0" xfId="0" applyAlignment="1">
      <alignment horizontal="left" vertical="center" wrapText="1"/>
    </xf>
    <xf numFmtId="0" fontId="0" fillId="0" borderId="0" xfId="0" applyAlignment="1">
      <alignment horizontal="left" vertical="center"/>
    </xf>
    <xf numFmtId="0" fontId="6" fillId="0" borderId="0" xfId="0" applyFont="1" applyAlignment="1">
      <alignment vertical="center"/>
    </xf>
    <xf numFmtId="49" fontId="3" fillId="0" borderId="0" xfId="0" applyNumberFormat="1" applyFont="1" applyFill="1"/>
    <xf numFmtId="0" fontId="3" fillId="0" borderId="0" xfId="0" applyFont="1" applyFill="1"/>
    <xf numFmtId="0" fontId="0" fillId="0" borderId="0" xfId="0"/>
    <xf numFmtId="0" fontId="3" fillId="0" borderId="1" xfId="0" applyFont="1" applyFill="1" applyBorder="1"/>
    <xf numFmtId="49" fontId="3" fillId="0" borderId="1" xfId="0" applyNumberFormat="1" applyFont="1" applyFill="1" applyBorder="1"/>
    <xf numFmtId="0" fontId="0" fillId="0" borderId="0" xfId="0" applyNumberFormat="1"/>
    <xf numFmtId="0" fontId="1" fillId="0" borderId="0" xfId="0" applyNumberFormat="1" applyFont="1" applyAlignment="1">
      <alignment horizontal="center" vertical="center" wrapText="1"/>
    </xf>
    <xf numFmtId="49" fontId="1" fillId="0" borderId="0" xfId="0" applyNumberFormat="1" applyFont="1" applyAlignment="1">
      <alignment horizontal="center" vertical="center" wrapText="1"/>
    </xf>
    <xf numFmtId="0" fontId="1" fillId="0" borderId="0" xfId="0" applyNumberFormat="1" applyFont="1" applyAlignment="1">
      <alignment horizontal="center" vertical="center"/>
    </xf>
    <xf numFmtId="49" fontId="23" fillId="0" borderId="0" xfId="0" applyNumberFormat="1" applyFont="1" applyAlignment="1">
      <alignment wrapText="1"/>
    </xf>
    <xf numFmtId="0" fontId="0" fillId="0" borderId="0" xfId="0" applyAlignment="1">
      <alignment wrapText="1"/>
    </xf>
    <xf numFmtId="49" fontId="0" fillId="0" borderId="0" xfId="0" applyNumberFormat="1" applyAlignment="1">
      <alignment wrapText="1"/>
    </xf>
    <xf numFmtId="49" fontId="1" fillId="0" borderId="0" xfId="0" applyNumberFormat="1" applyFont="1" applyAlignment="1">
      <alignment horizontal="center" vertical="center" wrapText="1"/>
    </xf>
    <xf numFmtId="49" fontId="0" fillId="0" borderId="0" xfId="0" quotePrefix="1" applyNumberFormat="1"/>
    <xf numFmtId="0" fontId="0" fillId="0" borderId="0" xfId="0" quotePrefix="1"/>
    <xf numFmtId="49" fontId="1" fillId="0" borderId="0" xfId="0" applyNumberFormat="1" applyFont="1" applyAlignment="1">
      <alignment horizontal="center" vertical="center" wrapText="1"/>
    </xf>
    <xf numFmtId="0" fontId="0" fillId="0" borderId="0" xfId="0" applyProtection="1">
      <protection locked="0"/>
    </xf>
    <xf numFmtId="49" fontId="1" fillId="0" borderId="0" xfId="0" applyNumberFormat="1" applyFont="1" applyAlignment="1">
      <alignment horizontal="center" vertical="center" wrapText="1"/>
    </xf>
    <xf numFmtId="0" fontId="5" fillId="4" borderId="1" xfId="0" applyFont="1" applyFill="1" applyBorder="1"/>
    <xf numFmtId="49" fontId="1" fillId="0" borderId="0" xfId="0" applyNumberFormat="1" applyFont="1" applyAlignment="1">
      <alignment horizontal="center" vertical="center"/>
    </xf>
    <xf numFmtId="49" fontId="1" fillId="0" borderId="0" xfId="0" applyNumberFormat="1" applyFont="1" applyAlignment="1">
      <alignment horizontal="center" vertical="center" wrapText="1"/>
    </xf>
    <xf numFmtId="0" fontId="0" fillId="0" borderId="0" xfId="0" applyAlignment="1">
      <alignment horizontal="left" vertical="top" wrapText="1"/>
    </xf>
    <xf numFmtId="0" fontId="8" fillId="0" borderId="0" xfId="0" applyFont="1" applyAlignment="1">
      <alignment horizontal="left" vertical="center" wrapText="1"/>
    </xf>
    <xf numFmtId="0" fontId="0" fillId="0" borderId="0" xfId="0" applyAlignment="1">
      <alignment horizontal="left" vertical="center" wrapText="1"/>
    </xf>
    <xf numFmtId="0" fontId="6" fillId="0" borderId="0" xfId="0" applyFont="1" applyAlignment="1">
      <alignment horizontal="left" vertical="center" wrapText="1"/>
    </xf>
    <xf numFmtId="0" fontId="6" fillId="5" borderId="2" xfId="0" applyFont="1" applyFill="1" applyBorder="1" applyAlignment="1">
      <alignment horizontal="center" vertical="center"/>
    </xf>
    <xf numFmtId="0" fontId="6" fillId="5" borderId="3" xfId="0" applyFont="1" applyFill="1" applyBorder="1" applyAlignment="1">
      <alignment horizontal="center" vertical="center"/>
    </xf>
    <xf numFmtId="0" fontId="7" fillId="0" borderId="0" xfId="0" applyFont="1" applyAlignment="1">
      <alignment horizontal="center" vertical="center"/>
    </xf>
    <xf numFmtId="0" fontId="0" fillId="0" borderId="0" xfId="0" applyAlignment="1">
      <alignment horizontal="left" vertical="center"/>
    </xf>
    <xf numFmtId="49" fontId="3" fillId="2" borderId="1" xfId="0" applyNumberFormat="1" applyFont="1" applyFill="1" applyBorder="1"/>
  </cellXfs>
  <cellStyles count="42">
    <cellStyle name="20% - Accent1" xfId="17" builtinId="30" customBuiltin="1"/>
    <cellStyle name="20% - Accent2" xfId="20" builtinId="34" customBuiltin="1"/>
    <cellStyle name="20% - Accent3" xfId="23" builtinId="38" customBuiltin="1"/>
    <cellStyle name="20% - Accent4" xfId="26" builtinId="42" customBuiltin="1"/>
    <cellStyle name="20% - Accent5" xfId="29" builtinId="46" customBuiltin="1"/>
    <cellStyle name="20% - Accent6" xfId="32" builtinId="50" customBuiltin="1"/>
    <cellStyle name="40% - Accent1" xfId="18" builtinId="31" customBuiltin="1"/>
    <cellStyle name="40% - Accent2" xfId="21" builtinId="35" customBuiltin="1"/>
    <cellStyle name="40% - Accent3" xfId="24" builtinId="39" customBuiltin="1"/>
    <cellStyle name="40% - Accent4" xfId="27" builtinId="43" customBuiltin="1"/>
    <cellStyle name="40% - Accent5" xfId="30" builtinId="47" customBuiltin="1"/>
    <cellStyle name="40% - Accent6" xfId="33" builtinId="51" customBuiltin="1"/>
    <cellStyle name="60% - Accent1 2" xfId="36" xr:uid="{00000000-0005-0000-0000-00000C000000}"/>
    <cellStyle name="60% - Accent2 2" xfId="37" xr:uid="{00000000-0005-0000-0000-00000D000000}"/>
    <cellStyle name="60% - Accent3 2" xfId="38" xr:uid="{00000000-0005-0000-0000-00000E000000}"/>
    <cellStyle name="60% - Accent4 2" xfId="39" xr:uid="{00000000-0005-0000-0000-00000F000000}"/>
    <cellStyle name="60% - Accent5 2" xfId="40" xr:uid="{00000000-0005-0000-0000-000010000000}"/>
    <cellStyle name="60% - Accent6 2" xfId="41" xr:uid="{00000000-0005-0000-0000-000011000000}"/>
    <cellStyle name="Accent1" xfId="16" builtinId="29" customBuiltin="1"/>
    <cellStyle name="Accent2" xfId="19" builtinId="33" customBuiltin="1"/>
    <cellStyle name="Accent3" xfId="22" builtinId="37" customBuiltin="1"/>
    <cellStyle name="Accent4" xfId="25" builtinId="41" customBuiltin="1"/>
    <cellStyle name="Accent5" xfId="28" builtinId="45" customBuiltin="1"/>
    <cellStyle name="Accent6" xfId="31" builtinId="49" customBuiltin="1"/>
    <cellStyle name="Bad" xfId="6" builtinId="27" customBuiltin="1"/>
    <cellStyle name="Calculation" xfId="9" builtinId="22" customBuiltin="1"/>
    <cellStyle name="Check Cell" xfId="11" builtinId="23" customBuiltin="1"/>
    <cellStyle name="Explanatory Text" xfId="14"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Input" xfId="7" builtinId="20" customBuiltin="1"/>
    <cellStyle name="Linked Cell" xfId="10" builtinId="24" customBuiltin="1"/>
    <cellStyle name="Neutral 2" xfId="35" xr:uid="{00000000-0005-0000-0000-000023000000}"/>
    <cellStyle name="Normal" xfId="0" builtinId="0"/>
    <cellStyle name="Note" xfId="13" builtinId="10" customBuiltin="1"/>
    <cellStyle name="Output" xfId="8" builtinId="21" customBuiltin="1"/>
    <cellStyle name="Title 2" xfId="34" xr:uid="{00000000-0005-0000-0000-000027000000}"/>
    <cellStyle name="Total" xfId="15" builtinId="25" customBuiltin="1"/>
    <cellStyle name="Warning Text" xfId="12" builtinId="11" customBuiltin="1"/>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5" Type="http://schemas.openxmlformats.org/officeDocument/2006/relationships/image" Target="../media/image7.png"/><Relationship Id="rId4"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57150</xdr:colOff>
          <xdr:row>2</xdr:row>
          <xdr:rowOff>66675</xdr:rowOff>
        </xdr:to>
        <xdr:sp macro="" textlink="">
          <xdr:nvSpPr>
            <xdr:cNvPr id="1033" name="TempCombo"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1</xdr:row>
      <xdr:rowOff>0</xdr:rowOff>
    </xdr:from>
    <xdr:to>
      <xdr:col>1</xdr:col>
      <xdr:colOff>9525</xdr:colOff>
      <xdr:row>2</xdr:row>
      <xdr:rowOff>66675</xdr:rowOff>
    </xdr:to>
    <xdr:sp macro="" textlink="">
      <xdr:nvSpPr>
        <xdr:cNvPr id="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0</xdr:colOff>
      <xdr:row>1</xdr:row>
      <xdr:rowOff>0</xdr:rowOff>
    </xdr:from>
    <xdr:to>
      <xdr:col>1</xdr:col>
      <xdr:colOff>9525</xdr:colOff>
      <xdr:row>2</xdr:row>
      <xdr:rowOff>66675</xdr:rowOff>
    </xdr:to>
    <xdr:pic>
      <xdr:nvPicPr>
        <xdr:cNvPr id="1035" name="Picture 11" hidden="1">
          <a:extLst>
            <a:ext uri="{FF2B5EF4-FFF2-40B4-BE49-F238E27FC236}">
              <a16:creationId xmlns:a16="http://schemas.microsoft.com/office/drawing/2014/main" id="{00000000-0008-0000-0000-00000B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81000"/>
          <a:ext cx="1162050" cy="2571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oneCellAnchor>
    <xdr:from>
      <xdr:col>0</xdr:col>
      <xdr:colOff>0</xdr:colOff>
      <xdr:row>1</xdr:row>
      <xdr:rowOff>0</xdr:rowOff>
    </xdr:from>
    <xdr:ext cx="1158875" cy="254000"/>
    <xdr:sp macro="" textlink="">
      <xdr:nvSpPr>
        <xdr:cNvPr id="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 name="Picture 11" hidden="1">
          <a:extLst>
            <a:ext uri="{FF2B5EF4-FFF2-40B4-BE49-F238E27FC236}">
              <a16:creationId xmlns:a16="http://schemas.microsoft.com/office/drawing/2014/main" id="{00000000-0008-0000-0000-00000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 name="Picture 11" hidden="1">
          <a:extLst>
            <a:ext uri="{FF2B5EF4-FFF2-40B4-BE49-F238E27FC236}">
              <a16:creationId xmlns:a16="http://schemas.microsoft.com/office/drawing/2014/main" id="{00000000-0008-0000-0000-00000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 name="Picture 11" hidden="1">
          <a:extLst>
            <a:ext uri="{FF2B5EF4-FFF2-40B4-BE49-F238E27FC236}">
              <a16:creationId xmlns:a16="http://schemas.microsoft.com/office/drawing/2014/main" id="{00000000-0008-0000-0000-00000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 name="Picture 11" hidden="1">
          <a:extLst>
            <a:ext uri="{FF2B5EF4-FFF2-40B4-BE49-F238E27FC236}">
              <a16:creationId xmlns:a16="http://schemas.microsoft.com/office/drawing/2014/main" id="{00000000-0008-0000-0000-00000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 name="Picture 11" hidden="1">
          <a:extLst>
            <a:ext uri="{FF2B5EF4-FFF2-40B4-BE49-F238E27FC236}">
              <a16:creationId xmlns:a16="http://schemas.microsoft.com/office/drawing/2014/main" id="{00000000-0008-0000-0000-00000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 name="Picture 11" hidden="1">
          <a:extLst>
            <a:ext uri="{FF2B5EF4-FFF2-40B4-BE49-F238E27FC236}">
              <a16:creationId xmlns:a16="http://schemas.microsoft.com/office/drawing/2014/main" id="{00000000-0008-0000-0000-00001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 name="Picture 11" hidden="1">
          <a:extLst>
            <a:ext uri="{FF2B5EF4-FFF2-40B4-BE49-F238E27FC236}">
              <a16:creationId xmlns:a16="http://schemas.microsoft.com/office/drawing/2014/main" id="{00000000-0008-0000-0000-00001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 name="Picture 11" hidden="1">
          <a:extLst>
            <a:ext uri="{FF2B5EF4-FFF2-40B4-BE49-F238E27FC236}">
              <a16:creationId xmlns:a16="http://schemas.microsoft.com/office/drawing/2014/main" id="{00000000-0008-0000-0000-00001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 name="Picture 11" hidden="1">
          <a:extLst>
            <a:ext uri="{FF2B5EF4-FFF2-40B4-BE49-F238E27FC236}">
              <a16:creationId xmlns:a16="http://schemas.microsoft.com/office/drawing/2014/main" id="{00000000-0008-0000-0000-00001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 name="Picture 11" hidden="1">
          <a:extLst>
            <a:ext uri="{FF2B5EF4-FFF2-40B4-BE49-F238E27FC236}">
              <a16:creationId xmlns:a16="http://schemas.microsoft.com/office/drawing/2014/main" id="{00000000-0008-0000-0000-00001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 name="Picture 11" hidden="1">
          <a:extLst>
            <a:ext uri="{FF2B5EF4-FFF2-40B4-BE49-F238E27FC236}">
              <a16:creationId xmlns:a16="http://schemas.microsoft.com/office/drawing/2014/main" id="{00000000-0008-0000-0000-00001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 name="Picture 11" hidden="1">
          <a:extLst>
            <a:ext uri="{FF2B5EF4-FFF2-40B4-BE49-F238E27FC236}">
              <a16:creationId xmlns:a16="http://schemas.microsoft.com/office/drawing/2014/main" id="{00000000-0008-0000-0000-00001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 name="Picture 11" hidden="1">
          <a:extLst>
            <a:ext uri="{FF2B5EF4-FFF2-40B4-BE49-F238E27FC236}">
              <a16:creationId xmlns:a16="http://schemas.microsoft.com/office/drawing/2014/main" id="{00000000-0008-0000-0000-00001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 name="Picture 11" hidden="1">
          <a:extLst>
            <a:ext uri="{FF2B5EF4-FFF2-40B4-BE49-F238E27FC236}">
              <a16:creationId xmlns:a16="http://schemas.microsoft.com/office/drawing/2014/main" id="{00000000-0008-0000-0000-00002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 name="Picture 11" hidden="1">
          <a:extLst>
            <a:ext uri="{FF2B5EF4-FFF2-40B4-BE49-F238E27FC236}">
              <a16:creationId xmlns:a16="http://schemas.microsoft.com/office/drawing/2014/main" id="{00000000-0008-0000-0000-00002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 name="Picture 11" hidden="1">
          <a:extLst>
            <a:ext uri="{FF2B5EF4-FFF2-40B4-BE49-F238E27FC236}">
              <a16:creationId xmlns:a16="http://schemas.microsoft.com/office/drawing/2014/main" id="{00000000-0008-0000-0000-00002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 name="Picture 11" hidden="1">
          <a:extLst>
            <a:ext uri="{FF2B5EF4-FFF2-40B4-BE49-F238E27FC236}">
              <a16:creationId xmlns:a16="http://schemas.microsoft.com/office/drawing/2014/main" id="{00000000-0008-0000-0000-00002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 name="Picture 11" hidden="1">
          <a:extLst>
            <a:ext uri="{FF2B5EF4-FFF2-40B4-BE49-F238E27FC236}">
              <a16:creationId xmlns:a16="http://schemas.microsoft.com/office/drawing/2014/main" id="{00000000-0008-0000-0000-00002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 name="Picture 11" hidden="1">
          <a:extLst>
            <a:ext uri="{FF2B5EF4-FFF2-40B4-BE49-F238E27FC236}">
              <a16:creationId xmlns:a16="http://schemas.microsoft.com/office/drawing/2014/main" id="{00000000-0008-0000-0000-00002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 name="Picture 11" hidden="1">
          <a:extLst>
            <a:ext uri="{FF2B5EF4-FFF2-40B4-BE49-F238E27FC236}">
              <a16:creationId xmlns:a16="http://schemas.microsoft.com/office/drawing/2014/main" id="{00000000-0008-0000-0000-00002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 name="Picture 11" hidden="1">
          <a:extLst>
            <a:ext uri="{FF2B5EF4-FFF2-40B4-BE49-F238E27FC236}">
              <a16:creationId xmlns:a16="http://schemas.microsoft.com/office/drawing/2014/main" id="{00000000-0008-0000-0000-00002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 name="Picture 11" hidden="1">
          <a:extLst>
            <a:ext uri="{FF2B5EF4-FFF2-40B4-BE49-F238E27FC236}">
              <a16:creationId xmlns:a16="http://schemas.microsoft.com/office/drawing/2014/main" id="{00000000-0008-0000-0000-00003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 name="Picture 11" hidden="1">
          <a:extLst>
            <a:ext uri="{FF2B5EF4-FFF2-40B4-BE49-F238E27FC236}">
              <a16:creationId xmlns:a16="http://schemas.microsoft.com/office/drawing/2014/main" id="{00000000-0008-0000-0000-00003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 name="Picture 11" hidden="1">
          <a:extLst>
            <a:ext uri="{FF2B5EF4-FFF2-40B4-BE49-F238E27FC236}">
              <a16:creationId xmlns:a16="http://schemas.microsoft.com/office/drawing/2014/main" id="{00000000-0008-0000-0000-00003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 name="Picture 11" hidden="1">
          <a:extLst>
            <a:ext uri="{FF2B5EF4-FFF2-40B4-BE49-F238E27FC236}">
              <a16:creationId xmlns:a16="http://schemas.microsoft.com/office/drawing/2014/main" id="{00000000-0008-0000-0000-00003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 name="Picture 11" hidden="1">
          <a:extLst>
            <a:ext uri="{FF2B5EF4-FFF2-40B4-BE49-F238E27FC236}">
              <a16:creationId xmlns:a16="http://schemas.microsoft.com/office/drawing/2014/main" id="{00000000-0008-0000-0000-00003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 name="Picture 11" hidden="1">
          <a:extLst>
            <a:ext uri="{FF2B5EF4-FFF2-40B4-BE49-F238E27FC236}">
              <a16:creationId xmlns:a16="http://schemas.microsoft.com/office/drawing/2014/main" id="{00000000-0008-0000-0000-00003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 name="Picture 11" hidden="1">
          <a:extLst>
            <a:ext uri="{FF2B5EF4-FFF2-40B4-BE49-F238E27FC236}">
              <a16:creationId xmlns:a16="http://schemas.microsoft.com/office/drawing/2014/main" id="{00000000-0008-0000-0000-00003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 name="Picture 11" hidden="1">
          <a:extLst>
            <a:ext uri="{FF2B5EF4-FFF2-40B4-BE49-F238E27FC236}">
              <a16:creationId xmlns:a16="http://schemas.microsoft.com/office/drawing/2014/main" id="{00000000-0008-0000-0000-00003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 name="Picture 11" hidden="1">
          <a:extLst>
            <a:ext uri="{FF2B5EF4-FFF2-40B4-BE49-F238E27FC236}">
              <a16:creationId xmlns:a16="http://schemas.microsoft.com/office/drawing/2014/main" id="{00000000-0008-0000-0000-00004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 name="Picture 11" hidden="1">
          <a:extLst>
            <a:ext uri="{FF2B5EF4-FFF2-40B4-BE49-F238E27FC236}">
              <a16:creationId xmlns:a16="http://schemas.microsoft.com/office/drawing/2014/main" id="{00000000-0008-0000-0000-00004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 name="Picture 11" hidden="1">
          <a:extLst>
            <a:ext uri="{FF2B5EF4-FFF2-40B4-BE49-F238E27FC236}">
              <a16:creationId xmlns:a16="http://schemas.microsoft.com/office/drawing/2014/main" id="{00000000-0008-0000-0000-00004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 name="Picture 11" hidden="1">
          <a:extLst>
            <a:ext uri="{FF2B5EF4-FFF2-40B4-BE49-F238E27FC236}">
              <a16:creationId xmlns:a16="http://schemas.microsoft.com/office/drawing/2014/main" id="{00000000-0008-0000-0000-00004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 name="Picture 11" hidden="1">
          <a:extLst>
            <a:ext uri="{FF2B5EF4-FFF2-40B4-BE49-F238E27FC236}">
              <a16:creationId xmlns:a16="http://schemas.microsoft.com/office/drawing/2014/main" id="{00000000-0008-0000-0000-00004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 name="Picture 11" hidden="1">
          <a:extLst>
            <a:ext uri="{FF2B5EF4-FFF2-40B4-BE49-F238E27FC236}">
              <a16:creationId xmlns:a16="http://schemas.microsoft.com/office/drawing/2014/main" id="{00000000-0008-0000-0000-00004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 name="Picture 11" hidden="1">
          <a:extLst>
            <a:ext uri="{FF2B5EF4-FFF2-40B4-BE49-F238E27FC236}">
              <a16:creationId xmlns:a16="http://schemas.microsoft.com/office/drawing/2014/main" id="{00000000-0008-0000-0000-00004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 name="Picture 11" hidden="1">
          <a:extLst>
            <a:ext uri="{FF2B5EF4-FFF2-40B4-BE49-F238E27FC236}">
              <a16:creationId xmlns:a16="http://schemas.microsoft.com/office/drawing/2014/main" id="{00000000-0008-0000-0000-00004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 name="Picture 11" hidden="1">
          <a:extLst>
            <a:ext uri="{FF2B5EF4-FFF2-40B4-BE49-F238E27FC236}">
              <a16:creationId xmlns:a16="http://schemas.microsoft.com/office/drawing/2014/main" id="{00000000-0008-0000-0000-00005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 name="Picture 11" hidden="1">
          <a:extLst>
            <a:ext uri="{FF2B5EF4-FFF2-40B4-BE49-F238E27FC236}">
              <a16:creationId xmlns:a16="http://schemas.microsoft.com/office/drawing/2014/main" id="{00000000-0008-0000-0000-00005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 name="Picture 11" hidden="1">
          <a:extLst>
            <a:ext uri="{FF2B5EF4-FFF2-40B4-BE49-F238E27FC236}">
              <a16:creationId xmlns:a16="http://schemas.microsoft.com/office/drawing/2014/main" id="{00000000-0008-0000-0000-00005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 name="Picture 11" hidden="1">
          <a:extLst>
            <a:ext uri="{FF2B5EF4-FFF2-40B4-BE49-F238E27FC236}">
              <a16:creationId xmlns:a16="http://schemas.microsoft.com/office/drawing/2014/main" id="{00000000-0008-0000-0000-00005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 name="Picture 11" hidden="1">
          <a:extLst>
            <a:ext uri="{FF2B5EF4-FFF2-40B4-BE49-F238E27FC236}">
              <a16:creationId xmlns:a16="http://schemas.microsoft.com/office/drawing/2014/main" id="{00000000-0008-0000-0000-00005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 name="Picture 11" hidden="1">
          <a:extLst>
            <a:ext uri="{FF2B5EF4-FFF2-40B4-BE49-F238E27FC236}">
              <a16:creationId xmlns:a16="http://schemas.microsoft.com/office/drawing/2014/main" id="{00000000-0008-0000-0000-00005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 name="Picture 11" hidden="1">
          <a:extLst>
            <a:ext uri="{FF2B5EF4-FFF2-40B4-BE49-F238E27FC236}">
              <a16:creationId xmlns:a16="http://schemas.microsoft.com/office/drawing/2014/main" id="{00000000-0008-0000-0000-00005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 name="Picture 11" hidden="1">
          <a:extLst>
            <a:ext uri="{FF2B5EF4-FFF2-40B4-BE49-F238E27FC236}">
              <a16:creationId xmlns:a16="http://schemas.microsoft.com/office/drawing/2014/main" id="{00000000-0008-0000-0000-00005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 name="Picture 11" hidden="1">
          <a:extLst>
            <a:ext uri="{FF2B5EF4-FFF2-40B4-BE49-F238E27FC236}">
              <a16:creationId xmlns:a16="http://schemas.microsoft.com/office/drawing/2014/main" id="{00000000-0008-0000-0000-00006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 name="Picture 11" hidden="1">
          <a:extLst>
            <a:ext uri="{FF2B5EF4-FFF2-40B4-BE49-F238E27FC236}">
              <a16:creationId xmlns:a16="http://schemas.microsoft.com/office/drawing/2014/main" id="{00000000-0008-0000-0000-00006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 name="Picture 11" hidden="1">
          <a:extLst>
            <a:ext uri="{FF2B5EF4-FFF2-40B4-BE49-F238E27FC236}">
              <a16:creationId xmlns:a16="http://schemas.microsoft.com/office/drawing/2014/main" id="{00000000-0008-0000-0000-00006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 name="Picture 11" hidden="1">
          <a:extLst>
            <a:ext uri="{FF2B5EF4-FFF2-40B4-BE49-F238E27FC236}">
              <a16:creationId xmlns:a16="http://schemas.microsoft.com/office/drawing/2014/main" id="{00000000-0008-0000-0000-00006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 name="Picture 11" hidden="1">
          <a:extLst>
            <a:ext uri="{FF2B5EF4-FFF2-40B4-BE49-F238E27FC236}">
              <a16:creationId xmlns:a16="http://schemas.microsoft.com/office/drawing/2014/main" id="{00000000-0008-0000-0000-00006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 name="Picture 11" hidden="1">
          <a:extLst>
            <a:ext uri="{FF2B5EF4-FFF2-40B4-BE49-F238E27FC236}">
              <a16:creationId xmlns:a16="http://schemas.microsoft.com/office/drawing/2014/main" id="{00000000-0008-0000-0000-00006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 name="Picture 11" hidden="1">
          <a:extLst>
            <a:ext uri="{FF2B5EF4-FFF2-40B4-BE49-F238E27FC236}">
              <a16:creationId xmlns:a16="http://schemas.microsoft.com/office/drawing/2014/main" id="{00000000-0008-0000-0000-00006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 name="Picture 11" hidden="1">
          <a:extLst>
            <a:ext uri="{FF2B5EF4-FFF2-40B4-BE49-F238E27FC236}">
              <a16:creationId xmlns:a16="http://schemas.microsoft.com/office/drawing/2014/main" id="{00000000-0008-0000-0000-00006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 name="Picture 11" hidden="1">
          <a:extLst>
            <a:ext uri="{FF2B5EF4-FFF2-40B4-BE49-F238E27FC236}">
              <a16:creationId xmlns:a16="http://schemas.microsoft.com/office/drawing/2014/main" id="{00000000-0008-0000-0000-00007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 name="Picture 11" hidden="1">
          <a:extLst>
            <a:ext uri="{FF2B5EF4-FFF2-40B4-BE49-F238E27FC236}">
              <a16:creationId xmlns:a16="http://schemas.microsoft.com/office/drawing/2014/main" id="{00000000-0008-0000-0000-00007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 name="Picture 11" hidden="1">
          <a:extLst>
            <a:ext uri="{FF2B5EF4-FFF2-40B4-BE49-F238E27FC236}">
              <a16:creationId xmlns:a16="http://schemas.microsoft.com/office/drawing/2014/main" id="{00000000-0008-0000-0000-00007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 name="Picture 11" hidden="1">
          <a:extLst>
            <a:ext uri="{FF2B5EF4-FFF2-40B4-BE49-F238E27FC236}">
              <a16:creationId xmlns:a16="http://schemas.microsoft.com/office/drawing/2014/main" id="{00000000-0008-0000-0000-00007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 name="Picture 119" hidden="1">
          <a:extLst>
            <a:ext uri="{FF2B5EF4-FFF2-40B4-BE49-F238E27FC236}">
              <a16:creationId xmlns:a16="http://schemas.microsoft.com/office/drawing/2014/main" id="{00000000-0008-0000-0000-00007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 name="Picture 11" hidden="1">
          <a:extLst>
            <a:ext uri="{FF2B5EF4-FFF2-40B4-BE49-F238E27FC236}">
              <a16:creationId xmlns:a16="http://schemas.microsoft.com/office/drawing/2014/main" id="{00000000-0008-0000-0000-00007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 name="Picture 11" hidden="1">
          <a:extLst>
            <a:ext uri="{FF2B5EF4-FFF2-40B4-BE49-F238E27FC236}">
              <a16:creationId xmlns:a16="http://schemas.microsoft.com/office/drawing/2014/main" id="{00000000-0008-0000-0000-00007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 name="Picture 11" hidden="1">
          <a:extLst>
            <a:ext uri="{FF2B5EF4-FFF2-40B4-BE49-F238E27FC236}">
              <a16:creationId xmlns:a16="http://schemas.microsoft.com/office/drawing/2014/main" id="{00000000-0008-0000-0000-00007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8" name="Picture 11" hidden="1">
          <a:extLst>
            <a:ext uri="{FF2B5EF4-FFF2-40B4-BE49-F238E27FC236}">
              <a16:creationId xmlns:a16="http://schemas.microsoft.com/office/drawing/2014/main" id="{00000000-0008-0000-0000-00008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0" name="Picture 11" hidden="1">
          <a:extLst>
            <a:ext uri="{FF2B5EF4-FFF2-40B4-BE49-F238E27FC236}">
              <a16:creationId xmlns:a16="http://schemas.microsoft.com/office/drawing/2014/main" id="{00000000-0008-0000-0000-00008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2" name="Picture 11" hidden="1">
          <a:extLst>
            <a:ext uri="{FF2B5EF4-FFF2-40B4-BE49-F238E27FC236}">
              <a16:creationId xmlns:a16="http://schemas.microsoft.com/office/drawing/2014/main" id="{00000000-0008-0000-0000-00008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4" name="Picture 11" hidden="1">
          <a:extLst>
            <a:ext uri="{FF2B5EF4-FFF2-40B4-BE49-F238E27FC236}">
              <a16:creationId xmlns:a16="http://schemas.microsoft.com/office/drawing/2014/main" id="{00000000-0008-0000-0000-00008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6" name="Picture 11" hidden="1">
          <a:extLst>
            <a:ext uri="{FF2B5EF4-FFF2-40B4-BE49-F238E27FC236}">
              <a16:creationId xmlns:a16="http://schemas.microsoft.com/office/drawing/2014/main" id="{00000000-0008-0000-0000-00008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8" name="Picture 11" hidden="1">
          <a:extLst>
            <a:ext uri="{FF2B5EF4-FFF2-40B4-BE49-F238E27FC236}">
              <a16:creationId xmlns:a16="http://schemas.microsoft.com/office/drawing/2014/main" id="{00000000-0008-0000-0000-00008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0" name="Picture 11" hidden="1">
          <a:extLst>
            <a:ext uri="{FF2B5EF4-FFF2-40B4-BE49-F238E27FC236}">
              <a16:creationId xmlns:a16="http://schemas.microsoft.com/office/drawing/2014/main" id="{00000000-0008-0000-0000-00008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2" name="Picture 11" hidden="1">
          <a:extLst>
            <a:ext uri="{FF2B5EF4-FFF2-40B4-BE49-F238E27FC236}">
              <a16:creationId xmlns:a16="http://schemas.microsoft.com/office/drawing/2014/main" id="{00000000-0008-0000-0000-00008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4" name="Picture 11" hidden="1">
          <a:extLst>
            <a:ext uri="{FF2B5EF4-FFF2-40B4-BE49-F238E27FC236}">
              <a16:creationId xmlns:a16="http://schemas.microsoft.com/office/drawing/2014/main" id="{00000000-0008-0000-0000-00009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6" name="Picture 11" hidden="1">
          <a:extLst>
            <a:ext uri="{FF2B5EF4-FFF2-40B4-BE49-F238E27FC236}">
              <a16:creationId xmlns:a16="http://schemas.microsoft.com/office/drawing/2014/main" id="{00000000-0008-0000-0000-00009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8" name="Picture 11" hidden="1">
          <a:extLst>
            <a:ext uri="{FF2B5EF4-FFF2-40B4-BE49-F238E27FC236}">
              <a16:creationId xmlns:a16="http://schemas.microsoft.com/office/drawing/2014/main" id="{00000000-0008-0000-0000-00009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0" name="Picture 11" hidden="1">
          <a:extLst>
            <a:ext uri="{FF2B5EF4-FFF2-40B4-BE49-F238E27FC236}">
              <a16:creationId xmlns:a16="http://schemas.microsoft.com/office/drawing/2014/main" id="{00000000-0008-0000-0000-00009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2" name="Picture 11" hidden="1">
          <a:extLst>
            <a:ext uri="{FF2B5EF4-FFF2-40B4-BE49-F238E27FC236}">
              <a16:creationId xmlns:a16="http://schemas.microsoft.com/office/drawing/2014/main" id="{00000000-0008-0000-0000-00009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4" name="Picture 11" hidden="1">
          <a:extLst>
            <a:ext uri="{FF2B5EF4-FFF2-40B4-BE49-F238E27FC236}">
              <a16:creationId xmlns:a16="http://schemas.microsoft.com/office/drawing/2014/main" id="{00000000-0008-0000-0000-00009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6" name="Picture 11" hidden="1">
          <a:extLst>
            <a:ext uri="{FF2B5EF4-FFF2-40B4-BE49-F238E27FC236}">
              <a16:creationId xmlns:a16="http://schemas.microsoft.com/office/drawing/2014/main" id="{00000000-0008-0000-0000-00009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8" name="Picture 11" hidden="1">
          <a:extLst>
            <a:ext uri="{FF2B5EF4-FFF2-40B4-BE49-F238E27FC236}">
              <a16:creationId xmlns:a16="http://schemas.microsoft.com/office/drawing/2014/main" id="{00000000-0008-0000-0000-00009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0" name="Picture 11" hidden="1">
          <a:extLst>
            <a:ext uri="{FF2B5EF4-FFF2-40B4-BE49-F238E27FC236}">
              <a16:creationId xmlns:a16="http://schemas.microsoft.com/office/drawing/2014/main" id="{00000000-0008-0000-0000-0000A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2" name="Picture 11" hidden="1">
          <a:extLst>
            <a:ext uri="{FF2B5EF4-FFF2-40B4-BE49-F238E27FC236}">
              <a16:creationId xmlns:a16="http://schemas.microsoft.com/office/drawing/2014/main" id="{00000000-0008-0000-0000-0000A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4" name="Picture 11" hidden="1">
          <a:extLst>
            <a:ext uri="{FF2B5EF4-FFF2-40B4-BE49-F238E27FC236}">
              <a16:creationId xmlns:a16="http://schemas.microsoft.com/office/drawing/2014/main" id="{00000000-0008-0000-0000-0000A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6" name="Picture 11" hidden="1">
          <a:extLst>
            <a:ext uri="{FF2B5EF4-FFF2-40B4-BE49-F238E27FC236}">
              <a16:creationId xmlns:a16="http://schemas.microsoft.com/office/drawing/2014/main" id="{00000000-0008-0000-0000-0000A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8" name="Picture 11" hidden="1">
          <a:extLst>
            <a:ext uri="{FF2B5EF4-FFF2-40B4-BE49-F238E27FC236}">
              <a16:creationId xmlns:a16="http://schemas.microsoft.com/office/drawing/2014/main" id="{00000000-0008-0000-0000-0000A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0" name="Picture 11" hidden="1">
          <a:extLst>
            <a:ext uri="{FF2B5EF4-FFF2-40B4-BE49-F238E27FC236}">
              <a16:creationId xmlns:a16="http://schemas.microsoft.com/office/drawing/2014/main" id="{00000000-0008-0000-0000-0000A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2" name="Picture 11" hidden="1">
          <a:extLst>
            <a:ext uri="{FF2B5EF4-FFF2-40B4-BE49-F238E27FC236}">
              <a16:creationId xmlns:a16="http://schemas.microsoft.com/office/drawing/2014/main" id="{00000000-0008-0000-0000-0000A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4" name="Picture 11" hidden="1">
          <a:extLst>
            <a:ext uri="{FF2B5EF4-FFF2-40B4-BE49-F238E27FC236}">
              <a16:creationId xmlns:a16="http://schemas.microsoft.com/office/drawing/2014/main" id="{00000000-0008-0000-0000-0000A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6" name="Picture 11" hidden="1">
          <a:extLst>
            <a:ext uri="{FF2B5EF4-FFF2-40B4-BE49-F238E27FC236}">
              <a16:creationId xmlns:a16="http://schemas.microsoft.com/office/drawing/2014/main" id="{00000000-0008-0000-0000-0000B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8" name="Picture 11" hidden="1">
          <a:extLst>
            <a:ext uri="{FF2B5EF4-FFF2-40B4-BE49-F238E27FC236}">
              <a16:creationId xmlns:a16="http://schemas.microsoft.com/office/drawing/2014/main" id="{00000000-0008-0000-0000-0000B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0" name="Picture 11" hidden="1">
          <a:extLst>
            <a:ext uri="{FF2B5EF4-FFF2-40B4-BE49-F238E27FC236}">
              <a16:creationId xmlns:a16="http://schemas.microsoft.com/office/drawing/2014/main" id="{00000000-0008-0000-0000-0000B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2" name="Picture 11" hidden="1">
          <a:extLst>
            <a:ext uri="{FF2B5EF4-FFF2-40B4-BE49-F238E27FC236}">
              <a16:creationId xmlns:a16="http://schemas.microsoft.com/office/drawing/2014/main" id="{00000000-0008-0000-0000-0000B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4" name="Picture 11" hidden="1">
          <a:extLst>
            <a:ext uri="{FF2B5EF4-FFF2-40B4-BE49-F238E27FC236}">
              <a16:creationId xmlns:a16="http://schemas.microsoft.com/office/drawing/2014/main" id="{00000000-0008-0000-0000-0000B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6" name="Picture 11" hidden="1">
          <a:extLst>
            <a:ext uri="{FF2B5EF4-FFF2-40B4-BE49-F238E27FC236}">
              <a16:creationId xmlns:a16="http://schemas.microsoft.com/office/drawing/2014/main" id="{00000000-0008-0000-0000-0000B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8" name="Picture 11" hidden="1">
          <a:extLst>
            <a:ext uri="{FF2B5EF4-FFF2-40B4-BE49-F238E27FC236}">
              <a16:creationId xmlns:a16="http://schemas.microsoft.com/office/drawing/2014/main" id="{00000000-0008-0000-0000-0000B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0" name="Picture 11" hidden="1">
          <a:extLst>
            <a:ext uri="{FF2B5EF4-FFF2-40B4-BE49-F238E27FC236}">
              <a16:creationId xmlns:a16="http://schemas.microsoft.com/office/drawing/2014/main" id="{00000000-0008-0000-0000-0000B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2" name="Picture 11" hidden="1">
          <a:extLst>
            <a:ext uri="{FF2B5EF4-FFF2-40B4-BE49-F238E27FC236}">
              <a16:creationId xmlns:a16="http://schemas.microsoft.com/office/drawing/2014/main" id="{00000000-0008-0000-0000-0000C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4" name="Picture 11" hidden="1">
          <a:extLst>
            <a:ext uri="{FF2B5EF4-FFF2-40B4-BE49-F238E27FC236}">
              <a16:creationId xmlns:a16="http://schemas.microsoft.com/office/drawing/2014/main" id="{00000000-0008-0000-0000-0000C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6" name="Picture 11" hidden="1">
          <a:extLst>
            <a:ext uri="{FF2B5EF4-FFF2-40B4-BE49-F238E27FC236}">
              <a16:creationId xmlns:a16="http://schemas.microsoft.com/office/drawing/2014/main" id="{00000000-0008-0000-0000-0000C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8" name="Picture 11" hidden="1">
          <a:extLst>
            <a:ext uri="{FF2B5EF4-FFF2-40B4-BE49-F238E27FC236}">
              <a16:creationId xmlns:a16="http://schemas.microsoft.com/office/drawing/2014/main" id="{00000000-0008-0000-0000-0000C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0" name="Picture 11" hidden="1">
          <a:extLst>
            <a:ext uri="{FF2B5EF4-FFF2-40B4-BE49-F238E27FC236}">
              <a16:creationId xmlns:a16="http://schemas.microsoft.com/office/drawing/2014/main" id="{00000000-0008-0000-0000-0000C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2" name="Picture 11" hidden="1">
          <a:extLst>
            <a:ext uri="{FF2B5EF4-FFF2-40B4-BE49-F238E27FC236}">
              <a16:creationId xmlns:a16="http://schemas.microsoft.com/office/drawing/2014/main" id="{00000000-0008-0000-0000-0000C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4" name="Picture 11" hidden="1">
          <a:extLst>
            <a:ext uri="{FF2B5EF4-FFF2-40B4-BE49-F238E27FC236}">
              <a16:creationId xmlns:a16="http://schemas.microsoft.com/office/drawing/2014/main" id="{00000000-0008-0000-0000-0000C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6" name="Picture 11" hidden="1">
          <a:extLst>
            <a:ext uri="{FF2B5EF4-FFF2-40B4-BE49-F238E27FC236}">
              <a16:creationId xmlns:a16="http://schemas.microsoft.com/office/drawing/2014/main" id="{00000000-0008-0000-0000-0000C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8" name="Picture 11" hidden="1">
          <a:extLst>
            <a:ext uri="{FF2B5EF4-FFF2-40B4-BE49-F238E27FC236}">
              <a16:creationId xmlns:a16="http://schemas.microsoft.com/office/drawing/2014/main" id="{00000000-0008-0000-0000-0000D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0" name="Picture 11" hidden="1">
          <a:extLst>
            <a:ext uri="{FF2B5EF4-FFF2-40B4-BE49-F238E27FC236}">
              <a16:creationId xmlns:a16="http://schemas.microsoft.com/office/drawing/2014/main" id="{00000000-0008-0000-0000-0000D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2" name="Picture 11" hidden="1">
          <a:extLst>
            <a:ext uri="{FF2B5EF4-FFF2-40B4-BE49-F238E27FC236}">
              <a16:creationId xmlns:a16="http://schemas.microsoft.com/office/drawing/2014/main" id="{00000000-0008-0000-0000-0000D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4" name="Picture 11" hidden="1">
          <a:extLst>
            <a:ext uri="{FF2B5EF4-FFF2-40B4-BE49-F238E27FC236}">
              <a16:creationId xmlns:a16="http://schemas.microsoft.com/office/drawing/2014/main" id="{00000000-0008-0000-0000-0000D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6" name="Picture 11" hidden="1">
          <a:extLst>
            <a:ext uri="{FF2B5EF4-FFF2-40B4-BE49-F238E27FC236}">
              <a16:creationId xmlns:a16="http://schemas.microsoft.com/office/drawing/2014/main" id="{00000000-0008-0000-0000-0000D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8" name="Picture 11" hidden="1">
          <a:extLst>
            <a:ext uri="{FF2B5EF4-FFF2-40B4-BE49-F238E27FC236}">
              <a16:creationId xmlns:a16="http://schemas.microsoft.com/office/drawing/2014/main" id="{00000000-0008-0000-0000-0000D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0" name="Picture 11" hidden="1">
          <a:extLst>
            <a:ext uri="{FF2B5EF4-FFF2-40B4-BE49-F238E27FC236}">
              <a16:creationId xmlns:a16="http://schemas.microsoft.com/office/drawing/2014/main" id="{00000000-0008-0000-0000-0000D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2" name="Picture 11" hidden="1">
          <a:extLst>
            <a:ext uri="{FF2B5EF4-FFF2-40B4-BE49-F238E27FC236}">
              <a16:creationId xmlns:a16="http://schemas.microsoft.com/office/drawing/2014/main" id="{00000000-0008-0000-0000-0000D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4" name="Picture 11" hidden="1">
          <a:extLst>
            <a:ext uri="{FF2B5EF4-FFF2-40B4-BE49-F238E27FC236}">
              <a16:creationId xmlns:a16="http://schemas.microsoft.com/office/drawing/2014/main" id="{00000000-0008-0000-0000-0000E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6" name="Picture 11" hidden="1">
          <a:extLst>
            <a:ext uri="{FF2B5EF4-FFF2-40B4-BE49-F238E27FC236}">
              <a16:creationId xmlns:a16="http://schemas.microsoft.com/office/drawing/2014/main" id="{00000000-0008-0000-0000-0000E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8" name="Picture 227" hidden="1">
          <a:extLst>
            <a:ext uri="{FF2B5EF4-FFF2-40B4-BE49-F238E27FC236}">
              <a16:creationId xmlns:a16="http://schemas.microsoft.com/office/drawing/2014/main" id="{00000000-0008-0000-0000-0000E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0" name="Picture 11" hidden="1">
          <a:extLst>
            <a:ext uri="{FF2B5EF4-FFF2-40B4-BE49-F238E27FC236}">
              <a16:creationId xmlns:a16="http://schemas.microsoft.com/office/drawing/2014/main" id="{00000000-0008-0000-0000-0000E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2" name="Picture 11" hidden="1">
          <a:extLst>
            <a:ext uri="{FF2B5EF4-FFF2-40B4-BE49-F238E27FC236}">
              <a16:creationId xmlns:a16="http://schemas.microsoft.com/office/drawing/2014/main" id="{00000000-0008-0000-0000-0000E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4" name="Picture 11" hidden="1">
          <a:extLst>
            <a:ext uri="{FF2B5EF4-FFF2-40B4-BE49-F238E27FC236}">
              <a16:creationId xmlns:a16="http://schemas.microsoft.com/office/drawing/2014/main" id="{00000000-0008-0000-0000-0000E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6" name="Picture 11" hidden="1">
          <a:extLst>
            <a:ext uri="{FF2B5EF4-FFF2-40B4-BE49-F238E27FC236}">
              <a16:creationId xmlns:a16="http://schemas.microsoft.com/office/drawing/2014/main" id="{00000000-0008-0000-0000-0000E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8" name="Picture 11" hidden="1">
          <a:extLst>
            <a:ext uri="{FF2B5EF4-FFF2-40B4-BE49-F238E27FC236}">
              <a16:creationId xmlns:a16="http://schemas.microsoft.com/office/drawing/2014/main" id="{00000000-0008-0000-0000-0000E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0" name="Picture 11" hidden="1">
          <a:extLst>
            <a:ext uri="{FF2B5EF4-FFF2-40B4-BE49-F238E27FC236}">
              <a16:creationId xmlns:a16="http://schemas.microsoft.com/office/drawing/2014/main" id="{00000000-0008-0000-0000-0000F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2" name="Picture 11" hidden="1">
          <a:extLst>
            <a:ext uri="{FF2B5EF4-FFF2-40B4-BE49-F238E27FC236}">
              <a16:creationId xmlns:a16="http://schemas.microsoft.com/office/drawing/2014/main" id="{00000000-0008-0000-0000-0000F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4" name="Picture 11" hidden="1">
          <a:extLst>
            <a:ext uri="{FF2B5EF4-FFF2-40B4-BE49-F238E27FC236}">
              <a16:creationId xmlns:a16="http://schemas.microsoft.com/office/drawing/2014/main" id="{00000000-0008-0000-0000-0000F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6" name="Picture 11" hidden="1">
          <a:extLst>
            <a:ext uri="{FF2B5EF4-FFF2-40B4-BE49-F238E27FC236}">
              <a16:creationId xmlns:a16="http://schemas.microsoft.com/office/drawing/2014/main" id="{00000000-0008-0000-0000-0000F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8" name="Picture 11" hidden="1">
          <a:extLst>
            <a:ext uri="{FF2B5EF4-FFF2-40B4-BE49-F238E27FC236}">
              <a16:creationId xmlns:a16="http://schemas.microsoft.com/office/drawing/2014/main" id="{00000000-0008-0000-0000-0000F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0" name="Picture 11" hidden="1">
          <a:extLst>
            <a:ext uri="{FF2B5EF4-FFF2-40B4-BE49-F238E27FC236}">
              <a16:creationId xmlns:a16="http://schemas.microsoft.com/office/drawing/2014/main" id="{00000000-0008-0000-0000-0000F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2" name="Picture 11" hidden="1">
          <a:extLst>
            <a:ext uri="{FF2B5EF4-FFF2-40B4-BE49-F238E27FC236}">
              <a16:creationId xmlns:a16="http://schemas.microsoft.com/office/drawing/2014/main" id="{00000000-0008-0000-0000-0000F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4" name="Picture 11" hidden="1">
          <a:extLst>
            <a:ext uri="{FF2B5EF4-FFF2-40B4-BE49-F238E27FC236}">
              <a16:creationId xmlns:a16="http://schemas.microsoft.com/office/drawing/2014/main" id="{00000000-0008-0000-0000-0000F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6" name="Picture 11" hidden="1">
          <a:extLst>
            <a:ext uri="{FF2B5EF4-FFF2-40B4-BE49-F238E27FC236}">
              <a16:creationId xmlns:a16="http://schemas.microsoft.com/office/drawing/2014/main" id="{00000000-0008-0000-0000-00000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8" name="Picture 11" hidden="1">
          <a:extLst>
            <a:ext uri="{FF2B5EF4-FFF2-40B4-BE49-F238E27FC236}">
              <a16:creationId xmlns:a16="http://schemas.microsoft.com/office/drawing/2014/main" id="{00000000-0008-0000-0000-00000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0" name="Picture 11" hidden="1">
          <a:extLst>
            <a:ext uri="{FF2B5EF4-FFF2-40B4-BE49-F238E27FC236}">
              <a16:creationId xmlns:a16="http://schemas.microsoft.com/office/drawing/2014/main" id="{00000000-0008-0000-0000-00000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2" name="Picture 11" hidden="1">
          <a:extLst>
            <a:ext uri="{FF2B5EF4-FFF2-40B4-BE49-F238E27FC236}">
              <a16:creationId xmlns:a16="http://schemas.microsoft.com/office/drawing/2014/main" id="{00000000-0008-0000-0000-00000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4" name="Picture 11" hidden="1">
          <a:extLst>
            <a:ext uri="{FF2B5EF4-FFF2-40B4-BE49-F238E27FC236}">
              <a16:creationId xmlns:a16="http://schemas.microsoft.com/office/drawing/2014/main" id="{00000000-0008-0000-0000-00000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6" name="Picture 11" hidden="1">
          <a:extLst>
            <a:ext uri="{FF2B5EF4-FFF2-40B4-BE49-F238E27FC236}">
              <a16:creationId xmlns:a16="http://schemas.microsoft.com/office/drawing/2014/main" id="{00000000-0008-0000-0000-00000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8" name="Picture 11" hidden="1">
          <a:extLst>
            <a:ext uri="{FF2B5EF4-FFF2-40B4-BE49-F238E27FC236}">
              <a16:creationId xmlns:a16="http://schemas.microsoft.com/office/drawing/2014/main" id="{00000000-0008-0000-0000-00000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0" name="Picture 11" hidden="1">
          <a:extLst>
            <a:ext uri="{FF2B5EF4-FFF2-40B4-BE49-F238E27FC236}">
              <a16:creationId xmlns:a16="http://schemas.microsoft.com/office/drawing/2014/main" id="{00000000-0008-0000-0000-00000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2" name="Picture 11" hidden="1">
          <a:extLst>
            <a:ext uri="{FF2B5EF4-FFF2-40B4-BE49-F238E27FC236}">
              <a16:creationId xmlns:a16="http://schemas.microsoft.com/office/drawing/2014/main" id="{00000000-0008-0000-0000-00001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4" name="Picture 11" hidden="1">
          <a:extLst>
            <a:ext uri="{FF2B5EF4-FFF2-40B4-BE49-F238E27FC236}">
              <a16:creationId xmlns:a16="http://schemas.microsoft.com/office/drawing/2014/main" id="{00000000-0008-0000-0000-00001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6" name="Picture 11" hidden="1">
          <a:extLst>
            <a:ext uri="{FF2B5EF4-FFF2-40B4-BE49-F238E27FC236}">
              <a16:creationId xmlns:a16="http://schemas.microsoft.com/office/drawing/2014/main" id="{00000000-0008-0000-0000-00001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8" name="Picture 11" hidden="1">
          <a:extLst>
            <a:ext uri="{FF2B5EF4-FFF2-40B4-BE49-F238E27FC236}">
              <a16:creationId xmlns:a16="http://schemas.microsoft.com/office/drawing/2014/main" id="{00000000-0008-0000-0000-00001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0" name="Picture 11" hidden="1">
          <a:extLst>
            <a:ext uri="{FF2B5EF4-FFF2-40B4-BE49-F238E27FC236}">
              <a16:creationId xmlns:a16="http://schemas.microsoft.com/office/drawing/2014/main" id="{00000000-0008-0000-0000-00001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2" name="Picture 11" hidden="1">
          <a:extLst>
            <a:ext uri="{FF2B5EF4-FFF2-40B4-BE49-F238E27FC236}">
              <a16:creationId xmlns:a16="http://schemas.microsoft.com/office/drawing/2014/main" id="{00000000-0008-0000-0000-00001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4" name="Picture 11" hidden="1">
          <a:extLst>
            <a:ext uri="{FF2B5EF4-FFF2-40B4-BE49-F238E27FC236}">
              <a16:creationId xmlns:a16="http://schemas.microsoft.com/office/drawing/2014/main" id="{00000000-0008-0000-0000-00001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6" name="Picture 11" hidden="1">
          <a:extLst>
            <a:ext uri="{FF2B5EF4-FFF2-40B4-BE49-F238E27FC236}">
              <a16:creationId xmlns:a16="http://schemas.microsoft.com/office/drawing/2014/main" id="{00000000-0008-0000-0000-00001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8" name="Picture 11" hidden="1">
          <a:extLst>
            <a:ext uri="{FF2B5EF4-FFF2-40B4-BE49-F238E27FC236}">
              <a16:creationId xmlns:a16="http://schemas.microsoft.com/office/drawing/2014/main" id="{00000000-0008-0000-0000-00002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0" name="Picture 11" hidden="1">
          <a:extLst>
            <a:ext uri="{FF2B5EF4-FFF2-40B4-BE49-F238E27FC236}">
              <a16:creationId xmlns:a16="http://schemas.microsoft.com/office/drawing/2014/main" id="{00000000-0008-0000-0000-00002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2" name="Picture 11" hidden="1">
          <a:extLst>
            <a:ext uri="{FF2B5EF4-FFF2-40B4-BE49-F238E27FC236}">
              <a16:creationId xmlns:a16="http://schemas.microsoft.com/office/drawing/2014/main" id="{00000000-0008-0000-0000-00002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4" name="Picture 11" hidden="1">
          <a:extLst>
            <a:ext uri="{FF2B5EF4-FFF2-40B4-BE49-F238E27FC236}">
              <a16:creationId xmlns:a16="http://schemas.microsoft.com/office/drawing/2014/main" id="{00000000-0008-0000-0000-00002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6" name="Picture 11" hidden="1">
          <a:extLst>
            <a:ext uri="{FF2B5EF4-FFF2-40B4-BE49-F238E27FC236}">
              <a16:creationId xmlns:a16="http://schemas.microsoft.com/office/drawing/2014/main" id="{00000000-0008-0000-0000-00002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8" name="Picture 11" hidden="1">
          <a:extLst>
            <a:ext uri="{FF2B5EF4-FFF2-40B4-BE49-F238E27FC236}">
              <a16:creationId xmlns:a16="http://schemas.microsoft.com/office/drawing/2014/main" id="{00000000-0008-0000-0000-00002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0" name="Picture 11" hidden="1">
          <a:extLst>
            <a:ext uri="{FF2B5EF4-FFF2-40B4-BE49-F238E27FC236}">
              <a16:creationId xmlns:a16="http://schemas.microsoft.com/office/drawing/2014/main" id="{00000000-0008-0000-0000-00002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2" name="Picture 11" hidden="1">
          <a:extLst>
            <a:ext uri="{FF2B5EF4-FFF2-40B4-BE49-F238E27FC236}">
              <a16:creationId xmlns:a16="http://schemas.microsoft.com/office/drawing/2014/main" id="{00000000-0008-0000-0000-00002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4" name="Picture 11" hidden="1">
          <a:extLst>
            <a:ext uri="{FF2B5EF4-FFF2-40B4-BE49-F238E27FC236}">
              <a16:creationId xmlns:a16="http://schemas.microsoft.com/office/drawing/2014/main" id="{00000000-0008-0000-0000-00003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6" name="Picture 11" hidden="1">
          <a:extLst>
            <a:ext uri="{FF2B5EF4-FFF2-40B4-BE49-F238E27FC236}">
              <a16:creationId xmlns:a16="http://schemas.microsoft.com/office/drawing/2014/main" id="{00000000-0008-0000-0000-00003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8" name="Picture 11" hidden="1">
          <a:extLst>
            <a:ext uri="{FF2B5EF4-FFF2-40B4-BE49-F238E27FC236}">
              <a16:creationId xmlns:a16="http://schemas.microsoft.com/office/drawing/2014/main" id="{00000000-0008-0000-0000-00003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0" name="Picture 11" hidden="1">
          <a:extLst>
            <a:ext uri="{FF2B5EF4-FFF2-40B4-BE49-F238E27FC236}">
              <a16:creationId xmlns:a16="http://schemas.microsoft.com/office/drawing/2014/main" id="{00000000-0008-0000-0000-00003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2" name="Picture 11" hidden="1">
          <a:extLst>
            <a:ext uri="{FF2B5EF4-FFF2-40B4-BE49-F238E27FC236}">
              <a16:creationId xmlns:a16="http://schemas.microsoft.com/office/drawing/2014/main" id="{00000000-0008-0000-0000-00003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4" name="Picture 11" hidden="1">
          <a:extLst>
            <a:ext uri="{FF2B5EF4-FFF2-40B4-BE49-F238E27FC236}">
              <a16:creationId xmlns:a16="http://schemas.microsoft.com/office/drawing/2014/main" id="{00000000-0008-0000-0000-00003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6" name="Picture 11" hidden="1">
          <a:extLst>
            <a:ext uri="{FF2B5EF4-FFF2-40B4-BE49-F238E27FC236}">
              <a16:creationId xmlns:a16="http://schemas.microsoft.com/office/drawing/2014/main" id="{00000000-0008-0000-0000-00003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8" name="Picture 11" hidden="1">
          <a:extLst>
            <a:ext uri="{FF2B5EF4-FFF2-40B4-BE49-F238E27FC236}">
              <a16:creationId xmlns:a16="http://schemas.microsoft.com/office/drawing/2014/main" id="{00000000-0008-0000-0000-00003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0" name="Picture 11" hidden="1">
          <a:extLst>
            <a:ext uri="{FF2B5EF4-FFF2-40B4-BE49-F238E27FC236}">
              <a16:creationId xmlns:a16="http://schemas.microsoft.com/office/drawing/2014/main" id="{00000000-0008-0000-0000-00004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2" name="Picture 11" hidden="1">
          <a:extLst>
            <a:ext uri="{FF2B5EF4-FFF2-40B4-BE49-F238E27FC236}">
              <a16:creationId xmlns:a16="http://schemas.microsoft.com/office/drawing/2014/main" id="{00000000-0008-0000-0000-00004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4" name="Picture 11" hidden="1">
          <a:extLst>
            <a:ext uri="{FF2B5EF4-FFF2-40B4-BE49-F238E27FC236}">
              <a16:creationId xmlns:a16="http://schemas.microsoft.com/office/drawing/2014/main" id="{00000000-0008-0000-0000-00004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6" name="Picture 11" hidden="1">
          <a:extLst>
            <a:ext uri="{FF2B5EF4-FFF2-40B4-BE49-F238E27FC236}">
              <a16:creationId xmlns:a16="http://schemas.microsoft.com/office/drawing/2014/main" id="{00000000-0008-0000-0000-00004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8" name="Picture 11" hidden="1">
          <a:extLst>
            <a:ext uri="{FF2B5EF4-FFF2-40B4-BE49-F238E27FC236}">
              <a16:creationId xmlns:a16="http://schemas.microsoft.com/office/drawing/2014/main" id="{00000000-0008-0000-0000-00004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0" name="Picture 11" hidden="1">
          <a:extLst>
            <a:ext uri="{FF2B5EF4-FFF2-40B4-BE49-F238E27FC236}">
              <a16:creationId xmlns:a16="http://schemas.microsoft.com/office/drawing/2014/main" id="{00000000-0008-0000-0000-00004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2" name="Picture 11" hidden="1">
          <a:extLst>
            <a:ext uri="{FF2B5EF4-FFF2-40B4-BE49-F238E27FC236}">
              <a16:creationId xmlns:a16="http://schemas.microsoft.com/office/drawing/2014/main" id="{00000000-0008-0000-0000-00004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4" name="Picture 11" hidden="1">
          <a:extLst>
            <a:ext uri="{FF2B5EF4-FFF2-40B4-BE49-F238E27FC236}">
              <a16:creationId xmlns:a16="http://schemas.microsoft.com/office/drawing/2014/main" id="{00000000-0008-0000-0000-00004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6" name="Picture 335" hidden="1">
          <a:extLst>
            <a:ext uri="{FF2B5EF4-FFF2-40B4-BE49-F238E27FC236}">
              <a16:creationId xmlns:a16="http://schemas.microsoft.com/office/drawing/2014/main" id="{00000000-0008-0000-0000-00005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8" name="Picture 11" hidden="1">
          <a:extLst>
            <a:ext uri="{FF2B5EF4-FFF2-40B4-BE49-F238E27FC236}">
              <a16:creationId xmlns:a16="http://schemas.microsoft.com/office/drawing/2014/main" id="{00000000-0008-0000-0000-00005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0" name="Picture 11" hidden="1">
          <a:extLst>
            <a:ext uri="{FF2B5EF4-FFF2-40B4-BE49-F238E27FC236}">
              <a16:creationId xmlns:a16="http://schemas.microsoft.com/office/drawing/2014/main" id="{00000000-0008-0000-0000-00005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2" name="Picture 11" hidden="1">
          <a:extLst>
            <a:ext uri="{FF2B5EF4-FFF2-40B4-BE49-F238E27FC236}">
              <a16:creationId xmlns:a16="http://schemas.microsoft.com/office/drawing/2014/main" id="{00000000-0008-0000-0000-00005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4" name="Picture 11" hidden="1">
          <a:extLst>
            <a:ext uri="{FF2B5EF4-FFF2-40B4-BE49-F238E27FC236}">
              <a16:creationId xmlns:a16="http://schemas.microsoft.com/office/drawing/2014/main" id="{00000000-0008-0000-0000-00005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6" name="Picture 11" hidden="1">
          <a:extLst>
            <a:ext uri="{FF2B5EF4-FFF2-40B4-BE49-F238E27FC236}">
              <a16:creationId xmlns:a16="http://schemas.microsoft.com/office/drawing/2014/main" id="{00000000-0008-0000-0000-00005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8" name="Picture 11" hidden="1">
          <a:extLst>
            <a:ext uri="{FF2B5EF4-FFF2-40B4-BE49-F238E27FC236}">
              <a16:creationId xmlns:a16="http://schemas.microsoft.com/office/drawing/2014/main" id="{00000000-0008-0000-0000-00005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0" name="Picture 11" hidden="1">
          <a:extLst>
            <a:ext uri="{FF2B5EF4-FFF2-40B4-BE49-F238E27FC236}">
              <a16:creationId xmlns:a16="http://schemas.microsoft.com/office/drawing/2014/main" id="{00000000-0008-0000-0000-00005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2" name="Picture 11" hidden="1">
          <a:extLst>
            <a:ext uri="{FF2B5EF4-FFF2-40B4-BE49-F238E27FC236}">
              <a16:creationId xmlns:a16="http://schemas.microsoft.com/office/drawing/2014/main" id="{00000000-0008-0000-0000-00006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4" name="Picture 11" hidden="1">
          <a:extLst>
            <a:ext uri="{FF2B5EF4-FFF2-40B4-BE49-F238E27FC236}">
              <a16:creationId xmlns:a16="http://schemas.microsoft.com/office/drawing/2014/main" id="{00000000-0008-0000-0000-00006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6" name="Picture 11" hidden="1">
          <a:extLst>
            <a:ext uri="{FF2B5EF4-FFF2-40B4-BE49-F238E27FC236}">
              <a16:creationId xmlns:a16="http://schemas.microsoft.com/office/drawing/2014/main" id="{00000000-0008-0000-0000-00006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8" name="Picture 11" hidden="1">
          <a:extLst>
            <a:ext uri="{FF2B5EF4-FFF2-40B4-BE49-F238E27FC236}">
              <a16:creationId xmlns:a16="http://schemas.microsoft.com/office/drawing/2014/main" id="{00000000-0008-0000-0000-00006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0" name="Picture 11" hidden="1">
          <a:extLst>
            <a:ext uri="{FF2B5EF4-FFF2-40B4-BE49-F238E27FC236}">
              <a16:creationId xmlns:a16="http://schemas.microsoft.com/office/drawing/2014/main" id="{00000000-0008-0000-0000-00006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2" name="Picture 11" hidden="1">
          <a:extLst>
            <a:ext uri="{FF2B5EF4-FFF2-40B4-BE49-F238E27FC236}">
              <a16:creationId xmlns:a16="http://schemas.microsoft.com/office/drawing/2014/main" id="{00000000-0008-0000-0000-00006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4" name="Picture 11" hidden="1">
          <a:extLst>
            <a:ext uri="{FF2B5EF4-FFF2-40B4-BE49-F238E27FC236}">
              <a16:creationId xmlns:a16="http://schemas.microsoft.com/office/drawing/2014/main" id="{00000000-0008-0000-0000-00006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6" name="Picture 11" hidden="1">
          <a:extLst>
            <a:ext uri="{FF2B5EF4-FFF2-40B4-BE49-F238E27FC236}">
              <a16:creationId xmlns:a16="http://schemas.microsoft.com/office/drawing/2014/main" id="{00000000-0008-0000-0000-00006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8" name="Picture 11" hidden="1">
          <a:extLst>
            <a:ext uri="{FF2B5EF4-FFF2-40B4-BE49-F238E27FC236}">
              <a16:creationId xmlns:a16="http://schemas.microsoft.com/office/drawing/2014/main" id="{00000000-0008-0000-0000-00007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0" name="Picture 11" hidden="1">
          <a:extLst>
            <a:ext uri="{FF2B5EF4-FFF2-40B4-BE49-F238E27FC236}">
              <a16:creationId xmlns:a16="http://schemas.microsoft.com/office/drawing/2014/main" id="{00000000-0008-0000-0000-00007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2" name="Picture 11" hidden="1">
          <a:extLst>
            <a:ext uri="{FF2B5EF4-FFF2-40B4-BE49-F238E27FC236}">
              <a16:creationId xmlns:a16="http://schemas.microsoft.com/office/drawing/2014/main" id="{00000000-0008-0000-0000-00007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4" name="Picture 11" hidden="1">
          <a:extLst>
            <a:ext uri="{FF2B5EF4-FFF2-40B4-BE49-F238E27FC236}">
              <a16:creationId xmlns:a16="http://schemas.microsoft.com/office/drawing/2014/main" id="{00000000-0008-0000-0000-00007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6" name="Picture 11" hidden="1">
          <a:extLst>
            <a:ext uri="{FF2B5EF4-FFF2-40B4-BE49-F238E27FC236}">
              <a16:creationId xmlns:a16="http://schemas.microsoft.com/office/drawing/2014/main" id="{00000000-0008-0000-0000-00007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8" name="Picture 11" hidden="1">
          <a:extLst>
            <a:ext uri="{FF2B5EF4-FFF2-40B4-BE49-F238E27FC236}">
              <a16:creationId xmlns:a16="http://schemas.microsoft.com/office/drawing/2014/main" id="{00000000-0008-0000-0000-00007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0" name="Picture 11" hidden="1">
          <a:extLst>
            <a:ext uri="{FF2B5EF4-FFF2-40B4-BE49-F238E27FC236}">
              <a16:creationId xmlns:a16="http://schemas.microsoft.com/office/drawing/2014/main" id="{00000000-0008-0000-0000-00007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2" name="Picture 11" hidden="1">
          <a:extLst>
            <a:ext uri="{FF2B5EF4-FFF2-40B4-BE49-F238E27FC236}">
              <a16:creationId xmlns:a16="http://schemas.microsoft.com/office/drawing/2014/main" id="{00000000-0008-0000-0000-00007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4" name="Picture 11" hidden="1">
          <a:extLst>
            <a:ext uri="{FF2B5EF4-FFF2-40B4-BE49-F238E27FC236}">
              <a16:creationId xmlns:a16="http://schemas.microsoft.com/office/drawing/2014/main" id="{00000000-0008-0000-0000-00008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6" name="Picture 11" hidden="1">
          <a:extLst>
            <a:ext uri="{FF2B5EF4-FFF2-40B4-BE49-F238E27FC236}">
              <a16:creationId xmlns:a16="http://schemas.microsoft.com/office/drawing/2014/main" id="{00000000-0008-0000-0000-00008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8" name="Picture 11" hidden="1">
          <a:extLst>
            <a:ext uri="{FF2B5EF4-FFF2-40B4-BE49-F238E27FC236}">
              <a16:creationId xmlns:a16="http://schemas.microsoft.com/office/drawing/2014/main" id="{00000000-0008-0000-0000-00008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0" name="Picture 11" hidden="1">
          <a:extLst>
            <a:ext uri="{FF2B5EF4-FFF2-40B4-BE49-F238E27FC236}">
              <a16:creationId xmlns:a16="http://schemas.microsoft.com/office/drawing/2014/main" id="{00000000-0008-0000-0000-00008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2" name="Picture 11" hidden="1">
          <a:extLst>
            <a:ext uri="{FF2B5EF4-FFF2-40B4-BE49-F238E27FC236}">
              <a16:creationId xmlns:a16="http://schemas.microsoft.com/office/drawing/2014/main" id="{00000000-0008-0000-0000-00008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4" name="Picture 11" hidden="1">
          <a:extLst>
            <a:ext uri="{FF2B5EF4-FFF2-40B4-BE49-F238E27FC236}">
              <a16:creationId xmlns:a16="http://schemas.microsoft.com/office/drawing/2014/main" id="{00000000-0008-0000-0000-00008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6" name="Picture 11" hidden="1">
          <a:extLst>
            <a:ext uri="{FF2B5EF4-FFF2-40B4-BE49-F238E27FC236}">
              <a16:creationId xmlns:a16="http://schemas.microsoft.com/office/drawing/2014/main" id="{00000000-0008-0000-0000-00008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8" name="Picture 11" hidden="1">
          <a:extLst>
            <a:ext uri="{FF2B5EF4-FFF2-40B4-BE49-F238E27FC236}">
              <a16:creationId xmlns:a16="http://schemas.microsoft.com/office/drawing/2014/main" id="{00000000-0008-0000-0000-00008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0" name="Picture 11" hidden="1">
          <a:extLst>
            <a:ext uri="{FF2B5EF4-FFF2-40B4-BE49-F238E27FC236}">
              <a16:creationId xmlns:a16="http://schemas.microsoft.com/office/drawing/2014/main" id="{00000000-0008-0000-0000-00009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2" name="Picture 11" hidden="1">
          <a:extLst>
            <a:ext uri="{FF2B5EF4-FFF2-40B4-BE49-F238E27FC236}">
              <a16:creationId xmlns:a16="http://schemas.microsoft.com/office/drawing/2014/main" id="{00000000-0008-0000-0000-00009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4" name="Picture 11" hidden="1">
          <a:extLst>
            <a:ext uri="{FF2B5EF4-FFF2-40B4-BE49-F238E27FC236}">
              <a16:creationId xmlns:a16="http://schemas.microsoft.com/office/drawing/2014/main" id="{00000000-0008-0000-0000-00009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6" name="Picture 11" hidden="1">
          <a:extLst>
            <a:ext uri="{FF2B5EF4-FFF2-40B4-BE49-F238E27FC236}">
              <a16:creationId xmlns:a16="http://schemas.microsoft.com/office/drawing/2014/main" id="{00000000-0008-0000-0000-00009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8" name="Picture 11" hidden="1">
          <a:extLst>
            <a:ext uri="{FF2B5EF4-FFF2-40B4-BE49-F238E27FC236}">
              <a16:creationId xmlns:a16="http://schemas.microsoft.com/office/drawing/2014/main" id="{00000000-0008-0000-0000-00009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0" name="Picture 11" hidden="1">
          <a:extLst>
            <a:ext uri="{FF2B5EF4-FFF2-40B4-BE49-F238E27FC236}">
              <a16:creationId xmlns:a16="http://schemas.microsoft.com/office/drawing/2014/main" id="{00000000-0008-0000-0000-00009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2" name="Picture 11" hidden="1">
          <a:extLst>
            <a:ext uri="{FF2B5EF4-FFF2-40B4-BE49-F238E27FC236}">
              <a16:creationId xmlns:a16="http://schemas.microsoft.com/office/drawing/2014/main" id="{00000000-0008-0000-0000-00009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4" name="Picture 11" hidden="1">
          <a:extLst>
            <a:ext uri="{FF2B5EF4-FFF2-40B4-BE49-F238E27FC236}">
              <a16:creationId xmlns:a16="http://schemas.microsoft.com/office/drawing/2014/main" id="{00000000-0008-0000-0000-00009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6" name="Picture 11" hidden="1">
          <a:extLst>
            <a:ext uri="{FF2B5EF4-FFF2-40B4-BE49-F238E27FC236}">
              <a16:creationId xmlns:a16="http://schemas.microsoft.com/office/drawing/2014/main" id="{00000000-0008-0000-0000-0000A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8" name="Picture 11" hidden="1">
          <a:extLst>
            <a:ext uri="{FF2B5EF4-FFF2-40B4-BE49-F238E27FC236}">
              <a16:creationId xmlns:a16="http://schemas.microsoft.com/office/drawing/2014/main" id="{00000000-0008-0000-0000-0000A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0" name="Picture 11" hidden="1">
          <a:extLst>
            <a:ext uri="{FF2B5EF4-FFF2-40B4-BE49-F238E27FC236}">
              <a16:creationId xmlns:a16="http://schemas.microsoft.com/office/drawing/2014/main" id="{00000000-0008-0000-0000-0000A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2" name="Picture 11" hidden="1">
          <a:extLst>
            <a:ext uri="{FF2B5EF4-FFF2-40B4-BE49-F238E27FC236}">
              <a16:creationId xmlns:a16="http://schemas.microsoft.com/office/drawing/2014/main" id="{00000000-0008-0000-0000-0000A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4" name="Picture 11" hidden="1">
          <a:extLst>
            <a:ext uri="{FF2B5EF4-FFF2-40B4-BE49-F238E27FC236}">
              <a16:creationId xmlns:a16="http://schemas.microsoft.com/office/drawing/2014/main" id="{00000000-0008-0000-0000-0000A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6" name="Picture 11" hidden="1">
          <a:extLst>
            <a:ext uri="{FF2B5EF4-FFF2-40B4-BE49-F238E27FC236}">
              <a16:creationId xmlns:a16="http://schemas.microsoft.com/office/drawing/2014/main" id="{00000000-0008-0000-0000-0000A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8" name="Picture 11" hidden="1">
          <a:extLst>
            <a:ext uri="{FF2B5EF4-FFF2-40B4-BE49-F238E27FC236}">
              <a16:creationId xmlns:a16="http://schemas.microsoft.com/office/drawing/2014/main" id="{00000000-0008-0000-0000-0000A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0" name="Picture 11" hidden="1">
          <a:extLst>
            <a:ext uri="{FF2B5EF4-FFF2-40B4-BE49-F238E27FC236}">
              <a16:creationId xmlns:a16="http://schemas.microsoft.com/office/drawing/2014/main" id="{00000000-0008-0000-0000-0000A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2" name="Picture 11" hidden="1">
          <a:extLst>
            <a:ext uri="{FF2B5EF4-FFF2-40B4-BE49-F238E27FC236}">
              <a16:creationId xmlns:a16="http://schemas.microsoft.com/office/drawing/2014/main" id="{00000000-0008-0000-0000-0000B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4" name="Picture 11" hidden="1">
          <a:extLst>
            <a:ext uri="{FF2B5EF4-FFF2-40B4-BE49-F238E27FC236}">
              <a16:creationId xmlns:a16="http://schemas.microsoft.com/office/drawing/2014/main" id="{00000000-0008-0000-0000-0000B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6" name="Picture 11" hidden="1">
          <a:extLst>
            <a:ext uri="{FF2B5EF4-FFF2-40B4-BE49-F238E27FC236}">
              <a16:creationId xmlns:a16="http://schemas.microsoft.com/office/drawing/2014/main" id="{00000000-0008-0000-0000-0000B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8" name="Picture 11" hidden="1">
          <a:extLst>
            <a:ext uri="{FF2B5EF4-FFF2-40B4-BE49-F238E27FC236}">
              <a16:creationId xmlns:a16="http://schemas.microsoft.com/office/drawing/2014/main" id="{00000000-0008-0000-0000-0000B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0" name="Picture 11" hidden="1">
          <a:extLst>
            <a:ext uri="{FF2B5EF4-FFF2-40B4-BE49-F238E27FC236}">
              <a16:creationId xmlns:a16="http://schemas.microsoft.com/office/drawing/2014/main" id="{00000000-0008-0000-0000-0000B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2" name="Picture 11" hidden="1">
          <a:extLst>
            <a:ext uri="{FF2B5EF4-FFF2-40B4-BE49-F238E27FC236}">
              <a16:creationId xmlns:a16="http://schemas.microsoft.com/office/drawing/2014/main" id="{00000000-0008-0000-0000-0000B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4" name="Picture 443" hidden="1">
          <a:extLst>
            <a:ext uri="{FF2B5EF4-FFF2-40B4-BE49-F238E27FC236}">
              <a16:creationId xmlns:a16="http://schemas.microsoft.com/office/drawing/2014/main" id="{00000000-0008-0000-0000-0000B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6" name="Picture 11" hidden="1">
          <a:extLst>
            <a:ext uri="{FF2B5EF4-FFF2-40B4-BE49-F238E27FC236}">
              <a16:creationId xmlns:a16="http://schemas.microsoft.com/office/drawing/2014/main" id="{00000000-0008-0000-0000-0000B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8" name="Picture 11" hidden="1">
          <a:extLst>
            <a:ext uri="{FF2B5EF4-FFF2-40B4-BE49-F238E27FC236}">
              <a16:creationId xmlns:a16="http://schemas.microsoft.com/office/drawing/2014/main" id="{00000000-0008-0000-0000-0000C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0" name="Picture 11" hidden="1">
          <a:extLst>
            <a:ext uri="{FF2B5EF4-FFF2-40B4-BE49-F238E27FC236}">
              <a16:creationId xmlns:a16="http://schemas.microsoft.com/office/drawing/2014/main" id="{00000000-0008-0000-0000-0000C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2" name="Picture 11" hidden="1">
          <a:extLst>
            <a:ext uri="{FF2B5EF4-FFF2-40B4-BE49-F238E27FC236}">
              <a16:creationId xmlns:a16="http://schemas.microsoft.com/office/drawing/2014/main" id="{00000000-0008-0000-0000-0000C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4" name="Picture 11" hidden="1">
          <a:extLst>
            <a:ext uri="{FF2B5EF4-FFF2-40B4-BE49-F238E27FC236}">
              <a16:creationId xmlns:a16="http://schemas.microsoft.com/office/drawing/2014/main" id="{00000000-0008-0000-0000-0000C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6" name="Picture 11" hidden="1">
          <a:extLst>
            <a:ext uri="{FF2B5EF4-FFF2-40B4-BE49-F238E27FC236}">
              <a16:creationId xmlns:a16="http://schemas.microsoft.com/office/drawing/2014/main" id="{00000000-0008-0000-0000-0000C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8" name="Picture 11" hidden="1">
          <a:extLst>
            <a:ext uri="{FF2B5EF4-FFF2-40B4-BE49-F238E27FC236}">
              <a16:creationId xmlns:a16="http://schemas.microsoft.com/office/drawing/2014/main" id="{00000000-0008-0000-0000-0000C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0" name="Picture 11" hidden="1">
          <a:extLst>
            <a:ext uri="{FF2B5EF4-FFF2-40B4-BE49-F238E27FC236}">
              <a16:creationId xmlns:a16="http://schemas.microsoft.com/office/drawing/2014/main" id="{00000000-0008-0000-0000-0000C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2" name="Picture 11" hidden="1">
          <a:extLst>
            <a:ext uri="{FF2B5EF4-FFF2-40B4-BE49-F238E27FC236}">
              <a16:creationId xmlns:a16="http://schemas.microsoft.com/office/drawing/2014/main" id="{00000000-0008-0000-0000-0000C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4" name="Picture 11" hidden="1">
          <a:extLst>
            <a:ext uri="{FF2B5EF4-FFF2-40B4-BE49-F238E27FC236}">
              <a16:creationId xmlns:a16="http://schemas.microsoft.com/office/drawing/2014/main" id="{00000000-0008-0000-0000-0000D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6" name="Picture 11" hidden="1">
          <a:extLst>
            <a:ext uri="{FF2B5EF4-FFF2-40B4-BE49-F238E27FC236}">
              <a16:creationId xmlns:a16="http://schemas.microsoft.com/office/drawing/2014/main" id="{00000000-0008-0000-0000-0000D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8" name="Picture 11" hidden="1">
          <a:extLst>
            <a:ext uri="{FF2B5EF4-FFF2-40B4-BE49-F238E27FC236}">
              <a16:creationId xmlns:a16="http://schemas.microsoft.com/office/drawing/2014/main" id="{00000000-0008-0000-0000-0000D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0" name="Picture 11" hidden="1">
          <a:extLst>
            <a:ext uri="{FF2B5EF4-FFF2-40B4-BE49-F238E27FC236}">
              <a16:creationId xmlns:a16="http://schemas.microsoft.com/office/drawing/2014/main" id="{00000000-0008-0000-0000-0000D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2" name="Picture 11" hidden="1">
          <a:extLst>
            <a:ext uri="{FF2B5EF4-FFF2-40B4-BE49-F238E27FC236}">
              <a16:creationId xmlns:a16="http://schemas.microsoft.com/office/drawing/2014/main" id="{00000000-0008-0000-0000-0000D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4" name="Picture 11" hidden="1">
          <a:extLst>
            <a:ext uri="{FF2B5EF4-FFF2-40B4-BE49-F238E27FC236}">
              <a16:creationId xmlns:a16="http://schemas.microsoft.com/office/drawing/2014/main" id="{00000000-0008-0000-0000-0000D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6" name="Picture 11" hidden="1">
          <a:extLst>
            <a:ext uri="{FF2B5EF4-FFF2-40B4-BE49-F238E27FC236}">
              <a16:creationId xmlns:a16="http://schemas.microsoft.com/office/drawing/2014/main" id="{00000000-0008-0000-0000-0000D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8" name="Picture 11" hidden="1">
          <a:extLst>
            <a:ext uri="{FF2B5EF4-FFF2-40B4-BE49-F238E27FC236}">
              <a16:creationId xmlns:a16="http://schemas.microsoft.com/office/drawing/2014/main" id="{00000000-0008-0000-0000-0000D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0" name="Picture 11" hidden="1">
          <a:extLst>
            <a:ext uri="{FF2B5EF4-FFF2-40B4-BE49-F238E27FC236}">
              <a16:creationId xmlns:a16="http://schemas.microsoft.com/office/drawing/2014/main" id="{00000000-0008-0000-0000-0000E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2" name="Picture 11" hidden="1">
          <a:extLst>
            <a:ext uri="{FF2B5EF4-FFF2-40B4-BE49-F238E27FC236}">
              <a16:creationId xmlns:a16="http://schemas.microsoft.com/office/drawing/2014/main" id="{00000000-0008-0000-0000-0000E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4" name="Picture 11" hidden="1">
          <a:extLst>
            <a:ext uri="{FF2B5EF4-FFF2-40B4-BE49-F238E27FC236}">
              <a16:creationId xmlns:a16="http://schemas.microsoft.com/office/drawing/2014/main" id="{00000000-0008-0000-0000-0000E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6" name="Picture 11" hidden="1">
          <a:extLst>
            <a:ext uri="{FF2B5EF4-FFF2-40B4-BE49-F238E27FC236}">
              <a16:creationId xmlns:a16="http://schemas.microsoft.com/office/drawing/2014/main" id="{00000000-0008-0000-0000-0000E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8" name="Picture 11" hidden="1">
          <a:extLst>
            <a:ext uri="{FF2B5EF4-FFF2-40B4-BE49-F238E27FC236}">
              <a16:creationId xmlns:a16="http://schemas.microsoft.com/office/drawing/2014/main" id="{00000000-0008-0000-0000-0000E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0" name="Picture 11" hidden="1">
          <a:extLst>
            <a:ext uri="{FF2B5EF4-FFF2-40B4-BE49-F238E27FC236}">
              <a16:creationId xmlns:a16="http://schemas.microsoft.com/office/drawing/2014/main" id="{00000000-0008-0000-0000-0000E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2" name="Picture 11" hidden="1">
          <a:extLst>
            <a:ext uri="{FF2B5EF4-FFF2-40B4-BE49-F238E27FC236}">
              <a16:creationId xmlns:a16="http://schemas.microsoft.com/office/drawing/2014/main" id="{00000000-0008-0000-0000-0000E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4" name="Picture 11" hidden="1">
          <a:extLst>
            <a:ext uri="{FF2B5EF4-FFF2-40B4-BE49-F238E27FC236}">
              <a16:creationId xmlns:a16="http://schemas.microsoft.com/office/drawing/2014/main" id="{00000000-0008-0000-0000-0000E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6" name="Picture 11" hidden="1">
          <a:extLst>
            <a:ext uri="{FF2B5EF4-FFF2-40B4-BE49-F238E27FC236}">
              <a16:creationId xmlns:a16="http://schemas.microsoft.com/office/drawing/2014/main" id="{00000000-0008-0000-0000-0000F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8" name="Picture 11" hidden="1">
          <a:extLst>
            <a:ext uri="{FF2B5EF4-FFF2-40B4-BE49-F238E27FC236}">
              <a16:creationId xmlns:a16="http://schemas.microsoft.com/office/drawing/2014/main" id="{00000000-0008-0000-0000-0000F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0" name="Picture 11" hidden="1">
          <a:extLst>
            <a:ext uri="{FF2B5EF4-FFF2-40B4-BE49-F238E27FC236}">
              <a16:creationId xmlns:a16="http://schemas.microsoft.com/office/drawing/2014/main" id="{00000000-0008-0000-0000-0000F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2" name="Picture 11" hidden="1">
          <a:extLst>
            <a:ext uri="{FF2B5EF4-FFF2-40B4-BE49-F238E27FC236}">
              <a16:creationId xmlns:a16="http://schemas.microsoft.com/office/drawing/2014/main" id="{00000000-0008-0000-0000-0000F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4" name="Picture 11" hidden="1">
          <a:extLst>
            <a:ext uri="{FF2B5EF4-FFF2-40B4-BE49-F238E27FC236}">
              <a16:creationId xmlns:a16="http://schemas.microsoft.com/office/drawing/2014/main" id="{00000000-0008-0000-0000-0000F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6" name="Picture 11" hidden="1">
          <a:extLst>
            <a:ext uri="{FF2B5EF4-FFF2-40B4-BE49-F238E27FC236}">
              <a16:creationId xmlns:a16="http://schemas.microsoft.com/office/drawing/2014/main" id="{00000000-0008-0000-0000-0000F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8" name="Picture 11" hidden="1">
          <a:extLst>
            <a:ext uri="{FF2B5EF4-FFF2-40B4-BE49-F238E27FC236}">
              <a16:creationId xmlns:a16="http://schemas.microsoft.com/office/drawing/2014/main" id="{00000000-0008-0000-0000-0000F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0" name="Picture 11" hidden="1">
          <a:extLst>
            <a:ext uri="{FF2B5EF4-FFF2-40B4-BE49-F238E27FC236}">
              <a16:creationId xmlns:a16="http://schemas.microsoft.com/office/drawing/2014/main" id="{00000000-0008-0000-0000-0000F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2" name="Picture 11" hidden="1">
          <a:extLst>
            <a:ext uri="{FF2B5EF4-FFF2-40B4-BE49-F238E27FC236}">
              <a16:creationId xmlns:a16="http://schemas.microsoft.com/office/drawing/2014/main" id="{00000000-0008-0000-0000-00000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4" name="Picture 11" hidden="1">
          <a:extLst>
            <a:ext uri="{FF2B5EF4-FFF2-40B4-BE49-F238E27FC236}">
              <a16:creationId xmlns:a16="http://schemas.microsoft.com/office/drawing/2014/main" id="{00000000-0008-0000-0000-00000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6" name="Picture 11" hidden="1">
          <a:extLst>
            <a:ext uri="{FF2B5EF4-FFF2-40B4-BE49-F238E27FC236}">
              <a16:creationId xmlns:a16="http://schemas.microsoft.com/office/drawing/2014/main" id="{00000000-0008-0000-0000-00000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8" name="Picture 11" hidden="1">
          <a:extLst>
            <a:ext uri="{FF2B5EF4-FFF2-40B4-BE49-F238E27FC236}">
              <a16:creationId xmlns:a16="http://schemas.microsoft.com/office/drawing/2014/main" id="{00000000-0008-0000-0000-00000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0" name="Picture 11" hidden="1">
          <a:extLst>
            <a:ext uri="{FF2B5EF4-FFF2-40B4-BE49-F238E27FC236}">
              <a16:creationId xmlns:a16="http://schemas.microsoft.com/office/drawing/2014/main" id="{00000000-0008-0000-0000-00000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2" name="Picture 11" hidden="1">
          <a:extLst>
            <a:ext uri="{FF2B5EF4-FFF2-40B4-BE49-F238E27FC236}">
              <a16:creationId xmlns:a16="http://schemas.microsoft.com/office/drawing/2014/main" id="{00000000-0008-0000-0000-00000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4" name="Picture 11" hidden="1">
          <a:extLst>
            <a:ext uri="{FF2B5EF4-FFF2-40B4-BE49-F238E27FC236}">
              <a16:creationId xmlns:a16="http://schemas.microsoft.com/office/drawing/2014/main" id="{00000000-0008-0000-0000-00000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6" name="Picture 11" hidden="1">
          <a:extLst>
            <a:ext uri="{FF2B5EF4-FFF2-40B4-BE49-F238E27FC236}">
              <a16:creationId xmlns:a16="http://schemas.microsoft.com/office/drawing/2014/main" id="{00000000-0008-0000-0000-00000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8" name="Picture 11" hidden="1">
          <a:extLst>
            <a:ext uri="{FF2B5EF4-FFF2-40B4-BE49-F238E27FC236}">
              <a16:creationId xmlns:a16="http://schemas.microsoft.com/office/drawing/2014/main" id="{00000000-0008-0000-0000-00001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0" name="Picture 11" hidden="1">
          <a:extLst>
            <a:ext uri="{FF2B5EF4-FFF2-40B4-BE49-F238E27FC236}">
              <a16:creationId xmlns:a16="http://schemas.microsoft.com/office/drawing/2014/main" id="{00000000-0008-0000-0000-00001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2" name="Picture 11" hidden="1">
          <a:extLst>
            <a:ext uri="{FF2B5EF4-FFF2-40B4-BE49-F238E27FC236}">
              <a16:creationId xmlns:a16="http://schemas.microsoft.com/office/drawing/2014/main" id="{00000000-0008-0000-0000-00001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4" name="Picture 11" hidden="1">
          <a:extLst>
            <a:ext uri="{FF2B5EF4-FFF2-40B4-BE49-F238E27FC236}">
              <a16:creationId xmlns:a16="http://schemas.microsoft.com/office/drawing/2014/main" id="{00000000-0008-0000-0000-00001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6" name="Picture 11" hidden="1">
          <a:extLst>
            <a:ext uri="{FF2B5EF4-FFF2-40B4-BE49-F238E27FC236}">
              <a16:creationId xmlns:a16="http://schemas.microsoft.com/office/drawing/2014/main" id="{00000000-0008-0000-0000-00001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8" name="Picture 11" hidden="1">
          <a:extLst>
            <a:ext uri="{FF2B5EF4-FFF2-40B4-BE49-F238E27FC236}">
              <a16:creationId xmlns:a16="http://schemas.microsoft.com/office/drawing/2014/main" id="{00000000-0008-0000-0000-00001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0" name="Picture 11" hidden="1">
          <a:extLst>
            <a:ext uri="{FF2B5EF4-FFF2-40B4-BE49-F238E27FC236}">
              <a16:creationId xmlns:a16="http://schemas.microsoft.com/office/drawing/2014/main" id="{00000000-0008-0000-0000-00001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2" name="Picture 11" hidden="1">
          <a:extLst>
            <a:ext uri="{FF2B5EF4-FFF2-40B4-BE49-F238E27FC236}">
              <a16:creationId xmlns:a16="http://schemas.microsoft.com/office/drawing/2014/main" id="{00000000-0008-0000-0000-00001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4" name="Picture 11" hidden="1">
          <a:extLst>
            <a:ext uri="{FF2B5EF4-FFF2-40B4-BE49-F238E27FC236}">
              <a16:creationId xmlns:a16="http://schemas.microsoft.com/office/drawing/2014/main" id="{00000000-0008-0000-0000-00002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6" name="Picture 11" hidden="1">
          <a:extLst>
            <a:ext uri="{FF2B5EF4-FFF2-40B4-BE49-F238E27FC236}">
              <a16:creationId xmlns:a16="http://schemas.microsoft.com/office/drawing/2014/main" id="{00000000-0008-0000-0000-00002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8" name="Picture 11" hidden="1">
          <a:extLst>
            <a:ext uri="{FF2B5EF4-FFF2-40B4-BE49-F238E27FC236}">
              <a16:creationId xmlns:a16="http://schemas.microsoft.com/office/drawing/2014/main" id="{00000000-0008-0000-0000-00002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0" name="Picture 11" hidden="1">
          <a:extLst>
            <a:ext uri="{FF2B5EF4-FFF2-40B4-BE49-F238E27FC236}">
              <a16:creationId xmlns:a16="http://schemas.microsoft.com/office/drawing/2014/main" id="{00000000-0008-0000-0000-00002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2" name="Picture 551" hidden="1">
          <a:extLst>
            <a:ext uri="{FF2B5EF4-FFF2-40B4-BE49-F238E27FC236}">
              <a16:creationId xmlns:a16="http://schemas.microsoft.com/office/drawing/2014/main" id="{00000000-0008-0000-0000-00002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4" name="Picture 11" hidden="1">
          <a:extLst>
            <a:ext uri="{FF2B5EF4-FFF2-40B4-BE49-F238E27FC236}">
              <a16:creationId xmlns:a16="http://schemas.microsoft.com/office/drawing/2014/main" id="{00000000-0008-0000-0000-00002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6" name="Picture 11" hidden="1">
          <a:extLst>
            <a:ext uri="{FF2B5EF4-FFF2-40B4-BE49-F238E27FC236}">
              <a16:creationId xmlns:a16="http://schemas.microsoft.com/office/drawing/2014/main" id="{00000000-0008-0000-0000-00002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8" name="Picture 11" hidden="1">
          <a:extLst>
            <a:ext uri="{FF2B5EF4-FFF2-40B4-BE49-F238E27FC236}">
              <a16:creationId xmlns:a16="http://schemas.microsoft.com/office/drawing/2014/main" id="{00000000-0008-0000-0000-00002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0" name="Picture 11" hidden="1">
          <a:extLst>
            <a:ext uri="{FF2B5EF4-FFF2-40B4-BE49-F238E27FC236}">
              <a16:creationId xmlns:a16="http://schemas.microsoft.com/office/drawing/2014/main" id="{00000000-0008-0000-0000-00003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2" name="Picture 11" hidden="1">
          <a:extLst>
            <a:ext uri="{FF2B5EF4-FFF2-40B4-BE49-F238E27FC236}">
              <a16:creationId xmlns:a16="http://schemas.microsoft.com/office/drawing/2014/main" id="{00000000-0008-0000-0000-00003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4" name="Picture 11" hidden="1">
          <a:extLst>
            <a:ext uri="{FF2B5EF4-FFF2-40B4-BE49-F238E27FC236}">
              <a16:creationId xmlns:a16="http://schemas.microsoft.com/office/drawing/2014/main" id="{00000000-0008-0000-0000-00003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6" name="Picture 11" hidden="1">
          <a:extLst>
            <a:ext uri="{FF2B5EF4-FFF2-40B4-BE49-F238E27FC236}">
              <a16:creationId xmlns:a16="http://schemas.microsoft.com/office/drawing/2014/main" id="{00000000-0008-0000-0000-00003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8" name="Picture 11" hidden="1">
          <a:extLst>
            <a:ext uri="{FF2B5EF4-FFF2-40B4-BE49-F238E27FC236}">
              <a16:creationId xmlns:a16="http://schemas.microsoft.com/office/drawing/2014/main" id="{00000000-0008-0000-0000-00003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0" name="Picture 11" hidden="1">
          <a:extLst>
            <a:ext uri="{FF2B5EF4-FFF2-40B4-BE49-F238E27FC236}">
              <a16:creationId xmlns:a16="http://schemas.microsoft.com/office/drawing/2014/main" id="{00000000-0008-0000-0000-00003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2" name="Picture 11" hidden="1">
          <a:extLst>
            <a:ext uri="{FF2B5EF4-FFF2-40B4-BE49-F238E27FC236}">
              <a16:creationId xmlns:a16="http://schemas.microsoft.com/office/drawing/2014/main" id="{00000000-0008-0000-0000-00003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4" name="Picture 11" hidden="1">
          <a:extLst>
            <a:ext uri="{FF2B5EF4-FFF2-40B4-BE49-F238E27FC236}">
              <a16:creationId xmlns:a16="http://schemas.microsoft.com/office/drawing/2014/main" id="{00000000-0008-0000-0000-00003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6" name="Picture 11" hidden="1">
          <a:extLst>
            <a:ext uri="{FF2B5EF4-FFF2-40B4-BE49-F238E27FC236}">
              <a16:creationId xmlns:a16="http://schemas.microsoft.com/office/drawing/2014/main" id="{00000000-0008-0000-0000-00004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8" name="Picture 11" hidden="1">
          <a:extLst>
            <a:ext uri="{FF2B5EF4-FFF2-40B4-BE49-F238E27FC236}">
              <a16:creationId xmlns:a16="http://schemas.microsoft.com/office/drawing/2014/main" id="{00000000-0008-0000-0000-00004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0" name="Picture 11" hidden="1">
          <a:extLst>
            <a:ext uri="{FF2B5EF4-FFF2-40B4-BE49-F238E27FC236}">
              <a16:creationId xmlns:a16="http://schemas.microsoft.com/office/drawing/2014/main" id="{00000000-0008-0000-0000-00004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2" name="Picture 11" hidden="1">
          <a:extLst>
            <a:ext uri="{FF2B5EF4-FFF2-40B4-BE49-F238E27FC236}">
              <a16:creationId xmlns:a16="http://schemas.microsoft.com/office/drawing/2014/main" id="{00000000-0008-0000-0000-00004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4" name="Picture 11" hidden="1">
          <a:extLst>
            <a:ext uri="{FF2B5EF4-FFF2-40B4-BE49-F238E27FC236}">
              <a16:creationId xmlns:a16="http://schemas.microsoft.com/office/drawing/2014/main" id="{00000000-0008-0000-0000-00004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6" name="Picture 11" hidden="1">
          <a:extLst>
            <a:ext uri="{FF2B5EF4-FFF2-40B4-BE49-F238E27FC236}">
              <a16:creationId xmlns:a16="http://schemas.microsoft.com/office/drawing/2014/main" id="{00000000-0008-0000-0000-00004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8" name="Picture 11" hidden="1">
          <a:extLst>
            <a:ext uri="{FF2B5EF4-FFF2-40B4-BE49-F238E27FC236}">
              <a16:creationId xmlns:a16="http://schemas.microsoft.com/office/drawing/2014/main" id="{00000000-0008-0000-0000-00004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0" name="Picture 11" hidden="1">
          <a:extLst>
            <a:ext uri="{FF2B5EF4-FFF2-40B4-BE49-F238E27FC236}">
              <a16:creationId xmlns:a16="http://schemas.microsoft.com/office/drawing/2014/main" id="{00000000-0008-0000-0000-00004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2" name="Picture 11" hidden="1">
          <a:extLst>
            <a:ext uri="{FF2B5EF4-FFF2-40B4-BE49-F238E27FC236}">
              <a16:creationId xmlns:a16="http://schemas.microsoft.com/office/drawing/2014/main" id="{00000000-0008-0000-0000-00005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4" name="Picture 11" hidden="1">
          <a:extLst>
            <a:ext uri="{FF2B5EF4-FFF2-40B4-BE49-F238E27FC236}">
              <a16:creationId xmlns:a16="http://schemas.microsoft.com/office/drawing/2014/main" id="{00000000-0008-0000-0000-00005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6" name="Picture 11" hidden="1">
          <a:extLst>
            <a:ext uri="{FF2B5EF4-FFF2-40B4-BE49-F238E27FC236}">
              <a16:creationId xmlns:a16="http://schemas.microsoft.com/office/drawing/2014/main" id="{00000000-0008-0000-0000-00005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8" name="Picture 11" hidden="1">
          <a:extLst>
            <a:ext uri="{FF2B5EF4-FFF2-40B4-BE49-F238E27FC236}">
              <a16:creationId xmlns:a16="http://schemas.microsoft.com/office/drawing/2014/main" id="{00000000-0008-0000-0000-00005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0" name="Picture 11" hidden="1">
          <a:extLst>
            <a:ext uri="{FF2B5EF4-FFF2-40B4-BE49-F238E27FC236}">
              <a16:creationId xmlns:a16="http://schemas.microsoft.com/office/drawing/2014/main" id="{00000000-0008-0000-0000-00005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2" name="Picture 11" hidden="1">
          <a:extLst>
            <a:ext uri="{FF2B5EF4-FFF2-40B4-BE49-F238E27FC236}">
              <a16:creationId xmlns:a16="http://schemas.microsoft.com/office/drawing/2014/main" id="{00000000-0008-0000-0000-00005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4" name="Picture 11" hidden="1">
          <a:extLst>
            <a:ext uri="{FF2B5EF4-FFF2-40B4-BE49-F238E27FC236}">
              <a16:creationId xmlns:a16="http://schemas.microsoft.com/office/drawing/2014/main" id="{00000000-0008-0000-0000-00005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6" name="Picture 11" hidden="1">
          <a:extLst>
            <a:ext uri="{FF2B5EF4-FFF2-40B4-BE49-F238E27FC236}">
              <a16:creationId xmlns:a16="http://schemas.microsoft.com/office/drawing/2014/main" id="{00000000-0008-0000-0000-00005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8" name="Picture 11" hidden="1">
          <a:extLst>
            <a:ext uri="{FF2B5EF4-FFF2-40B4-BE49-F238E27FC236}">
              <a16:creationId xmlns:a16="http://schemas.microsoft.com/office/drawing/2014/main" id="{00000000-0008-0000-0000-00006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0" name="Picture 11" hidden="1">
          <a:extLst>
            <a:ext uri="{FF2B5EF4-FFF2-40B4-BE49-F238E27FC236}">
              <a16:creationId xmlns:a16="http://schemas.microsoft.com/office/drawing/2014/main" id="{00000000-0008-0000-0000-00006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2" name="Picture 11" hidden="1">
          <a:extLst>
            <a:ext uri="{FF2B5EF4-FFF2-40B4-BE49-F238E27FC236}">
              <a16:creationId xmlns:a16="http://schemas.microsoft.com/office/drawing/2014/main" id="{00000000-0008-0000-0000-00006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4" name="Picture 11" hidden="1">
          <a:extLst>
            <a:ext uri="{FF2B5EF4-FFF2-40B4-BE49-F238E27FC236}">
              <a16:creationId xmlns:a16="http://schemas.microsoft.com/office/drawing/2014/main" id="{00000000-0008-0000-0000-00006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6" name="Picture 11" hidden="1">
          <a:extLst>
            <a:ext uri="{FF2B5EF4-FFF2-40B4-BE49-F238E27FC236}">
              <a16:creationId xmlns:a16="http://schemas.microsoft.com/office/drawing/2014/main" id="{00000000-0008-0000-0000-00006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8" name="Picture 11" hidden="1">
          <a:extLst>
            <a:ext uri="{FF2B5EF4-FFF2-40B4-BE49-F238E27FC236}">
              <a16:creationId xmlns:a16="http://schemas.microsoft.com/office/drawing/2014/main" id="{00000000-0008-0000-0000-00006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0" name="Picture 11" hidden="1">
          <a:extLst>
            <a:ext uri="{FF2B5EF4-FFF2-40B4-BE49-F238E27FC236}">
              <a16:creationId xmlns:a16="http://schemas.microsoft.com/office/drawing/2014/main" id="{00000000-0008-0000-0000-00006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2" name="Picture 11" hidden="1">
          <a:extLst>
            <a:ext uri="{FF2B5EF4-FFF2-40B4-BE49-F238E27FC236}">
              <a16:creationId xmlns:a16="http://schemas.microsoft.com/office/drawing/2014/main" id="{00000000-0008-0000-0000-00006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4" name="Picture 11" hidden="1">
          <a:extLst>
            <a:ext uri="{FF2B5EF4-FFF2-40B4-BE49-F238E27FC236}">
              <a16:creationId xmlns:a16="http://schemas.microsoft.com/office/drawing/2014/main" id="{00000000-0008-0000-0000-00007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6" name="Picture 11" hidden="1">
          <a:extLst>
            <a:ext uri="{FF2B5EF4-FFF2-40B4-BE49-F238E27FC236}">
              <a16:creationId xmlns:a16="http://schemas.microsoft.com/office/drawing/2014/main" id="{00000000-0008-0000-0000-00007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8" name="Picture 11" hidden="1">
          <a:extLst>
            <a:ext uri="{FF2B5EF4-FFF2-40B4-BE49-F238E27FC236}">
              <a16:creationId xmlns:a16="http://schemas.microsoft.com/office/drawing/2014/main" id="{00000000-0008-0000-0000-00007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0" name="Picture 11" hidden="1">
          <a:extLst>
            <a:ext uri="{FF2B5EF4-FFF2-40B4-BE49-F238E27FC236}">
              <a16:creationId xmlns:a16="http://schemas.microsoft.com/office/drawing/2014/main" id="{00000000-0008-0000-0000-00007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2" name="Picture 11" hidden="1">
          <a:extLst>
            <a:ext uri="{FF2B5EF4-FFF2-40B4-BE49-F238E27FC236}">
              <a16:creationId xmlns:a16="http://schemas.microsoft.com/office/drawing/2014/main" id="{00000000-0008-0000-0000-00007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4" name="Picture 11" hidden="1">
          <a:extLst>
            <a:ext uri="{FF2B5EF4-FFF2-40B4-BE49-F238E27FC236}">
              <a16:creationId xmlns:a16="http://schemas.microsoft.com/office/drawing/2014/main" id="{00000000-0008-0000-0000-00007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6" name="Picture 11" hidden="1">
          <a:extLst>
            <a:ext uri="{FF2B5EF4-FFF2-40B4-BE49-F238E27FC236}">
              <a16:creationId xmlns:a16="http://schemas.microsoft.com/office/drawing/2014/main" id="{00000000-0008-0000-0000-00007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8" name="Picture 11" hidden="1">
          <a:extLst>
            <a:ext uri="{FF2B5EF4-FFF2-40B4-BE49-F238E27FC236}">
              <a16:creationId xmlns:a16="http://schemas.microsoft.com/office/drawing/2014/main" id="{00000000-0008-0000-0000-00007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0" name="Picture 11" hidden="1">
          <a:extLst>
            <a:ext uri="{FF2B5EF4-FFF2-40B4-BE49-F238E27FC236}">
              <a16:creationId xmlns:a16="http://schemas.microsoft.com/office/drawing/2014/main" id="{00000000-0008-0000-0000-00008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2" name="Picture 11" hidden="1">
          <a:extLst>
            <a:ext uri="{FF2B5EF4-FFF2-40B4-BE49-F238E27FC236}">
              <a16:creationId xmlns:a16="http://schemas.microsoft.com/office/drawing/2014/main" id="{00000000-0008-0000-0000-00008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4" name="Picture 11" hidden="1">
          <a:extLst>
            <a:ext uri="{FF2B5EF4-FFF2-40B4-BE49-F238E27FC236}">
              <a16:creationId xmlns:a16="http://schemas.microsoft.com/office/drawing/2014/main" id="{00000000-0008-0000-0000-00008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6" name="Picture 11" hidden="1">
          <a:extLst>
            <a:ext uri="{FF2B5EF4-FFF2-40B4-BE49-F238E27FC236}">
              <a16:creationId xmlns:a16="http://schemas.microsoft.com/office/drawing/2014/main" id="{00000000-0008-0000-0000-00008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8" name="Picture 11" hidden="1">
          <a:extLst>
            <a:ext uri="{FF2B5EF4-FFF2-40B4-BE49-F238E27FC236}">
              <a16:creationId xmlns:a16="http://schemas.microsoft.com/office/drawing/2014/main" id="{00000000-0008-0000-0000-00008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0" name="Picture 11" hidden="1">
          <a:extLst>
            <a:ext uri="{FF2B5EF4-FFF2-40B4-BE49-F238E27FC236}">
              <a16:creationId xmlns:a16="http://schemas.microsoft.com/office/drawing/2014/main" id="{00000000-0008-0000-0000-00008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2" name="Picture 11" hidden="1">
          <a:extLst>
            <a:ext uri="{FF2B5EF4-FFF2-40B4-BE49-F238E27FC236}">
              <a16:creationId xmlns:a16="http://schemas.microsoft.com/office/drawing/2014/main" id="{00000000-0008-0000-0000-00008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4" name="Picture 11" hidden="1">
          <a:extLst>
            <a:ext uri="{FF2B5EF4-FFF2-40B4-BE49-F238E27FC236}">
              <a16:creationId xmlns:a16="http://schemas.microsoft.com/office/drawing/2014/main" id="{00000000-0008-0000-0000-00008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6" name="Picture 11" hidden="1">
          <a:extLst>
            <a:ext uri="{FF2B5EF4-FFF2-40B4-BE49-F238E27FC236}">
              <a16:creationId xmlns:a16="http://schemas.microsoft.com/office/drawing/2014/main" id="{00000000-0008-0000-0000-00009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8" name="Picture 11" hidden="1">
          <a:extLst>
            <a:ext uri="{FF2B5EF4-FFF2-40B4-BE49-F238E27FC236}">
              <a16:creationId xmlns:a16="http://schemas.microsoft.com/office/drawing/2014/main" id="{00000000-0008-0000-0000-00009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0" name="Picture 659" hidden="1">
          <a:extLst>
            <a:ext uri="{FF2B5EF4-FFF2-40B4-BE49-F238E27FC236}">
              <a16:creationId xmlns:a16="http://schemas.microsoft.com/office/drawing/2014/main" id="{00000000-0008-0000-0000-00009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2" name="Picture 11" hidden="1">
          <a:extLst>
            <a:ext uri="{FF2B5EF4-FFF2-40B4-BE49-F238E27FC236}">
              <a16:creationId xmlns:a16="http://schemas.microsoft.com/office/drawing/2014/main" id="{00000000-0008-0000-0000-00009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4" name="Picture 11" hidden="1">
          <a:extLst>
            <a:ext uri="{FF2B5EF4-FFF2-40B4-BE49-F238E27FC236}">
              <a16:creationId xmlns:a16="http://schemas.microsoft.com/office/drawing/2014/main" id="{00000000-0008-0000-0000-00009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6" name="Picture 11" hidden="1">
          <a:extLst>
            <a:ext uri="{FF2B5EF4-FFF2-40B4-BE49-F238E27FC236}">
              <a16:creationId xmlns:a16="http://schemas.microsoft.com/office/drawing/2014/main" id="{00000000-0008-0000-0000-00009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8" name="Picture 11" hidden="1">
          <a:extLst>
            <a:ext uri="{FF2B5EF4-FFF2-40B4-BE49-F238E27FC236}">
              <a16:creationId xmlns:a16="http://schemas.microsoft.com/office/drawing/2014/main" id="{00000000-0008-0000-0000-00009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0" name="Picture 11" hidden="1">
          <a:extLst>
            <a:ext uri="{FF2B5EF4-FFF2-40B4-BE49-F238E27FC236}">
              <a16:creationId xmlns:a16="http://schemas.microsoft.com/office/drawing/2014/main" id="{00000000-0008-0000-0000-00009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2" name="Picture 11" hidden="1">
          <a:extLst>
            <a:ext uri="{FF2B5EF4-FFF2-40B4-BE49-F238E27FC236}">
              <a16:creationId xmlns:a16="http://schemas.microsoft.com/office/drawing/2014/main" id="{00000000-0008-0000-0000-0000A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4" name="Picture 11" hidden="1">
          <a:extLst>
            <a:ext uri="{FF2B5EF4-FFF2-40B4-BE49-F238E27FC236}">
              <a16:creationId xmlns:a16="http://schemas.microsoft.com/office/drawing/2014/main" id="{00000000-0008-0000-0000-0000A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6" name="Picture 11" hidden="1">
          <a:extLst>
            <a:ext uri="{FF2B5EF4-FFF2-40B4-BE49-F238E27FC236}">
              <a16:creationId xmlns:a16="http://schemas.microsoft.com/office/drawing/2014/main" id="{00000000-0008-0000-0000-0000A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8" name="Picture 11" hidden="1">
          <a:extLst>
            <a:ext uri="{FF2B5EF4-FFF2-40B4-BE49-F238E27FC236}">
              <a16:creationId xmlns:a16="http://schemas.microsoft.com/office/drawing/2014/main" id="{00000000-0008-0000-0000-0000A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0" name="Picture 11" hidden="1">
          <a:extLst>
            <a:ext uri="{FF2B5EF4-FFF2-40B4-BE49-F238E27FC236}">
              <a16:creationId xmlns:a16="http://schemas.microsoft.com/office/drawing/2014/main" id="{00000000-0008-0000-0000-0000A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2" name="Picture 11" hidden="1">
          <a:extLst>
            <a:ext uri="{FF2B5EF4-FFF2-40B4-BE49-F238E27FC236}">
              <a16:creationId xmlns:a16="http://schemas.microsoft.com/office/drawing/2014/main" id="{00000000-0008-0000-0000-0000A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4" name="Picture 11" hidden="1">
          <a:extLst>
            <a:ext uri="{FF2B5EF4-FFF2-40B4-BE49-F238E27FC236}">
              <a16:creationId xmlns:a16="http://schemas.microsoft.com/office/drawing/2014/main" id="{00000000-0008-0000-0000-0000A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6" name="Picture 11" hidden="1">
          <a:extLst>
            <a:ext uri="{FF2B5EF4-FFF2-40B4-BE49-F238E27FC236}">
              <a16:creationId xmlns:a16="http://schemas.microsoft.com/office/drawing/2014/main" id="{00000000-0008-0000-0000-0000A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8" name="Picture 11" hidden="1">
          <a:extLst>
            <a:ext uri="{FF2B5EF4-FFF2-40B4-BE49-F238E27FC236}">
              <a16:creationId xmlns:a16="http://schemas.microsoft.com/office/drawing/2014/main" id="{00000000-0008-0000-0000-0000B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0" name="Picture 11" hidden="1">
          <a:extLst>
            <a:ext uri="{FF2B5EF4-FFF2-40B4-BE49-F238E27FC236}">
              <a16:creationId xmlns:a16="http://schemas.microsoft.com/office/drawing/2014/main" id="{00000000-0008-0000-0000-0000B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2" name="Picture 11" hidden="1">
          <a:extLst>
            <a:ext uri="{FF2B5EF4-FFF2-40B4-BE49-F238E27FC236}">
              <a16:creationId xmlns:a16="http://schemas.microsoft.com/office/drawing/2014/main" id="{00000000-0008-0000-0000-0000B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4" name="Picture 11" hidden="1">
          <a:extLst>
            <a:ext uri="{FF2B5EF4-FFF2-40B4-BE49-F238E27FC236}">
              <a16:creationId xmlns:a16="http://schemas.microsoft.com/office/drawing/2014/main" id="{00000000-0008-0000-0000-0000B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6" name="Picture 11" hidden="1">
          <a:extLst>
            <a:ext uri="{FF2B5EF4-FFF2-40B4-BE49-F238E27FC236}">
              <a16:creationId xmlns:a16="http://schemas.microsoft.com/office/drawing/2014/main" id="{00000000-0008-0000-0000-0000B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8" name="Picture 11" hidden="1">
          <a:extLst>
            <a:ext uri="{FF2B5EF4-FFF2-40B4-BE49-F238E27FC236}">
              <a16:creationId xmlns:a16="http://schemas.microsoft.com/office/drawing/2014/main" id="{00000000-0008-0000-0000-0000B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0" name="Picture 11" hidden="1">
          <a:extLst>
            <a:ext uri="{FF2B5EF4-FFF2-40B4-BE49-F238E27FC236}">
              <a16:creationId xmlns:a16="http://schemas.microsoft.com/office/drawing/2014/main" id="{00000000-0008-0000-0000-0000B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2" name="Picture 11" hidden="1">
          <a:extLst>
            <a:ext uri="{FF2B5EF4-FFF2-40B4-BE49-F238E27FC236}">
              <a16:creationId xmlns:a16="http://schemas.microsoft.com/office/drawing/2014/main" id="{00000000-0008-0000-0000-0000B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4" name="Picture 11" hidden="1">
          <a:extLst>
            <a:ext uri="{FF2B5EF4-FFF2-40B4-BE49-F238E27FC236}">
              <a16:creationId xmlns:a16="http://schemas.microsoft.com/office/drawing/2014/main" id="{00000000-0008-0000-0000-0000C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6" name="Picture 11" hidden="1">
          <a:extLst>
            <a:ext uri="{FF2B5EF4-FFF2-40B4-BE49-F238E27FC236}">
              <a16:creationId xmlns:a16="http://schemas.microsoft.com/office/drawing/2014/main" id="{00000000-0008-0000-0000-0000C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8" name="Picture 11" hidden="1">
          <a:extLst>
            <a:ext uri="{FF2B5EF4-FFF2-40B4-BE49-F238E27FC236}">
              <a16:creationId xmlns:a16="http://schemas.microsoft.com/office/drawing/2014/main" id="{00000000-0008-0000-0000-0000C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0" name="Picture 11" hidden="1">
          <a:extLst>
            <a:ext uri="{FF2B5EF4-FFF2-40B4-BE49-F238E27FC236}">
              <a16:creationId xmlns:a16="http://schemas.microsoft.com/office/drawing/2014/main" id="{00000000-0008-0000-0000-0000C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2" name="Picture 11" hidden="1">
          <a:extLst>
            <a:ext uri="{FF2B5EF4-FFF2-40B4-BE49-F238E27FC236}">
              <a16:creationId xmlns:a16="http://schemas.microsoft.com/office/drawing/2014/main" id="{00000000-0008-0000-0000-0000C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4" name="Picture 11" hidden="1">
          <a:extLst>
            <a:ext uri="{FF2B5EF4-FFF2-40B4-BE49-F238E27FC236}">
              <a16:creationId xmlns:a16="http://schemas.microsoft.com/office/drawing/2014/main" id="{00000000-0008-0000-0000-0000C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6" name="Picture 11" hidden="1">
          <a:extLst>
            <a:ext uri="{FF2B5EF4-FFF2-40B4-BE49-F238E27FC236}">
              <a16:creationId xmlns:a16="http://schemas.microsoft.com/office/drawing/2014/main" id="{00000000-0008-0000-0000-0000C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8" name="Picture 11" hidden="1">
          <a:extLst>
            <a:ext uri="{FF2B5EF4-FFF2-40B4-BE49-F238E27FC236}">
              <a16:creationId xmlns:a16="http://schemas.microsoft.com/office/drawing/2014/main" id="{00000000-0008-0000-0000-0000C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0" name="Picture 11" hidden="1">
          <a:extLst>
            <a:ext uri="{FF2B5EF4-FFF2-40B4-BE49-F238E27FC236}">
              <a16:creationId xmlns:a16="http://schemas.microsoft.com/office/drawing/2014/main" id="{00000000-0008-0000-0000-0000D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2" name="Picture 11" hidden="1">
          <a:extLst>
            <a:ext uri="{FF2B5EF4-FFF2-40B4-BE49-F238E27FC236}">
              <a16:creationId xmlns:a16="http://schemas.microsoft.com/office/drawing/2014/main" id="{00000000-0008-0000-0000-0000D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4" name="Picture 11" hidden="1">
          <a:extLst>
            <a:ext uri="{FF2B5EF4-FFF2-40B4-BE49-F238E27FC236}">
              <a16:creationId xmlns:a16="http://schemas.microsoft.com/office/drawing/2014/main" id="{00000000-0008-0000-0000-0000D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6" name="Picture 11" hidden="1">
          <a:extLst>
            <a:ext uri="{FF2B5EF4-FFF2-40B4-BE49-F238E27FC236}">
              <a16:creationId xmlns:a16="http://schemas.microsoft.com/office/drawing/2014/main" id="{00000000-0008-0000-0000-0000D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8" name="Picture 11" hidden="1">
          <a:extLst>
            <a:ext uri="{FF2B5EF4-FFF2-40B4-BE49-F238E27FC236}">
              <a16:creationId xmlns:a16="http://schemas.microsoft.com/office/drawing/2014/main" id="{00000000-0008-0000-0000-0000D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0" name="Picture 11" hidden="1">
          <a:extLst>
            <a:ext uri="{FF2B5EF4-FFF2-40B4-BE49-F238E27FC236}">
              <a16:creationId xmlns:a16="http://schemas.microsoft.com/office/drawing/2014/main" id="{00000000-0008-0000-0000-0000D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2" name="Picture 11" hidden="1">
          <a:extLst>
            <a:ext uri="{FF2B5EF4-FFF2-40B4-BE49-F238E27FC236}">
              <a16:creationId xmlns:a16="http://schemas.microsoft.com/office/drawing/2014/main" id="{00000000-0008-0000-0000-0000D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4" name="Picture 11" hidden="1">
          <a:extLst>
            <a:ext uri="{FF2B5EF4-FFF2-40B4-BE49-F238E27FC236}">
              <a16:creationId xmlns:a16="http://schemas.microsoft.com/office/drawing/2014/main" id="{00000000-0008-0000-0000-0000D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6" name="Picture 11" hidden="1">
          <a:extLst>
            <a:ext uri="{FF2B5EF4-FFF2-40B4-BE49-F238E27FC236}">
              <a16:creationId xmlns:a16="http://schemas.microsoft.com/office/drawing/2014/main" id="{00000000-0008-0000-0000-0000E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8" name="Picture 11" hidden="1">
          <a:extLst>
            <a:ext uri="{FF2B5EF4-FFF2-40B4-BE49-F238E27FC236}">
              <a16:creationId xmlns:a16="http://schemas.microsoft.com/office/drawing/2014/main" id="{00000000-0008-0000-0000-0000E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0" name="Picture 11" hidden="1">
          <a:extLst>
            <a:ext uri="{FF2B5EF4-FFF2-40B4-BE49-F238E27FC236}">
              <a16:creationId xmlns:a16="http://schemas.microsoft.com/office/drawing/2014/main" id="{00000000-0008-0000-0000-0000E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2" name="Picture 11" hidden="1">
          <a:extLst>
            <a:ext uri="{FF2B5EF4-FFF2-40B4-BE49-F238E27FC236}">
              <a16:creationId xmlns:a16="http://schemas.microsoft.com/office/drawing/2014/main" id="{00000000-0008-0000-0000-0000E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4" name="Picture 11" hidden="1">
          <a:extLst>
            <a:ext uri="{FF2B5EF4-FFF2-40B4-BE49-F238E27FC236}">
              <a16:creationId xmlns:a16="http://schemas.microsoft.com/office/drawing/2014/main" id="{00000000-0008-0000-0000-0000E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6" name="Picture 11" hidden="1">
          <a:extLst>
            <a:ext uri="{FF2B5EF4-FFF2-40B4-BE49-F238E27FC236}">
              <a16:creationId xmlns:a16="http://schemas.microsoft.com/office/drawing/2014/main" id="{00000000-0008-0000-0000-0000E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8" name="Picture 11" hidden="1">
          <a:extLst>
            <a:ext uri="{FF2B5EF4-FFF2-40B4-BE49-F238E27FC236}">
              <a16:creationId xmlns:a16="http://schemas.microsoft.com/office/drawing/2014/main" id="{00000000-0008-0000-0000-0000E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0" name="Picture 11" hidden="1">
          <a:extLst>
            <a:ext uri="{FF2B5EF4-FFF2-40B4-BE49-F238E27FC236}">
              <a16:creationId xmlns:a16="http://schemas.microsoft.com/office/drawing/2014/main" id="{00000000-0008-0000-0000-0000E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2" name="Picture 11" hidden="1">
          <a:extLst>
            <a:ext uri="{FF2B5EF4-FFF2-40B4-BE49-F238E27FC236}">
              <a16:creationId xmlns:a16="http://schemas.microsoft.com/office/drawing/2014/main" id="{00000000-0008-0000-0000-0000F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4" name="Picture 11" hidden="1">
          <a:extLst>
            <a:ext uri="{FF2B5EF4-FFF2-40B4-BE49-F238E27FC236}">
              <a16:creationId xmlns:a16="http://schemas.microsoft.com/office/drawing/2014/main" id="{00000000-0008-0000-0000-0000F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6" name="Picture 11" hidden="1">
          <a:extLst>
            <a:ext uri="{FF2B5EF4-FFF2-40B4-BE49-F238E27FC236}">
              <a16:creationId xmlns:a16="http://schemas.microsoft.com/office/drawing/2014/main" id="{00000000-0008-0000-0000-0000F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8" name="Picture 11" hidden="1">
          <a:extLst>
            <a:ext uri="{FF2B5EF4-FFF2-40B4-BE49-F238E27FC236}">
              <a16:creationId xmlns:a16="http://schemas.microsoft.com/office/drawing/2014/main" id="{00000000-0008-0000-0000-0000F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0" name="Picture 11" hidden="1">
          <a:extLst>
            <a:ext uri="{FF2B5EF4-FFF2-40B4-BE49-F238E27FC236}">
              <a16:creationId xmlns:a16="http://schemas.microsoft.com/office/drawing/2014/main" id="{00000000-0008-0000-0000-0000F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2" name="Picture 11" hidden="1">
          <a:extLst>
            <a:ext uri="{FF2B5EF4-FFF2-40B4-BE49-F238E27FC236}">
              <a16:creationId xmlns:a16="http://schemas.microsoft.com/office/drawing/2014/main" id="{00000000-0008-0000-0000-0000F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4" name="Picture 11" hidden="1">
          <a:extLst>
            <a:ext uri="{FF2B5EF4-FFF2-40B4-BE49-F238E27FC236}">
              <a16:creationId xmlns:a16="http://schemas.microsoft.com/office/drawing/2014/main" id="{00000000-0008-0000-0000-0000F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6" name="Picture 11" hidden="1">
          <a:extLst>
            <a:ext uri="{FF2B5EF4-FFF2-40B4-BE49-F238E27FC236}">
              <a16:creationId xmlns:a16="http://schemas.microsoft.com/office/drawing/2014/main" id="{00000000-0008-0000-0000-0000F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8" name="Picture 767" hidden="1">
          <a:extLst>
            <a:ext uri="{FF2B5EF4-FFF2-40B4-BE49-F238E27FC236}">
              <a16:creationId xmlns:a16="http://schemas.microsoft.com/office/drawing/2014/main" id="{00000000-0008-0000-0000-00000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0" name="Picture 11" hidden="1">
          <a:extLst>
            <a:ext uri="{FF2B5EF4-FFF2-40B4-BE49-F238E27FC236}">
              <a16:creationId xmlns:a16="http://schemas.microsoft.com/office/drawing/2014/main" id="{00000000-0008-0000-0000-00000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2" name="Picture 11" hidden="1">
          <a:extLst>
            <a:ext uri="{FF2B5EF4-FFF2-40B4-BE49-F238E27FC236}">
              <a16:creationId xmlns:a16="http://schemas.microsoft.com/office/drawing/2014/main" id="{00000000-0008-0000-0000-00000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4" name="Picture 11" hidden="1">
          <a:extLst>
            <a:ext uri="{FF2B5EF4-FFF2-40B4-BE49-F238E27FC236}">
              <a16:creationId xmlns:a16="http://schemas.microsoft.com/office/drawing/2014/main" id="{00000000-0008-0000-0000-00000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6" name="Picture 11" hidden="1">
          <a:extLst>
            <a:ext uri="{FF2B5EF4-FFF2-40B4-BE49-F238E27FC236}">
              <a16:creationId xmlns:a16="http://schemas.microsoft.com/office/drawing/2014/main" id="{00000000-0008-0000-0000-00000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8" name="Picture 11" hidden="1">
          <a:extLst>
            <a:ext uri="{FF2B5EF4-FFF2-40B4-BE49-F238E27FC236}">
              <a16:creationId xmlns:a16="http://schemas.microsoft.com/office/drawing/2014/main" id="{00000000-0008-0000-0000-00000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0" name="Picture 11" hidden="1">
          <a:extLst>
            <a:ext uri="{FF2B5EF4-FFF2-40B4-BE49-F238E27FC236}">
              <a16:creationId xmlns:a16="http://schemas.microsoft.com/office/drawing/2014/main" id="{00000000-0008-0000-0000-00000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2" name="Picture 11" hidden="1">
          <a:extLst>
            <a:ext uri="{FF2B5EF4-FFF2-40B4-BE49-F238E27FC236}">
              <a16:creationId xmlns:a16="http://schemas.microsoft.com/office/drawing/2014/main" id="{00000000-0008-0000-0000-00000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4" name="Picture 11" hidden="1">
          <a:extLst>
            <a:ext uri="{FF2B5EF4-FFF2-40B4-BE49-F238E27FC236}">
              <a16:creationId xmlns:a16="http://schemas.microsoft.com/office/drawing/2014/main" id="{00000000-0008-0000-0000-00001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6" name="Picture 11" hidden="1">
          <a:extLst>
            <a:ext uri="{FF2B5EF4-FFF2-40B4-BE49-F238E27FC236}">
              <a16:creationId xmlns:a16="http://schemas.microsoft.com/office/drawing/2014/main" id="{00000000-0008-0000-0000-00001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8" name="Picture 11" hidden="1">
          <a:extLst>
            <a:ext uri="{FF2B5EF4-FFF2-40B4-BE49-F238E27FC236}">
              <a16:creationId xmlns:a16="http://schemas.microsoft.com/office/drawing/2014/main" id="{00000000-0008-0000-0000-00001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0" name="Picture 11" hidden="1">
          <a:extLst>
            <a:ext uri="{FF2B5EF4-FFF2-40B4-BE49-F238E27FC236}">
              <a16:creationId xmlns:a16="http://schemas.microsoft.com/office/drawing/2014/main" id="{00000000-0008-0000-0000-00001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2" name="Picture 11" hidden="1">
          <a:extLst>
            <a:ext uri="{FF2B5EF4-FFF2-40B4-BE49-F238E27FC236}">
              <a16:creationId xmlns:a16="http://schemas.microsoft.com/office/drawing/2014/main" id="{00000000-0008-0000-0000-00001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4" name="Picture 11" hidden="1">
          <a:extLst>
            <a:ext uri="{FF2B5EF4-FFF2-40B4-BE49-F238E27FC236}">
              <a16:creationId xmlns:a16="http://schemas.microsoft.com/office/drawing/2014/main" id="{00000000-0008-0000-0000-00001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6" name="Picture 11" hidden="1">
          <a:extLst>
            <a:ext uri="{FF2B5EF4-FFF2-40B4-BE49-F238E27FC236}">
              <a16:creationId xmlns:a16="http://schemas.microsoft.com/office/drawing/2014/main" id="{00000000-0008-0000-0000-00001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8" name="Picture 11" hidden="1">
          <a:extLst>
            <a:ext uri="{FF2B5EF4-FFF2-40B4-BE49-F238E27FC236}">
              <a16:creationId xmlns:a16="http://schemas.microsoft.com/office/drawing/2014/main" id="{00000000-0008-0000-0000-00001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0" name="Picture 11" hidden="1">
          <a:extLst>
            <a:ext uri="{FF2B5EF4-FFF2-40B4-BE49-F238E27FC236}">
              <a16:creationId xmlns:a16="http://schemas.microsoft.com/office/drawing/2014/main" id="{00000000-0008-0000-0000-00002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2" name="Picture 11" hidden="1">
          <a:extLst>
            <a:ext uri="{FF2B5EF4-FFF2-40B4-BE49-F238E27FC236}">
              <a16:creationId xmlns:a16="http://schemas.microsoft.com/office/drawing/2014/main" id="{00000000-0008-0000-0000-00002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4" name="Picture 11" hidden="1">
          <a:extLst>
            <a:ext uri="{FF2B5EF4-FFF2-40B4-BE49-F238E27FC236}">
              <a16:creationId xmlns:a16="http://schemas.microsoft.com/office/drawing/2014/main" id="{00000000-0008-0000-0000-00002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6" name="Picture 11" hidden="1">
          <a:extLst>
            <a:ext uri="{FF2B5EF4-FFF2-40B4-BE49-F238E27FC236}">
              <a16:creationId xmlns:a16="http://schemas.microsoft.com/office/drawing/2014/main" id="{00000000-0008-0000-0000-00002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8" name="Picture 11" hidden="1">
          <a:extLst>
            <a:ext uri="{FF2B5EF4-FFF2-40B4-BE49-F238E27FC236}">
              <a16:creationId xmlns:a16="http://schemas.microsoft.com/office/drawing/2014/main" id="{00000000-0008-0000-0000-00002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0" name="Picture 11" hidden="1">
          <a:extLst>
            <a:ext uri="{FF2B5EF4-FFF2-40B4-BE49-F238E27FC236}">
              <a16:creationId xmlns:a16="http://schemas.microsoft.com/office/drawing/2014/main" id="{00000000-0008-0000-0000-00002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2" name="Picture 11" hidden="1">
          <a:extLst>
            <a:ext uri="{FF2B5EF4-FFF2-40B4-BE49-F238E27FC236}">
              <a16:creationId xmlns:a16="http://schemas.microsoft.com/office/drawing/2014/main" id="{00000000-0008-0000-0000-00002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4" name="Picture 11" hidden="1">
          <a:extLst>
            <a:ext uri="{FF2B5EF4-FFF2-40B4-BE49-F238E27FC236}">
              <a16:creationId xmlns:a16="http://schemas.microsoft.com/office/drawing/2014/main" id="{00000000-0008-0000-0000-00002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6" name="Picture 11" hidden="1">
          <a:extLst>
            <a:ext uri="{FF2B5EF4-FFF2-40B4-BE49-F238E27FC236}">
              <a16:creationId xmlns:a16="http://schemas.microsoft.com/office/drawing/2014/main" id="{00000000-0008-0000-0000-00003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8" name="Picture 11" hidden="1">
          <a:extLst>
            <a:ext uri="{FF2B5EF4-FFF2-40B4-BE49-F238E27FC236}">
              <a16:creationId xmlns:a16="http://schemas.microsoft.com/office/drawing/2014/main" id="{00000000-0008-0000-0000-00003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0" name="Picture 11" hidden="1">
          <a:extLst>
            <a:ext uri="{FF2B5EF4-FFF2-40B4-BE49-F238E27FC236}">
              <a16:creationId xmlns:a16="http://schemas.microsoft.com/office/drawing/2014/main" id="{00000000-0008-0000-0000-00003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2" name="Picture 11" hidden="1">
          <a:extLst>
            <a:ext uri="{FF2B5EF4-FFF2-40B4-BE49-F238E27FC236}">
              <a16:creationId xmlns:a16="http://schemas.microsoft.com/office/drawing/2014/main" id="{00000000-0008-0000-0000-00003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4" name="Picture 11" hidden="1">
          <a:extLst>
            <a:ext uri="{FF2B5EF4-FFF2-40B4-BE49-F238E27FC236}">
              <a16:creationId xmlns:a16="http://schemas.microsoft.com/office/drawing/2014/main" id="{00000000-0008-0000-0000-00003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6" name="Picture 11" hidden="1">
          <a:extLst>
            <a:ext uri="{FF2B5EF4-FFF2-40B4-BE49-F238E27FC236}">
              <a16:creationId xmlns:a16="http://schemas.microsoft.com/office/drawing/2014/main" id="{00000000-0008-0000-0000-00003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8" name="Picture 11" hidden="1">
          <a:extLst>
            <a:ext uri="{FF2B5EF4-FFF2-40B4-BE49-F238E27FC236}">
              <a16:creationId xmlns:a16="http://schemas.microsoft.com/office/drawing/2014/main" id="{00000000-0008-0000-0000-00003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0" name="Picture 11" hidden="1">
          <a:extLst>
            <a:ext uri="{FF2B5EF4-FFF2-40B4-BE49-F238E27FC236}">
              <a16:creationId xmlns:a16="http://schemas.microsoft.com/office/drawing/2014/main" id="{00000000-0008-0000-0000-00003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2" name="Picture 11" hidden="1">
          <a:extLst>
            <a:ext uri="{FF2B5EF4-FFF2-40B4-BE49-F238E27FC236}">
              <a16:creationId xmlns:a16="http://schemas.microsoft.com/office/drawing/2014/main" id="{00000000-0008-0000-0000-00004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4" name="Picture 11" hidden="1">
          <a:extLst>
            <a:ext uri="{FF2B5EF4-FFF2-40B4-BE49-F238E27FC236}">
              <a16:creationId xmlns:a16="http://schemas.microsoft.com/office/drawing/2014/main" id="{00000000-0008-0000-0000-00004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6" name="Picture 11" hidden="1">
          <a:extLst>
            <a:ext uri="{FF2B5EF4-FFF2-40B4-BE49-F238E27FC236}">
              <a16:creationId xmlns:a16="http://schemas.microsoft.com/office/drawing/2014/main" id="{00000000-0008-0000-0000-00004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8" name="Picture 11" hidden="1">
          <a:extLst>
            <a:ext uri="{FF2B5EF4-FFF2-40B4-BE49-F238E27FC236}">
              <a16:creationId xmlns:a16="http://schemas.microsoft.com/office/drawing/2014/main" id="{00000000-0008-0000-0000-00004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0" name="Picture 11" hidden="1">
          <a:extLst>
            <a:ext uri="{FF2B5EF4-FFF2-40B4-BE49-F238E27FC236}">
              <a16:creationId xmlns:a16="http://schemas.microsoft.com/office/drawing/2014/main" id="{00000000-0008-0000-0000-00004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2" name="Picture 11" hidden="1">
          <a:extLst>
            <a:ext uri="{FF2B5EF4-FFF2-40B4-BE49-F238E27FC236}">
              <a16:creationId xmlns:a16="http://schemas.microsoft.com/office/drawing/2014/main" id="{00000000-0008-0000-0000-00004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4" name="Picture 11" hidden="1">
          <a:extLst>
            <a:ext uri="{FF2B5EF4-FFF2-40B4-BE49-F238E27FC236}">
              <a16:creationId xmlns:a16="http://schemas.microsoft.com/office/drawing/2014/main" id="{00000000-0008-0000-0000-00004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6" name="Picture 11" hidden="1">
          <a:extLst>
            <a:ext uri="{FF2B5EF4-FFF2-40B4-BE49-F238E27FC236}">
              <a16:creationId xmlns:a16="http://schemas.microsoft.com/office/drawing/2014/main" id="{00000000-0008-0000-0000-00004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8" name="Picture 11" hidden="1">
          <a:extLst>
            <a:ext uri="{FF2B5EF4-FFF2-40B4-BE49-F238E27FC236}">
              <a16:creationId xmlns:a16="http://schemas.microsoft.com/office/drawing/2014/main" id="{00000000-0008-0000-0000-00005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0" name="Picture 11" hidden="1">
          <a:extLst>
            <a:ext uri="{FF2B5EF4-FFF2-40B4-BE49-F238E27FC236}">
              <a16:creationId xmlns:a16="http://schemas.microsoft.com/office/drawing/2014/main" id="{00000000-0008-0000-0000-00005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2" name="Picture 11" hidden="1">
          <a:extLst>
            <a:ext uri="{FF2B5EF4-FFF2-40B4-BE49-F238E27FC236}">
              <a16:creationId xmlns:a16="http://schemas.microsoft.com/office/drawing/2014/main" id="{00000000-0008-0000-0000-00005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4" name="Picture 11" hidden="1">
          <a:extLst>
            <a:ext uri="{FF2B5EF4-FFF2-40B4-BE49-F238E27FC236}">
              <a16:creationId xmlns:a16="http://schemas.microsoft.com/office/drawing/2014/main" id="{00000000-0008-0000-0000-00005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6" name="Picture 11" hidden="1">
          <a:extLst>
            <a:ext uri="{FF2B5EF4-FFF2-40B4-BE49-F238E27FC236}">
              <a16:creationId xmlns:a16="http://schemas.microsoft.com/office/drawing/2014/main" id="{00000000-0008-0000-0000-00005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8" name="Picture 11" hidden="1">
          <a:extLst>
            <a:ext uri="{FF2B5EF4-FFF2-40B4-BE49-F238E27FC236}">
              <a16:creationId xmlns:a16="http://schemas.microsoft.com/office/drawing/2014/main" id="{00000000-0008-0000-0000-00005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0" name="Picture 11" hidden="1">
          <a:extLst>
            <a:ext uri="{FF2B5EF4-FFF2-40B4-BE49-F238E27FC236}">
              <a16:creationId xmlns:a16="http://schemas.microsoft.com/office/drawing/2014/main" id="{00000000-0008-0000-0000-00005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2" name="Picture 11" hidden="1">
          <a:extLst>
            <a:ext uri="{FF2B5EF4-FFF2-40B4-BE49-F238E27FC236}">
              <a16:creationId xmlns:a16="http://schemas.microsoft.com/office/drawing/2014/main" id="{00000000-0008-0000-0000-00005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4" name="Picture 11" hidden="1">
          <a:extLst>
            <a:ext uri="{FF2B5EF4-FFF2-40B4-BE49-F238E27FC236}">
              <a16:creationId xmlns:a16="http://schemas.microsoft.com/office/drawing/2014/main" id="{00000000-0008-0000-0000-00006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6" name="Picture 11" hidden="1">
          <a:extLst>
            <a:ext uri="{FF2B5EF4-FFF2-40B4-BE49-F238E27FC236}">
              <a16:creationId xmlns:a16="http://schemas.microsoft.com/office/drawing/2014/main" id="{00000000-0008-0000-0000-00006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8" name="Picture 11" hidden="1">
          <a:extLst>
            <a:ext uri="{FF2B5EF4-FFF2-40B4-BE49-F238E27FC236}">
              <a16:creationId xmlns:a16="http://schemas.microsoft.com/office/drawing/2014/main" id="{00000000-0008-0000-0000-00006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0" name="Picture 11" hidden="1">
          <a:extLst>
            <a:ext uri="{FF2B5EF4-FFF2-40B4-BE49-F238E27FC236}">
              <a16:creationId xmlns:a16="http://schemas.microsoft.com/office/drawing/2014/main" id="{00000000-0008-0000-0000-00006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2" name="Picture 11" hidden="1">
          <a:extLst>
            <a:ext uri="{FF2B5EF4-FFF2-40B4-BE49-F238E27FC236}">
              <a16:creationId xmlns:a16="http://schemas.microsoft.com/office/drawing/2014/main" id="{00000000-0008-0000-0000-00006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4" name="Picture 11" hidden="1">
          <a:extLst>
            <a:ext uri="{FF2B5EF4-FFF2-40B4-BE49-F238E27FC236}">
              <a16:creationId xmlns:a16="http://schemas.microsoft.com/office/drawing/2014/main" id="{00000000-0008-0000-0000-00006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6" name="Picture 875" hidden="1">
          <a:extLst>
            <a:ext uri="{FF2B5EF4-FFF2-40B4-BE49-F238E27FC236}">
              <a16:creationId xmlns:a16="http://schemas.microsoft.com/office/drawing/2014/main" id="{00000000-0008-0000-0000-00006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8" name="Picture 11" hidden="1">
          <a:extLst>
            <a:ext uri="{FF2B5EF4-FFF2-40B4-BE49-F238E27FC236}">
              <a16:creationId xmlns:a16="http://schemas.microsoft.com/office/drawing/2014/main" id="{00000000-0008-0000-0000-00006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0" name="Picture 11" hidden="1">
          <a:extLst>
            <a:ext uri="{FF2B5EF4-FFF2-40B4-BE49-F238E27FC236}">
              <a16:creationId xmlns:a16="http://schemas.microsoft.com/office/drawing/2014/main" id="{00000000-0008-0000-0000-00007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2" name="Picture 11" hidden="1">
          <a:extLst>
            <a:ext uri="{FF2B5EF4-FFF2-40B4-BE49-F238E27FC236}">
              <a16:creationId xmlns:a16="http://schemas.microsoft.com/office/drawing/2014/main" id="{00000000-0008-0000-0000-00007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4" name="Picture 11" hidden="1">
          <a:extLst>
            <a:ext uri="{FF2B5EF4-FFF2-40B4-BE49-F238E27FC236}">
              <a16:creationId xmlns:a16="http://schemas.microsoft.com/office/drawing/2014/main" id="{00000000-0008-0000-0000-00007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6" name="Picture 11" hidden="1">
          <a:extLst>
            <a:ext uri="{FF2B5EF4-FFF2-40B4-BE49-F238E27FC236}">
              <a16:creationId xmlns:a16="http://schemas.microsoft.com/office/drawing/2014/main" id="{00000000-0008-0000-0000-00007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8" name="Picture 11" hidden="1">
          <a:extLst>
            <a:ext uri="{FF2B5EF4-FFF2-40B4-BE49-F238E27FC236}">
              <a16:creationId xmlns:a16="http://schemas.microsoft.com/office/drawing/2014/main" id="{00000000-0008-0000-0000-00007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0" name="Picture 11" hidden="1">
          <a:extLst>
            <a:ext uri="{FF2B5EF4-FFF2-40B4-BE49-F238E27FC236}">
              <a16:creationId xmlns:a16="http://schemas.microsoft.com/office/drawing/2014/main" id="{00000000-0008-0000-0000-00007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2" name="Picture 11" hidden="1">
          <a:extLst>
            <a:ext uri="{FF2B5EF4-FFF2-40B4-BE49-F238E27FC236}">
              <a16:creationId xmlns:a16="http://schemas.microsoft.com/office/drawing/2014/main" id="{00000000-0008-0000-0000-00007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4" name="Picture 11" hidden="1">
          <a:extLst>
            <a:ext uri="{FF2B5EF4-FFF2-40B4-BE49-F238E27FC236}">
              <a16:creationId xmlns:a16="http://schemas.microsoft.com/office/drawing/2014/main" id="{00000000-0008-0000-0000-00007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6" name="Picture 11" hidden="1">
          <a:extLst>
            <a:ext uri="{FF2B5EF4-FFF2-40B4-BE49-F238E27FC236}">
              <a16:creationId xmlns:a16="http://schemas.microsoft.com/office/drawing/2014/main" id="{00000000-0008-0000-0000-00008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8" name="Picture 11" hidden="1">
          <a:extLst>
            <a:ext uri="{FF2B5EF4-FFF2-40B4-BE49-F238E27FC236}">
              <a16:creationId xmlns:a16="http://schemas.microsoft.com/office/drawing/2014/main" id="{00000000-0008-0000-0000-00008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0" name="Picture 11" hidden="1">
          <a:extLst>
            <a:ext uri="{FF2B5EF4-FFF2-40B4-BE49-F238E27FC236}">
              <a16:creationId xmlns:a16="http://schemas.microsoft.com/office/drawing/2014/main" id="{00000000-0008-0000-0000-00008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2" name="Picture 11" hidden="1">
          <a:extLst>
            <a:ext uri="{FF2B5EF4-FFF2-40B4-BE49-F238E27FC236}">
              <a16:creationId xmlns:a16="http://schemas.microsoft.com/office/drawing/2014/main" id="{00000000-0008-0000-0000-00008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4" name="Picture 11" hidden="1">
          <a:extLst>
            <a:ext uri="{FF2B5EF4-FFF2-40B4-BE49-F238E27FC236}">
              <a16:creationId xmlns:a16="http://schemas.microsoft.com/office/drawing/2014/main" id="{00000000-0008-0000-0000-00008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6" name="Picture 11" hidden="1">
          <a:extLst>
            <a:ext uri="{FF2B5EF4-FFF2-40B4-BE49-F238E27FC236}">
              <a16:creationId xmlns:a16="http://schemas.microsoft.com/office/drawing/2014/main" id="{00000000-0008-0000-0000-00008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8" name="Picture 11" hidden="1">
          <a:extLst>
            <a:ext uri="{FF2B5EF4-FFF2-40B4-BE49-F238E27FC236}">
              <a16:creationId xmlns:a16="http://schemas.microsoft.com/office/drawing/2014/main" id="{00000000-0008-0000-0000-00008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0" name="Picture 11" hidden="1">
          <a:extLst>
            <a:ext uri="{FF2B5EF4-FFF2-40B4-BE49-F238E27FC236}">
              <a16:creationId xmlns:a16="http://schemas.microsoft.com/office/drawing/2014/main" id="{00000000-0008-0000-0000-00008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2" name="Picture 11" hidden="1">
          <a:extLst>
            <a:ext uri="{FF2B5EF4-FFF2-40B4-BE49-F238E27FC236}">
              <a16:creationId xmlns:a16="http://schemas.microsoft.com/office/drawing/2014/main" id="{00000000-0008-0000-0000-00009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4" name="Picture 11" hidden="1">
          <a:extLst>
            <a:ext uri="{FF2B5EF4-FFF2-40B4-BE49-F238E27FC236}">
              <a16:creationId xmlns:a16="http://schemas.microsoft.com/office/drawing/2014/main" id="{00000000-0008-0000-0000-00009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6" name="Picture 11" hidden="1">
          <a:extLst>
            <a:ext uri="{FF2B5EF4-FFF2-40B4-BE49-F238E27FC236}">
              <a16:creationId xmlns:a16="http://schemas.microsoft.com/office/drawing/2014/main" id="{00000000-0008-0000-0000-00009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8" name="Picture 11" hidden="1">
          <a:extLst>
            <a:ext uri="{FF2B5EF4-FFF2-40B4-BE49-F238E27FC236}">
              <a16:creationId xmlns:a16="http://schemas.microsoft.com/office/drawing/2014/main" id="{00000000-0008-0000-0000-00009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0" name="Picture 11" hidden="1">
          <a:extLst>
            <a:ext uri="{FF2B5EF4-FFF2-40B4-BE49-F238E27FC236}">
              <a16:creationId xmlns:a16="http://schemas.microsoft.com/office/drawing/2014/main" id="{00000000-0008-0000-0000-00009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2" name="Picture 11" hidden="1">
          <a:extLst>
            <a:ext uri="{FF2B5EF4-FFF2-40B4-BE49-F238E27FC236}">
              <a16:creationId xmlns:a16="http://schemas.microsoft.com/office/drawing/2014/main" id="{00000000-0008-0000-0000-00009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4" name="Picture 11" hidden="1">
          <a:extLst>
            <a:ext uri="{FF2B5EF4-FFF2-40B4-BE49-F238E27FC236}">
              <a16:creationId xmlns:a16="http://schemas.microsoft.com/office/drawing/2014/main" id="{00000000-0008-0000-0000-00009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6" name="Picture 11" hidden="1">
          <a:extLst>
            <a:ext uri="{FF2B5EF4-FFF2-40B4-BE49-F238E27FC236}">
              <a16:creationId xmlns:a16="http://schemas.microsoft.com/office/drawing/2014/main" id="{00000000-0008-0000-0000-00009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8" name="Picture 11" hidden="1">
          <a:extLst>
            <a:ext uri="{FF2B5EF4-FFF2-40B4-BE49-F238E27FC236}">
              <a16:creationId xmlns:a16="http://schemas.microsoft.com/office/drawing/2014/main" id="{00000000-0008-0000-0000-0000A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0" name="Picture 11" hidden="1">
          <a:extLst>
            <a:ext uri="{FF2B5EF4-FFF2-40B4-BE49-F238E27FC236}">
              <a16:creationId xmlns:a16="http://schemas.microsoft.com/office/drawing/2014/main" id="{00000000-0008-0000-0000-0000A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2" name="Picture 11" hidden="1">
          <a:extLst>
            <a:ext uri="{FF2B5EF4-FFF2-40B4-BE49-F238E27FC236}">
              <a16:creationId xmlns:a16="http://schemas.microsoft.com/office/drawing/2014/main" id="{00000000-0008-0000-0000-0000A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4" name="Picture 11" hidden="1">
          <a:extLst>
            <a:ext uri="{FF2B5EF4-FFF2-40B4-BE49-F238E27FC236}">
              <a16:creationId xmlns:a16="http://schemas.microsoft.com/office/drawing/2014/main" id="{00000000-0008-0000-0000-0000A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6" name="Picture 11" hidden="1">
          <a:extLst>
            <a:ext uri="{FF2B5EF4-FFF2-40B4-BE49-F238E27FC236}">
              <a16:creationId xmlns:a16="http://schemas.microsoft.com/office/drawing/2014/main" id="{00000000-0008-0000-0000-0000A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8" name="Picture 11" hidden="1">
          <a:extLst>
            <a:ext uri="{FF2B5EF4-FFF2-40B4-BE49-F238E27FC236}">
              <a16:creationId xmlns:a16="http://schemas.microsoft.com/office/drawing/2014/main" id="{00000000-0008-0000-0000-0000A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0" name="Picture 11" hidden="1">
          <a:extLst>
            <a:ext uri="{FF2B5EF4-FFF2-40B4-BE49-F238E27FC236}">
              <a16:creationId xmlns:a16="http://schemas.microsoft.com/office/drawing/2014/main" id="{00000000-0008-0000-0000-0000A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2" name="Picture 11" hidden="1">
          <a:extLst>
            <a:ext uri="{FF2B5EF4-FFF2-40B4-BE49-F238E27FC236}">
              <a16:creationId xmlns:a16="http://schemas.microsoft.com/office/drawing/2014/main" id="{00000000-0008-0000-0000-0000A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4" name="Picture 11" hidden="1">
          <a:extLst>
            <a:ext uri="{FF2B5EF4-FFF2-40B4-BE49-F238E27FC236}">
              <a16:creationId xmlns:a16="http://schemas.microsoft.com/office/drawing/2014/main" id="{00000000-0008-0000-0000-0000B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6" name="Picture 11" hidden="1">
          <a:extLst>
            <a:ext uri="{FF2B5EF4-FFF2-40B4-BE49-F238E27FC236}">
              <a16:creationId xmlns:a16="http://schemas.microsoft.com/office/drawing/2014/main" id="{00000000-0008-0000-0000-0000B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8" name="Picture 11" hidden="1">
          <a:extLst>
            <a:ext uri="{FF2B5EF4-FFF2-40B4-BE49-F238E27FC236}">
              <a16:creationId xmlns:a16="http://schemas.microsoft.com/office/drawing/2014/main" id="{00000000-0008-0000-0000-0000B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0" name="Picture 11" hidden="1">
          <a:extLst>
            <a:ext uri="{FF2B5EF4-FFF2-40B4-BE49-F238E27FC236}">
              <a16:creationId xmlns:a16="http://schemas.microsoft.com/office/drawing/2014/main" id="{00000000-0008-0000-0000-0000B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2" name="Picture 11" hidden="1">
          <a:extLst>
            <a:ext uri="{FF2B5EF4-FFF2-40B4-BE49-F238E27FC236}">
              <a16:creationId xmlns:a16="http://schemas.microsoft.com/office/drawing/2014/main" id="{00000000-0008-0000-0000-0000B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4" name="Picture 11" hidden="1">
          <a:extLst>
            <a:ext uri="{FF2B5EF4-FFF2-40B4-BE49-F238E27FC236}">
              <a16:creationId xmlns:a16="http://schemas.microsoft.com/office/drawing/2014/main" id="{00000000-0008-0000-0000-0000B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6" name="Picture 11" hidden="1">
          <a:extLst>
            <a:ext uri="{FF2B5EF4-FFF2-40B4-BE49-F238E27FC236}">
              <a16:creationId xmlns:a16="http://schemas.microsoft.com/office/drawing/2014/main" id="{00000000-0008-0000-0000-0000B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8" name="Picture 11" hidden="1">
          <a:extLst>
            <a:ext uri="{FF2B5EF4-FFF2-40B4-BE49-F238E27FC236}">
              <a16:creationId xmlns:a16="http://schemas.microsoft.com/office/drawing/2014/main" id="{00000000-0008-0000-0000-0000B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0" name="Picture 11" hidden="1">
          <a:extLst>
            <a:ext uri="{FF2B5EF4-FFF2-40B4-BE49-F238E27FC236}">
              <a16:creationId xmlns:a16="http://schemas.microsoft.com/office/drawing/2014/main" id="{00000000-0008-0000-0000-0000C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2" name="Picture 11" hidden="1">
          <a:extLst>
            <a:ext uri="{FF2B5EF4-FFF2-40B4-BE49-F238E27FC236}">
              <a16:creationId xmlns:a16="http://schemas.microsoft.com/office/drawing/2014/main" id="{00000000-0008-0000-0000-0000C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4" name="Picture 11" hidden="1">
          <a:extLst>
            <a:ext uri="{FF2B5EF4-FFF2-40B4-BE49-F238E27FC236}">
              <a16:creationId xmlns:a16="http://schemas.microsoft.com/office/drawing/2014/main" id="{00000000-0008-0000-0000-0000C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6" name="Picture 11" hidden="1">
          <a:extLst>
            <a:ext uri="{FF2B5EF4-FFF2-40B4-BE49-F238E27FC236}">
              <a16:creationId xmlns:a16="http://schemas.microsoft.com/office/drawing/2014/main" id="{00000000-0008-0000-0000-0000C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8" name="Picture 11" hidden="1">
          <a:extLst>
            <a:ext uri="{FF2B5EF4-FFF2-40B4-BE49-F238E27FC236}">
              <a16:creationId xmlns:a16="http://schemas.microsoft.com/office/drawing/2014/main" id="{00000000-0008-0000-0000-0000C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0" name="Picture 11" hidden="1">
          <a:extLst>
            <a:ext uri="{FF2B5EF4-FFF2-40B4-BE49-F238E27FC236}">
              <a16:creationId xmlns:a16="http://schemas.microsoft.com/office/drawing/2014/main" id="{00000000-0008-0000-0000-0000C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2" name="Picture 11" hidden="1">
          <a:extLst>
            <a:ext uri="{FF2B5EF4-FFF2-40B4-BE49-F238E27FC236}">
              <a16:creationId xmlns:a16="http://schemas.microsoft.com/office/drawing/2014/main" id="{00000000-0008-0000-0000-0000C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4" name="Picture 11" hidden="1">
          <a:extLst>
            <a:ext uri="{FF2B5EF4-FFF2-40B4-BE49-F238E27FC236}">
              <a16:creationId xmlns:a16="http://schemas.microsoft.com/office/drawing/2014/main" id="{00000000-0008-0000-0000-0000C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6" name="Picture 11" hidden="1">
          <a:extLst>
            <a:ext uri="{FF2B5EF4-FFF2-40B4-BE49-F238E27FC236}">
              <a16:creationId xmlns:a16="http://schemas.microsoft.com/office/drawing/2014/main" id="{00000000-0008-0000-0000-0000D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8" name="Picture 11" hidden="1">
          <a:extLst>
            <a:ext uri="{FF2B5EF4-FFF2-40B4-BE49-F238E27FC236}">
              <a16:creationId xmlns:a16="http://schemas.microsoft.com/office/drawing/2014/main" id="{00000000-0008-0000-0000-0000D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0" name="Picture 11" hidden="1">
          <a:extLst>
            <a:ext uri="{FF2B5EF4-FFF2-40B4-BE49-F238E27FC236}">
              <a16:creationId xmlns:a16="http://schemas.microsoft.com/office/drawing/2014/main" id="{00000000-0008-0000-0000-0000D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2" name="Picture 11" hidden="1">
          <a:extLst>
            <a:ext uri="{FF2B5EF4-FFF2-40B4-BE49-F238E27FC236}">
              <a16:creationId xmlns:a16="http://schemas.microsoft.com/office/drawing/2014/main" id="{00000000-0008-0000-0000-0000D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4" name="Picture 983" hidden="1">
          <a:extLst>
            <a:ext uri="{FF2B5EF4-FFF2-40B4-BE49-F238E27FC236}">
              <a16:creationId xmlns:a16="http://schemas.microsoft.com/office/drawing/2014/main" id="{00000000-0008-0000-0000-0000D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6" name="Picture 11" hidden="1">
          <a:extLst>
            <a:ext uri="{FF2B5EF4-FFF2-40B4-BE49-F238E27FC236}">
              <a16:creationId xmlns:a16="http://schemas.microsoft.com/office/drawing/2014/main" id="{00000000-0008-0000-0000-0000D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8" name="Picture 11" hidden="1">
          <a:extLst>
            <a:ext uri="{FF2B5EF4-FFF2-40B4-BE49-F238E27FC236}">
              <a16:creationId xmlns:a16="http://schemas.microsoft.com/office/drawing/2014/main" id="{00000000-0008-0000-0000-0000D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0" name="Picture 11" hidden="1">
          <a:extLst>
            <a:ext uri="{FF2B5EF4-FFF2-40B4-BE49-F238E27FC236}">
              <a16:creationId xmlns:a16="http://schemas.microsoft.com/office/drawing/2014/main" id="{00000000-0008-0000-0000-0000D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2" name="Picture 11" hidden="1">
          <a:extLst>
            <a:ext uri="{FF2B5EF4-FFF2-40B4-BE49-F238E27FC236}">
              <a16:creationId xmlns:a16="http://schemas.microsoft.com/office/drawing/2014/main" id="{00000000-0008-0000-0000-0000E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4" name="Picture 11" hidden="1">
          <a:extLst>
            <a:ext uri="{FF2B5EF4-FFF2-40B4-BE49-F238E27FC236}">
              <a16:creationId xmlns:a16="http://schemas.microsoft.com/office/drawing/2014/main" id="{00000000-0008-0000-0000-0000E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6" name="Picture 11" hidden="1">
          <a:extLst>
            <a:ext uri="{FF2B5EF4-FFF2-40B4-BE49-F238E27FC236}">
              <a16:creationId xmlns:a16="http://schemas.microsoft.com/office/drawing/2014/main" id="{00000000-0008-0000-0000-0000E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8" name="Picture 11" hidden="1">
          <a:extLst>
            <a:ext uri="{FF2B5EF4-FFF2-40B4-BE49-F238E27FC236}">
              <a16:creationId xmlns:a16="http://schemas.microsoft.com/office/drawing/2014/main" id="{00000000-0008-0000-0000-0000E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0" name="Picture 11" hidden="1">
          <a:extLst>
            <a:ext uri="{FF2B5EF4-FFF2-40B4-BE49-F238E27FC236}">
              <a16:creationId xmlns:a16="http://schemas.microsoft.com/office/drawing/2014/main" id="{00000000-0008-0000-0000-0000E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2" name="Picture 11" hidden="1">
          <a:extLst>
            <a:ext uri="{FF2B5EF4-FFF2-40B4-BE49-F238E27FC236}">
              <a16:creationId xmlns:a16="http://schemas.microsoft.com/office/drawing/2014/main" id="{00000000-0008-0000-0000-0000E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4" name="Picture 11" hidden="1">
          <a:extLst>
            <a:ext uri="{FF2B5EF4-FFF2-40B4-BE49-F238E27FC236}">
              <a16:creationId xmlns:a16="http://schemas.microsoft.com/office/drawing/2014/main" id="{00000000-0008-0000-0000-0000E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6" name="Picture 11" hidden="1">
          <a:extLst>
            <a:ext uri="{FF2B5EF4-FFF2-40B4-BE49-F238E27FC236}">
              <a16:creationId xmlns:a16="http://schemas.microsoft.com/office/drawing/2014/main" id="{00000000-0008-0000-0000-0000E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8" name="Picture 11" hidden="1">
          <a:extLst>
            <a:ext uri="{FF2B5EF4-FFF2-40B4-BE49-F238E27FC236}">
              <a16:creationId xmlns:a16="http://schemas.microsoft.com/office/drawing/2014/main" id="{00000000-0008-0000-0000-0000F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0" name="Picture 11" hidden="1">
          <a:extLst>
            <a:ext uri="{FF2B5EF4-FFF2-40B4-BE49-F238E27FC236}">
              <a16:creationId xmlns:a16="http://schemas.microsoft.com/office/drawing/2014/main" id="{00000000-0008-0000-0000-0000F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2" name="Picture 11" hidden="1">
          <a:extLst>
            <a:ext uri="{FF2B5EF4-FFF2-40B4-BE49-F238E27FC236}">
              <a16:creationId xmlns:a16="http://schemas.microsoft.com/office/drawing/2014/main" id="{00000000-0008-0000-0000-0000F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4" name="Picture 11" hidden="1">
          <a:extLst>
            <a:ext uri="{FF2B5EF4-FFF2-40B4-BE49-F238E27FC236}">
              <a16:creationId xmlns:a16="http://schemas.microsoft.com/office/drawing/2014/main" id="{00000000-0008-0000-0000-0000F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6" name="Picture 11" hidden="1">
          <a:extLst>
            <a:ext uri="{FF2B5EF4-FFF2-40B4-BE49-F238E27FC236}">
              <a16:creationId xmlns:a16="http://schemas.microsoft.com/office/drawing/2014/main" id="{00000000-0008-0000-0000-0000F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8" name="Picture 11" hidden="1">
          <a:extLst>
            <a:ext uri="{FF2B5EF4-FFF2-40B4-BE49-F238E27FC236}">
              <a16:creationId xmlns:a16="http://schemas.microsoft.com/office/drawing/2014/main" id="{00000000-0008-0000-0000-0000F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0" name="Picture 11" hidden="1">
          <a:extLst>
            <a:ext uri="{FF2B5EF4-FFF2-40B4-BE49-F238E27FC236}">
              <a16:creationId xmlns:a16="http://schemas.microsoft.com/office/drawing/2014/main" id="{00000000-0008-0000-0000-0000F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2" name="Picture 11" hidden="1">
          <a:extLst>
            <a:ext uri="{FF2B5EF4-FFF2-40B4-BE49-F238E27FC236}">
              <a16:creationId xmlns:a16="http://schemas.microsoft.com/office/drawing/2014/main" id="{00000000-0008-0000-0000-0000F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4" name="Picture 11" hidden="1">
          <a:extLst>
            <a:ext uri="{FF2B5EF4-FFF2-40B4-BE49-F238E27FC236}">
              <a16:creationId xmlns:a16="http://schemas.microsoft.com/office/drawing/2014/main" id="{00000000-0008-0000-0000-00000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6" name="Picture 11" hidden="1">
          <a:extLst>
            <a:ext uri="{FF2B5EF4-FFF2-40B4-BE49-F238E27FC236}">
              <a16:creationId xmlns:a16="http://schemas.microsoft.com/office/drawing/2014/main" id="{00000000-0008-0000-0000-00000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8" name="Picture 11" hidden="1">
          <a:extLst>
            <a:ext uri="{FF2B5EF4-FFF2-40B4-BE49-F238E27FC236}">
              <a16:creationId xmlns:a16="http://schemas.microsoft.com/office/drawing/2014/main" id="{00000000-0008-0000-0000-00000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0" name="Picture 11" hidden="1">
          <a:extLst>
            <a:ext uri="{FF2B5EF4-FFF2-40B4-BE49-F238E27FC236}">
              <a16:creationId xmlns:a16="http://schemas.microsoft.com/office/drawing/2014/main" id="{00000000-0008-0000-0000-00000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2" name="Picture 11" hidden="1">
          <a:extLst>
            <a:ext uri="{FF2B5EF4-FFF2-40B4-BE49-F238E27FC236}">
              <a16:creationId xmlns:a16="http://schemas.microsoft.com/office/drawing/2014/main" id="{00000000-0008-0000-0000-00000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4"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A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6" name="Picture 11" hidden="1">
          <a:extLst>
            <a:ext uri="{FF2B5EF4-FFF2-40B4-BE49-F238E27FC236}">
              <a16:creationId xmlns:a16="http://schemas.microsoft.com/office/drawing/2014/main" id="{00000000-0008-0000-0000-00000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8" name="Picture 11" hidden="1">
          <a:extLst>
            <a:ext uri="{FF2B5EF4-FFF2-40B4-BE49-F238E27FC236}">
              <a16:creationId xmlns:a16="http://schemas.microsoft.com/office/drawing/2014/main" id="{00000000-0008-0000-0000-00000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0" name="Picture 11" hidden="1">
          <a:extLst>
            <a:ext uri="{FF2B5EF4-FFF2-40B4-BE49-F238E27FC236}">
              <a16:creationId xmlns:a16="http://schemas.microsoft.com/office/drawing/2014/main" id="{00000000-0008-0000-0000-00001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2" name="Picture 11" hidden="1">
          <a:extLst>
            <a:ext uri="{FF2B5EF4-FFF2-40B4-BE49-F238E27FC236}">
              <a16:creationId xmlns:a16="http://schemas.microsoft.com/office/drawing/2014/main" id="{00000000-0008-0000-0000-00001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4" name="Picture 11" hidden="1">
          <a:extLst>
            <a:ext uri="{FF2B5EF4-FFF2-40B4-BE49-F238E27FC236}">
              <a16:creationId xmlns:a16="http://schemas.microsoft.com/office/drawing/2014/main" id="{00000000-0008-0000-0000-00001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6" name="Picture 11" hidden="1">
          <a:extLst>
            <a:ext uri="{FF2B5EF4-FFF2-40B4-BE49-F238E27FC236}">
              <a16:creationId xmlns:a16="http://schemas.microsoft.com/office/drawing/2014/main" id="{00000000-0008-0000-0000-00001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8" name="Picture 11" hidden="1">
          <a:extLst>
            <a:ext uri="{FF2B5EF4-FFF2-40B4-BE49-F238E27FC236}">
              <a16:creationId xmlns:a16="http://schemas.microsoft.com/office/drawing/2014/main" id="{00000000-0008-0000-0000-00001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0" name="Picture 11" hidden="1">
          <a:extLst>
            <a:ext uri="{FF2B5EF4-FFF2-40B4-BE49-F238E27FC236}">
              <a16:creationId xmlns:a16="http://schemas.microsoft.com/office/drawing/2014/main" id="{00000000-0008-0000-0000-00001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2" name="Picture 11" hidden="1">
          <a:extLst>
            <a:ext uri="{FF2B5EF4-FFF2-40B4-BE49-F238E27FC236}">
              <a16:creationId xmlns:a16="http://schemas.microsoft.com/office/drawing/2014/main" id="{00000000-0008-0000-0000-00001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4" name="Picture 11" hidden="1">
          <a:extLst>
            <a:ext uri="{FF2B5EF4-FFF2-40B4-BE49-F238E27FC236}">
              <a16:creationId xmlns:a16="http://schemas.microsoft.com/office/drawing/2014/main" id="{00000000-0008-0000-0000-00001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6" name="Picture 11" hidden="1">
          <a:extLst>
            <a:ext uri="{FF2B5EF4-FFF2-40B4-BE49-F238E27FC236}">
              <a16:creationId xmlns:a16="http://schemas.microsoft.com/office/drawing/2014/main" id="{00000000-0008-0000-0000-00002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8" name="Picture 11" hidden="1">
          <a:extLst>
            <a:ext uri="{FF2B5EF4-FFF2-40B4-BE49-F238E27FC236}">
              <a16:creationId xmlns:a16="http://schemas.microsoft.com/office/drawing/2014/main" id="{00000000-0008-0000-0000-00002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0" name="Picture 11" hidden="1">
          <a:extLst>
            <a:ext uri="{FF2B5EF4-FFF2-40B4-BE49-F238E27FC236}">
              <a16:creationId xmlns:a16="http://schemas.microsoft.com/office/drawing/2014/main" id="{00000000-0008-0000-0000-00002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2" name="Picture 11" hidden="1">
          <a:extLst>
            <a:ext uri="{FF2B5EF4-FFF2-40B4-BE49-F238E27FC236}">
              <a16:creationId xmlns:a16="http://schemas.microsoft.com/office/drawing/2014/main" id="{00000000-0008-0000-0000-00002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4" name="Picture 11" hidden="1">
          <a:extLst>
            <a:ext uri="{FF2B5EF4-FFF2-40B4-BE49-F238E27FC236}">
              <a16:creationId xmlns:a16="http://schemas.microsoft.com/office/drawing/2014/main" id="{00000000-0008-0000-0000-00002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6" name="Picture 11" hidden="1">
          <a:extLst>
            <a:ext uri="{FF2B5EF4-FFF2-40B4-BE49-F238E27FC236}">
              <a16:creationId xmlns:a16="http://schemas.microsoft.com/office/drawing/2014/main" id="{00000000-0008-0000-0000-00002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8" name="Picture 11" hidden="1">
          <a:extLst>
            <a:ext uri="{FF2B5EF4-FFF2-40B4-BE49-F238E27FC236}">
              <a16:creationId xmlns:a16="http://schemas.microsoft.com/office/drawing/2014/main" id="{00000000-0008-0000-0000-00002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0" name="Picture 11" hidden="1">
          <a:extLst>
            <a:ext uri="{FF2B5EF4-FFF2-40B4-BE49-F238E27FC236}">
              <a16:creationId xmlns:a16="http://schemas.microsoft.com/office/drawing/2014/main" id="{00000000-0008-0000-0000-00002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2" name="Picture 11" hidden="1">
          <a:extLst>
            <a:ext uri="{FF2B5EF4-FFF2-40B4-BE49-F238E27FC236}">
              <a16:creationId xmlns:a16="http://schemas.microsoft.com/office/drawing/2014/main" id="{00000000-0008-0000-0000-00003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4" name="Picture 11" hidden="1">
          <a:extLst>
            <a:ext uri="{FF2B5EF4-FFF2-40B4-BE49-F238E27FC236}">
              <a16:creationId xmlns:a16="http://schemas.microsoft.com/office/drawing/2014/main" id="{00000000-0008-0000-0000-00003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6" name="Picture 11" hidden="1">
          <a:extLst>
            <a:ext uri="{FF2B5EF4-FFF2-40B4-BE49-F238E27FC236}">
              <a16:creationId xmlns:a16="http://schemas.microsoft.com/office/drawing/2014/main" id="{00000000-0008-0000-0000-00003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8" name="Picture 11" hidden="1">
          <a:extLst>
            <a:ext uri="{FF2B5EF4-FFF2-40B4-BE49-F238E27FC236}">
              <a16:creationId xmlns:a16="http://schemas.microsoft.com/office/drawing/2014/main" id="{00000000-0008-0000-0000-00003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0" name="Picture 11" hidden="1">
          <a:extLst>
            <a:ext uri="{FF2B5EF4-FFF2-40B4-BE49-F238E27FC236}">
              <a16:creationId xmlns:a16="http://schemas.microsoft.com/office/drawing/2014/main" id="{00000000-0008-0000-0000-00003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2" name="Picture 11" hidden="1">
          <a:extLst>
            <a:ext uri="{FF2B5EF4-FFF2-40B4-BE49-F238E27FC236}">
              <a16:creationId xmlns:a16="http://schemas.microsoft.com/office/drawing/2014/main" id="{00000000-0008-0000-0000-00003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4" name="Picture 11" hidden="1">
          <a:extLst>
            <a:ext uri="{FF2B5EF4-FFF2-40B4-BE49-F238E27FC236}">
              <a16:creationId xmlns:a16="http://schemas.microsoft.com/office/drawing/2014/main" id="{00000000-0008-0000-0000-00003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6" name="Picture 11" hidden="1">
          <a:extLst>
            <a:ext uri="{FF2B5EF4-FFF2-40B4-BE49-F238E27FC236}">
              <a16:creationId xmlns:a16="http://schemas.microsoft.com/office/drawing/2014/main" id="{00000000-0008-0000-0000-00003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8" name="Picture 11" hidden="1">
          <a:extLst>
            <a:ext uri="{FF2B5EF4-FFF2-40B4-BE49-F238E27FC236}">
              <a16:creationId xmlns:a16="http://schemas.microsoft.com/office/drawing/2014/main" id="{00000000-0008-0000-0000-00004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0" name="Picture 11" hidden="1">
          <a:extLst>
            <a:ext uri="{FF2B5EF4-FFF2-40B4-BE49-F238E27FC236}">
              <a16:creationId xmlns:a16="http://schemas.microsoft.com/office/drawing/2014/main" id="{00000000-0008-0000-0000-00004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2" name="Picture 11" hidden="1">
          <a:extLst>
            <a:ext uri="{FF2B5EF4-FFF2-40B4-BE49-F238E27FC236}">
              <a16:creationId xmlns:a16="http://schemas.microsoft.com/office/drawing/2014/main" id="{00000000-0008-0000-0000-00004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4" name="Picture 1093" hidden="1">
          <a:extLst>
            <a:ext uri="{FF2B5EF4-FFF2-40B4-BE49-F238E27FC236}">
              <a16:creationId xmlns:a16="http://schemas.microsoft.com/office/drawing/2014/main" id="{00000000-0008-0000-0000-00004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6" name="Picture 11" hidden="1">
          <a:extLst>
            <a:ext uri="{FF2B5EF4-FFF2-40B4-BE49-F238E27FC236}">
              <a16:creationId xmlns:a16="http://schemas.microsoft.com/office/drawing/2014/main" id="{00000000-0008-0000-0000-00004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8" name="Picture 11" hidden="1">
          <a:extLst>
            <a:ext uri="{FF2B5EF4-FFF2-40B4-BE49-F238E27FC236}">
              <a16:creationId xmlns:a16="http://schemas.microsoft.com/office/drawing/2014/main" id="{00000000-0008-0000-0000-00004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0" name="Picture 11" hidden="1">
          <a:extLst>
            <a:ext uri="{FF2B5EF4-FFF2-40B4-BE49-F238E27FC236}">
              <a16:creationId xmlns:a16="http://schemas.microsoft.com/office/drawing/2014/main" id="{00000000-0008-0000-0000-00004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2" name="Picture 11" hidden="1">
          <a:extLst>
            <a:ext uri="{FF2B5EF4-FFF2-40B4-BE49-F238E27FC236}">
              <a16:creationId xmlns:a16="http://schemas.microsoft.com/office/drawing/2014/main" id="{00000000-0008-0000-0000-00004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4" name="Picture 11" hidden="1">
          <a:extLst>
            <a:ext uri="{FF2B5EF4-FFF2-40B4-BE49-F238E27FC236}">
              <a16:creationId xmlns:a16="http://schemas.microsoft.com/office/drawing/2014/main" id="{00000000-0008-0000-0000-00005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6" name="Picture 11" hidden="1">
          <a:extLst>
            <a:ext uri="{FF2B5EF4-FFF2-40B4-BE49-F238E27FC236}">
              <a16:creationId xmlns:a16="http://schemas.microsoft.com/office/drawing/2014/main" id="{00000000-0008-0000-0000-00005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8" name="Picture 11" hidden="1">
          <a:extLst>
            <a:ext uri="{FF2B5EF4-FFF2-40B4-BE49-F238E27FC236}">
              <a16:creationId xmlns:a16="http://schemas.microsoft.com/office/drawing/2014/main" id="{00000000-0008-0000-0000-00005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0" name="Picture 11" hidden="1">
          <a:extLst>
            <a:ext uri="{FF2B5EF4-FFF2-40B4-BE49-F238E27FC236}">
              <a16:creationId xmlns:a16="http://schemas.microsoft.com/office/drawing/2014/main" id="{00000000-0008-0000-0000-00005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2" name="Picture 11" hidden="1">
          <a:extLst>
            <a:ext uri="{FF2B5EF4-FFF2-40B4-BE49-F238E27FC236}">
              <a16:creationId xmlns:a16="http://schemas.microsoft.com/office/drawing/2014/main" id="{00000000-0008-0000-0000-00005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4" name="Picture 11" hidden="1">
          <a:extLst>
            <a:ext uri="{FF2B5EF4-FFF2-40B4-BE49-F238E27FC236}">
              <a16:creationId xmlns:a16="http://schemas.microsoft.com/office/drawing/2014/main" id="{00000000-0008-0000-0000-00005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6" name="Picture 11" hidden="1">
          <a:extLst>
            <a:ext uri="{FF2B5EF4-FFF2-40B4-BE49-F238E27FC236}">
              <a16:creationId xmlns:a16="http://schemas.microsoft.com/office/drawing/2014/main" id="{00000000-0008-0000-0000-00005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8" name="Picture 11" hidden="1">
          <a:extLst>
            <a:ext uri="{FF2B5EF4-FFF2-40B4-BE49-F238E27FC236}">
              <a16:creationId xmlns:a16="http://schemas.microsoft.com/office/drawing/2014/main" id="{00000000-0008-0000-0000-00005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0" name="Picture 11" hidden="1">
          <a:extLst>
            <a:ext uri="{FF2B5EF4-FFF2-40B4-BE49-F238E27FC236}">
              <a16:creationId xmlns:a16="http://schemas.microsoft.com/office/drawing/2014/main" id="{00000000-0008-0000-0000-00006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2" name="Picture 11" hidden="1">
          <a:extLst>
            <a:ext uri="{FF2B5EF4-FFF2-40B4-BE49-F238E27FC236}">
              <a16:creationId xmlns:a16="http://schemas.microsoft.com/office/drawing/2014/main" id="{00000000-0008-0000-0000-00006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4" name="Picture 11" hidden="1">
          <a:extLst>
            <a:ext uri="{FF2B5EF4-FFF2-40B4-BE49-F238E27FC236}">
              <a16:creationId xmlns:a16="http://schemas.microsoft.com/office/drawing/2014/main" id="{00000000-0008-0000-0000-00006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6" name="Picture 11" hidden="1">
          <a:extLst>
            <a:ext uri="{FF2B5EF4-FFF2-40B4-BE49-F238E27FC236}">
              <a16:creationId xmlns:a16="http://schemas.microsoft.com/office/drawing/2014/main" id="{00000000-0008-0000-0000-00006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8" name="Picture 11" hidden="1">
          <a:extLst>
            <a:ext uri="{FF2B5EF4-FFF2-40B4-BE49-F238E27FC236}">
              <a16:creationId xmlns:a16="http://schemas.microsoft.com/office/drawing/2014/main" id="{00000000-0008-0000-0000-00006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0" name="Picture 11" hidden="1">
          <a:extLst>
            <a:ext uri="{FF2B5EF4-FFF2-40B4-BE49-F238E27FC236}">
              <a16:creationId xmlns:a16="http://schemas.microsoft.com/office/drawing/2014/main" id="{00000000-0008-0000-0000-00006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2" name="Picture 11" hidden="1">
          <a:extLst>
            <a:ext uri="{FF2B5EF4-FFF2-40B4-BE49-F238E27FC236}">
              <a16:creationId xmlns:a16="http://schemas.microsoft.com/office/drawing/2014/main" id="{00000000-0008-0000-0000-00006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4" name="Picture 11" hidden="1">
          <a:extLst>
            <a:ext uri="{FF2B5EF4-FFF2-40B4-BE49-F238E27FC236}">
              <a16:creationId xmlns:a16="http://schemas.microsoft.com/office/drawing/2014/main" id="{00000000-0008-0000-0000-00006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6" name="Picture 11" hidden="1">
          <a:extLst>
            <a:ext uri="{FF2B5EF4-FFF2-40B4-BE49-F238E27FC236}">
              <a16:creationId xmlns:a16="http://schemas.microsoft.com/office/drawing/2014/main" id="{00000000-0008-0000-0000-00007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8" name="Picture 11" hidden="1">
          <a:extLst>
            <a:ext uri="{FF2B5EF4-FFF2-40B4-BE49-F238E27FC236}">
              <a16:creationId xmlns:a16="http://schemas.microsoft.com/office/drawing/2014/main" id="{00000000-0008-0000-0000-00007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0" name="Picture 11" hidden="1">
          <a:extLst>
            <a:ext uri="{FF2B5EF4-FFF2-40B4-BE49-F238E27FC236}">
              <a16:creationId xmlns:a16="http://schemas.microsoft.com/office/drawing/2014/main" id="{00000000-0008-0000-0000-00007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2" name="Picture 11" hidden="1">
          <a:extLst>
            <a:ext uri="{FF2B5EF4-FFF2-40B4-BE49-F238E27FC236}">
              <a16:creationId xmlns:a16="http://schemas.microsoft.com/office/drawing/2014/main" id="{00000000-0008-0000-0000-00007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4" name="Picture 11" hidden="1">
          <a:extLst>
            <a:ext uri="{FF2B5EF4-FFF2-40B4-BE49-F238E27FC236}">
              <a16:creationId xmlns:a16="http://schemas.microsoft.com/office/drawing/2014/main" id="{00000000-0008-0000-0000-00007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6" name="Picture 11" hidden="1">
          <a:extLst>
            <a:ext uri="{FF2B5EF4-FFF2-40B4-BE49-F238E27FC236}">
              <a16:creationId xmlns:a16="http://schemas.microsoft.com/office/drawing/2014/main" id="{00000000-0008-0000-0000-00007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8" name="Picture 11" hidden="1">
          <a:extLst>
            <a:ext uri="{FF2B5EF4-FFF2-40B4-BE49-F238E27FC236}">
              <a16:creationId xmlns:a16="http://schemas.microsoft.com/office/drawing/2014/main" id="{00000000-0008-0000-0000-00007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0" name="Picture 11" hidden="1">
          <a:extLst>
            <a:ext uri="{FF2B5EF4-FFF2-40B4-BE49-F238E27FC236}">
              <a16:creationId xmlns:a16="http://schemas.microsoft.com/office/drawing/2014/main" id="{00000000-0008-0000-0000-00007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2" name="Picture 11" hidden="1">
          <a:extLst>
            <a:ext uri="{FF2B5EF4-FFF2-40B4-BE49-F238E27FC236}">
              <a16:creationId xmlns:a16="http://schemas.microsoft.com/office/drawing/2014/main" id="{00000000-0008-0000-0000-00008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4" name="Picture 11" hidden="1">
          <a:extLst>
            <a:ext uri="{FF2B5EF4-FFF2-40B4-BE49-F238E27FC236}">
              <a16:creationId xmlns:a16="http://schemas.microsoft.com/office/drawing/2014/main" id="{00000000-0008-0000-0000-00008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6" name="Picture 11" hidden="1">
          <a:extLst>
            <a:ext uri="{FF2B5EF4-FFF2-40B4-BE49-F238E27FC236}">
              <a16:creationId xmlns:a16="http://schemas.microsoft.com/office/drawing/2014/main" id="{00000000-0008-0000-0000-00008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8" name="Picture 11" hidden="1">
          <a:extLst>
            <a:ext uri="{FF2B5EF4-FFF2-40B4-BE49-F238E27FC236}">
              <a16:creationId xmlns:a16="http://schemas.microsoft.com/office/drawing/2014/main" id="{00000000-0008-0000-0000-00008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0" name="Picture 11" hidden="1">
          <a:extLst>
            <a:ext uri="{FF2B5EF4-FFF2-40B4-BE49-F238E27FC236}">
              <a16:creationId xmlns:a16="http://schemas.microsoft.com/office/drawing/2014/main" id="{00000000-0008-0000-0000-00008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2" name="Picture 11" hidden="1">
          <a:extLst>
            <a:ext uri="{FF2B5EF4-FFF2-40B4-BE49-F238E27FC236}">
              <a16:creationId xmlns:a16="http://schemas.microsoft.com/office/drawing/2014/main" id="{00000000-0008-0000-0000-00008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4" name="Picture 11" hidden="1">
          <a:extLst>
            <a:ext uri="{FF2B5EF4-FFF2-40B4-BE49-F238E27FC236}">
              <a16:creationId xmlns:a16="http://schemas.microsoft.com/office/drawing/2014/main" id="{00000000-0008-0000-0000-00008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6" name="Picture 11" hidden="1">
          <a:extLst>
            <a:ext uri="{FF2B5EF4-FFF2-40B4-BE49-F238E27FC236}">
              <a16:creationId xmlns:a16="http://schemas.microsoft.com/office/drawing/2014/main" id="{00000000-0008-0000-0000-00008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8" name="Picture 11" hidden="1">
          <a:extLst>
            <a:ext uri="{FF2B5EF4-FFF2-40B4-BE49-F238E27FC236}">
              <a16:creationId xmlns:a16="http://schemas.microsoft.com/office/drawing/2014/main" id="{00000000-0008-0000-0000-00009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0" name="Picture 11" hidden="1">
          <a:extLst>
            <a:ext uri="{FF2B5EF4-FFF2-40B4-BE49-F238E27FC236}">
              <a16:creationId xmlns:a16="http://schemas.microsoft.com/office/drawing/2014/main" id="{00000000-0008-0000-0000-00009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2" name="Picture 11" hidden="1">
          <a:extLst>
            <a:ext uri="{FF2B5EF4-FFF2-40B4-BE49-F238E27FC236}">
              <a16:creationId xmlns:a16="http://schemas.microsoft.com/office/drawing/2014/main" id="{00000000-0008-0000-0000-00009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4" name="Picture 11" hidden="1">
          <a:extLst>
            <a:ext uri="{FF2B5EF4-FFF2-40B4-BE49-F238E27FC236}">
              <a16:creationId xmlns:a16="http://schemas.microsoft.com/office/drawing/2014/main" id="{00000000-0008-0000-0000-00009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6" name="Picture 11" hidden="1">
          <a:extLst>
            <a:ext uri="{FF2B5EF4-FFF2-40B4-BE49-F238E27FC236}">
              <a16:creationId xmlns:a16="http://schemas.microsoft.com/office/drawing/2014/main" id="{00000000-0008-0000-0000-00009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8" name="Picture 11" hidden="1">
          <a:extLst>
            <a:ext uri="{FF2B5EF4-FFF2-40B4-BE49-F238E27FC236}">
              <a16:creationId xmlns:a16="http://schemas.microsoft.com/office/drawing/2014/main" id="{00000000-0008-0000-0000-00009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0" name="Picture 11" hidden="1">
          <a:extLst>
            <a:ext uri="{FF2B5EF4-FFF2-40B4-BE49-F238E27FC236}">
              <a16:creationId xmlns:a16="http://schemas.microsoft.com/office/drawing/2014/main" id="{00000000-0008-0000-0000-00009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2" name="Picture 11" hidden="1">
          <a:extLst>
            <a:ext uri="{FF2B5EF4-FFF2-40B4-BE49-F238E27FC236}">
              <a16:creationId xmlns:a16="http://schemas.microsoft.com/office/drawing/2014/main" id="{00000000-0008-0000-0000-00009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4" name="Picture 11" hidden="1">
          <a:extLst>
            <a:ext uri="{FF2B5EF4-FFF2-40B4-BE49-F238E27FC236}">
              <a16:creationId xmlns:a16="http://schemas.microsoft.com/office/drawing/2014/main" id="{00000000-0008-0000-0000-0000A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6" name="Picture 11" hidden="1">
          <a:extLst>
            <a:ext uri="{FF2B5EF4-FFF2-40B4-BE49-F238E27FC236}">
              <a16:creationId xmlns:a16="http://schemas.microsoft.com/office/drawing/2014/main" id="{00000000-0008-0000-0000-0000A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8" name="Picture 11" hidden="1">
          <a:extLst>
            <a:ext uri="{FF2B5EF4-FFF2-40B4-BE49-F238E27FC236}">
              <a16:creationId xmlns:a16="http://schemas.microsoft.com/office/drawing/2014/main" id="{00000000-0008-0000-0000-0000A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0" name="Picture 11" hidden="1">
          <a:extLst>
            <a:ext uri="{FF2B5EF4-FFF2-40B4-BE49-F238E27FC236}">
              <a16:creationId xmlns:a16="http://schemas.microsoft.com/office/drawing/2014/main" id="{00000000-0008-0000-0000-0000A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2" name="Picture 11" hidden="1">
          <a:extLst>
            <a:ext uri="{FF2B5EF4-FFF2-40B4-BE49-F238E27FC236}">
              <a16:creationId xmlns:a16="http://schemas.microsoft.com/office/drawing/2014/main" id="{00000000-0008-0000-0000-0000A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4" name="Picture 11" hidden="1">
          <a:extLst>
            <a:ext uri="{FF2B5EF4-FFF2-40B4-BE49-F238E27FC236}">
              <a16:creationId xmlns:a16="http://schemas.microsoft.com/office/drawing/2014/main" id="{00000000-0008-0000-0000-0000A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6" name="Picture 11" hidden="1">
          <a:extLst>
            <a:ext uri="{FF2B5EF4-FFF2-40B4-BE49-F238E27FC236}">
              <a16:creationId xmlns:a16="http://schemas.microsoft.com/office/drawing/2014/main" id="{00000000-0008-0000-0000-0000A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8" name="Picture 11" hidden="1">
          <a:extLst>
            <a:ext uri="{FF2B5EF4-FFF2-40B4-BE49-F238E27FC236}">
              <a16:creationId xmlns:a16="http://schemas.microsoft.com/office/drawing/2014/main" id="{00000000-0008-0000-0000-0000A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0" name="Picture 11" hidden="1">
          <a:extLst>
            <a:ext uri="{FF2B5EF4-FFF2-40B4-BE49-F238E27FC236}">
              <a16:creationId xmlns:a16="http://schemas.microsoft.com/office/drawing/2014/main" id="{00000000-0008-0000-0000-0000B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2" name="Picture 1201" hidden="1">
          <a:extLst>
            <a:ext uri="{FF2B5EF4-FFF2-40B4-BE49-F238E27FC236}">
              <a16:creationId xmlns:a16="http://schemas.microsoft.com/office/drawing/2014/main" id="{00000000-0008-0000-0000-0000B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4" name="Picture 11" hidden="1">
          <a:extLst>
            <a:ext uri="{FF2B5EF4-FFF2-40B4-BE49-F238E27FC236}">
              <a16:creationId xmlns:a16="http://schemas.microsoft.com/office/drawing/2014/main" id="{00000000-0008-0000-0000-0000B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6" name="Picture 11" hidden="1">
          <a:extLst>
            <a:ext uri="{FF2B5EF4-FFF2-40B4-BE49-F238E27FC236}">
              <a16:creationId xmlns:a16="http://schemas.microsoft.com/office/drawing/2014/main" id="{00000000-0008-0000-0000-0000B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8" name="Picture 11" hidden="1">
          <a:extLst>
            <a:ext uri="{FF2B5EF4-FFF2-40B4-BE49-F238E27FC236}">
              <a16:creationId xmlns:a16="http://schemas.microsoft.com/office/drawing/2014/main" id="{00000000-0008-0000-0000-0000B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0" name="Picture 11" hidden="1">
          <a:extLst>
            <a:ext uri="{FF2B5EF4-FFF2-40B4-BE49-F238E27FC236}">
              <a16:creationId xmlns:a16="http://schemas.microsoft.com/office/drawing/2014/main" id="{00000000-0008-0000-0000-0000B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2" name="Picture 11" hidden="1">
          <a:extLst>
            <a:ext uri="{FF2B5EF4-FFF2-40B4-BE49-F238E27FC236}">
              <a16:creationId xmlns:a16="http://schemas.microsoft.com/office/drawing/2014/main" id="{00000000-0008-0000-0000-0000B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4" name="Picture 11" hidden="1">
          <a:extLst>
            <a:ext uri="{FF2B5EF4-FFF2-40B4-BE49-F238E27FC236}">
              <a16:creationId xmlns:a16="http://schemas.microsoft.com/office/drawing/2014/main" id="{00000000-0008-0000-0000-0000B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6" name="Picture 11" hidden="1">
          <a:extLst>
            <a:ext uri="{FF2B5EF4-FFF2-40B4-BE49-F238E27FC236}">
              <a16:creationId xmlns:a16="http://schemas.microsoft.com/office/drawing/2014/main" id="{00000000-0008-0000-0000-0000C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8" name="Picture 11" hidden="1">
          <a:extLst>
            <a:ext uri="{FF2B5EF4-FFF2-40B4-BE49-F238E27FC236}">
              <a16:creationId xmlns:a16="http://schemas.microsoft.com/office/drawing/2014/main" id="{00000000-0008-0000-0000-0000C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0" name="Picture 11" hidden="1">
          <a:extLst>
            <a:ext uri="{FF2B5EF4-FFF2-40B4-BE49-F238E27FC236}">
              <a16:creationId xmlns:a16="http://schemas.microsoft.com/office/drawing/2014/main" id="{00000000-0008-0000-0000-0000C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2" name="Picture 11" hidden="1">
          <a:extLst>
            <a:ext uri="{FF2B5EF4-FFF2-40B4-BE49-F238E27FC236}">
              <a16:creationId xmlns:a16="http://schemas.microsoft.com/office/drawing/2014/main" id="{00000000-0008-0000-0000-0000C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4" name="Picture 11" hidden="1">
          <a:extLst>
            <a:ext uri="{FF2B5EF4-FFF2-40B4-BE49-F238E27FC236}">
              <a16:creationId xmlns:a16="http://schemas.microsoft.com/office/drawing/2014/main" id="{00000000-0008-0000-0000-0000C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6" name="Picture 11" hidden="1">
          <a:extLst>
            <a:ext uri="{FF2B5EF4-FFF2-40B4-BE49-F238E27FC236}">
              <a16:creationId xmlns:a16="http://schemas.microsoft.com/office/drawing/2014/main" id="{00000000-0008-0000-0000-0000C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8" name="Picture 11" hidden="1">
          <a:extLst>
            <a:ext uri="{FF2B5EF4-FFF2-40B4-BE49-F238E27FC236}">
              <a16:creationId xmlns:a16="http://schemas.microsoft.com/office/drawing/2014/main" id="{00000000-0008-0000-0000-0000C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0" name="Picture 11" hidden="1">
          <a:extLst>
            <a:ext uri="{FF2B5EF4-FFF2-40B4-BE49-F238E27FC236}">
              <a16:creationId xmlns:a16="http://schemas.microsoft.com/office/drawing/2014/main" id="{00000000-0008-0000-0000-0000C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2" name="Picture 11" hidden="1">
          <a:extLst>
            <a:ext uri="{FF2B5EF4-FFF2-40B4-BE49-F238E27FC236}">
              <a16:creationId xmlns:a16="http://schemas.microsoft.com/office/drawing/2014/main" id="{00000000-0008-0000-0000-0000D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4" name="Picture 11" hidden="1">
          <a:extLst>
            <a:ext uri="{FF2B5EF4-FFF2-40B4-BE49-F238E27FC236}">
              <a16:creationId xmlns:a16="http://schemas.microsoft.com/office/drawing/2014/main" id="{00000000-0008-0000-0000-0000D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6" name="Picture 11" hidden="1">
          <a:extLst>
            <a:ext uri="{FF2B5EF4-FFF2-40B4-BE49-F238E27FC236}">
              <a16:creationId xmlns:a16="http://schemas.microsoft.com/office/drawing/2014/main" id="{00000000-0008-0000-0000-0000D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8" name="Picture 11" hidden="1">
          <a:extLst>
            <a:ext uri="{FF2B5EF4-FFF2-40B4-BE49-F238E27FC236}">
              <a16:creationId xmlns:a16="http://schemas.microsoft.com/office/drawing/2014/main" id="{00000000-0008-0000-0000-0000D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0" name="Picture 11" hidden="1">
          <a:extLst>
            <a:ext uri="{FF2B5EF4-FFF2-40B4-BE49-F238E27FC236}">
              <a16:creationId xmlns:a16="http://schemas.microsoft.com/office/drawing/2014/main" id="{00000000-0008-0000-0000-0000D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2" name="Picture 11" hidden="1">
          <a:extLst>
            <a:ext uri="{FF2B5EF4-FFF2-40B4-BE49-F238E27FC236}">
              <a16:creationId xmlns:a16="http://schemas.microsoft.com/office/drawing/2014/main" id="{00000000-0008-0000-0000-0000D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4" name="Picture 11" hidden="1">
          <a:extLst>
            <a:ext uri="{FF2B5EF4-FFF2-40B4-BE49-F238E27FC236}">
              <a16:creationId xmlns:a16="http://schemas.microsoft.com/office/drawing/2014/main" id="{00000000-0008-0000-0000-0000D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6" name="Picture 11" hidden="1">
          <a:extLst>
            <a:ext uri="{FF2B5EF4-FFF2-40B4-BE49-F238E27FC236}">
              <a16:creationId xmlns:a16="http://schemas.microsoft.com/office/drawing/2014/main" id="{00000000-0008-0000-0000-0000D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8" name="Picture 11" hidden="1">
          <a:extLst>
            <a:ext uri="{FF2B5EF4-FFF2-40B4-BE49-F238E27FC236}">
              <a16:creationId xmlns:a16="http://schemas.microsoft.com/office/drawing/2014/main" id="{00000000-0008-0000-0000-0000E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0" name="Picture 11" hidden="1">
          <a:extLst>
            <a:ext uri="{FF2B5EF4-FFF2-40B4-BE49-F238E27FC236}">
              <a16:creationId xmlns:a16="http://schemas.microsoft.com/office/drawing/2014/main" id="{00000000-0008-0000-0000-0000E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2" name="Picture 11" hidden="1">
          <a:extLst>
            <a:ext uri="{FF2B5EF4-FFF2-40B4-BE49-F238E27FC236}">
              <a16:creationId xmlns:a16="http://schemas.microsoft.com/office/drawing/2014/main" id="{00000000-0008-0000-0000-0000E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4" name="Picture 11" hidden="1">
          <a:extLst>
            <a:ext uri="{FF2B5EF4-FFF2-40B4-BE49-F238E27FC236}">
              <a16:creationId xmlns:a16="http://schemas.microsoft.com/office/drawing/2014/main" id="{00000000-0008-0000-0000-0000E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6" name="Picture 11" hidden="1">
          <a:extLst>
            <a:ext uri="{FF2B5EF4-FFF2-40B4-BE49-F238E27FC236}">
              <a16:creationId xmlns:a16="http://schemas.microsoft.com/office/drawing/2014/main" id="{00000000-0008-0000-0000-0000E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8" name="Picture 11" hidden="1">
          <a:extLst>
            <a:ext uri="{FF2B5EF4-FFF2-40B4-BE49-F238E27FC236}">
              <a16:creationId xmlns:a16="http://schemas.microsoft.com/office/drawing/2014/main" id="{00000000-0008-0000-0000-0000E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0" name="Picture 11" hidden="1">
          <a:extLst>
            <a:ext uri="{FF2B5EF4-FFF2-40B4-BE49-F238E27FC236}">
              <a16:creationId xmlns:a16="http://schemas.microsoft.com/office/drawing/2014/main" id="{00000000-0008-0000-0000-0000E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2" name="Picture 11" hidden="1">
          <a:extLst>
            <a:ext uri="{FF2B5EF4-FFF2-40B4-BE49-F238E27FC236}">
              <a16:creationId xmlns:a16="http://schemas.microsoft.com/office/drawing/2014/main" id="{00000000-0008-0000-0000-0000E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4" name="Picture 11" hidden="1">
          <a:extLst>
            <a:ext uri="{FF2B5EF4-FFF2-40B4-BE49-F238E27FC236}">
              <a16:creationId xmlns:a16="http://schemas.microsoft.com/office/drawing/2014/main" id="{00000000-0008-0000-0000-0000F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6" name="Picture 11" hidden="1">
          <a:extLst>
            <a:ext uri="{FF2B5EF4-FFF2-40B4-BE49-F238E27FC236}">
              <a16:creationId xmlns:a16="http://schemas.microsoft.com/office/drawing/2014/main" id="{00000000-0008-0000-0000-0000F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8" name="Picture 11" hidden="1">
          <a:extLst>
            <a:ext uri="{FF2B5EF4-FFF2-40B4-BE49-F238E27FC236}">
              <a16:creationId xmlns:a16="http://schemas.microsoft.com/office/drawing/2014/main" id="{00000000-0008-0000-0000-0000F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0" name="Picture 11" hidden="1">
          <a:extLst>
            <a:ext uri="{FF2B5EF4-FFF2-40B4-BE49-F238E27FC236}">
              <a16:creationId xmlns:a16="http://schemas.microsoft.com/office/drawing/2014/main" id="{00000000-0008-0000-0000-0000F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2" name="Picture 11" hidden="1">
          <a:extLst>
            <a:ext uri="{FF2B5EF4-FFF2-40B4-BE49-F238E27FC236}">
              <a16:creationId xmlns:a16="http://schemas.microsoft.com/office/drawing/2014/main" id="{00000000-0008-0000-0000-0000F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4" name="Picture 11" hidden="1">
          <a:extLst>
            <a:ext uri="{FF2B5EF4-FFF2-40B4-BE49-F238E27FC236}">
              <a16:creationId xmlns:a16="http://schemas.microsoft.com/office/drawing/2014/main" id="{00000000-0008-0000-0000-0000F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6" name="Picture 11" hidden="1">
          <a:extLst>
            <a:ext uri="{FF2B5EF4-FFF2-40B4-BE49-F238E27FC236}">
              <a16:creationId xmlns:a16="http://schemas.microsoft.com/office/drawing/2014/main" id="{00000000-0008-0000-0000-0000F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8" name="Picture 11" hidden="1">
          <a:extLst>
            <a:ext uri="{FF2B5EF4-FFF2-40B4-BE49-F238E27FC236}">
              <a16:creationId xmlns:a16="http://schemas.microsoft.com/office/drawing/2014/main" id="{00000000-0008-0000-0000-0000F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80" name="Picture 11" hidden="1">
          <a:extLst>
            <a:ext uri="{FF2B5EF4-FFF2-40B4-BE49-F238E27FC236}">
              <a16:creationId xmlns:a16="http://schemas.microsoft.com/office/drawing/2014/main" id="{00000000-0008-0000-0000-00000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82" name="Picture 11" hidden="1">
          <a:extLst>
            <a:ext uri="{FF2B5EF4-FFF2-40B4-BE49-F238E27FC236}">
              <a16:creationId xmlns:a16="http://schemas.microsoft.com/office/drawing/2014/main" id="{00000000-0008-0000-0000-00000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84" name="Picture 11" hidden="1">
          <a:extLst>
            <a:ext uri="{FF2B5EF4-FFF2-40B4-BE49-F238E27FC236}">
              <a16:creationId xmlns:a16="http://schemas.microsoft.com/office/drawing/2014/main" id="{00000000-0008-0000-0000-00000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86" name="Picture 11" hidden="1">
          <a:extLst>
            <a:ext uri="{FF2B5EF4-FFF2-40B4-BE49-F238E27FC236}">
              <a16:creationId xmlns:a16="http://schemas.microsoft.com/office/drawing/2014/main" id="{00000000-0008-0000-0000-00000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88" name="Picture 11" hidden="1">
          <a:extLst>
            <a:ext uri="{FF2B5EF4-FFF2-40B4-BE49-F238E27FC236}">
              <a16:creationId xmlns:a16="http://schemas.microsoft.com/office/drawing/2014/main" id="{00000000-0008-0000-0000-00000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90" name="Picture 11" hidden="1">
          <a:extLst>
            <a:ext uri="{FF2B5EF4-FFF2-40B4-BE49-F238E27FC236}">
              <a16:creationId xmlns:a16="http://schemas.microsoft.com/office/drawing/2014/main" id="{00000000-0008-0000-0000-00000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92" name="Picture 11" hidden="1">
          <a:extLst>
            <a:ext uri="{FF2B5EF4-FFF2-40B4-BE49-F238E27FC236}">
              <a16:creationId xmlns:a16="http://schemas.microsoft.com/office/drawing/2014/main" id="{00000000-0008-0000-0000-00000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94" name="Picture 11" hidden="1">
          <a:extLst>
            <a:ext uri="{FF2B5EF4-FFF2-40B4-BE49-F238E27FC236}">
              <a16:creationId xmlns:a16="http://schemas.microsoft.com/office/drawing/2014/main" id="{00000000-0008-0000-0000-00000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96" name="Picture 11" hidden="1">
          <a:extLst>
            <a:ext uri="{FF2B5EF4-FFF2-40B4-BE49-F238E27FC236}">
              <a16:creationId xmlns:a16="http://schemas.microsoft.com/office/drawing/2014/main" id="{00000000-0008-0000-0000-00001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98" name="Picture 11" hidden="1">
          <a:extLst>
            <a:ext uri="{FF2B5EF4-FFF2-40B4-BE49-F238E27FC236}">
              <a16:creationId xmlns:a16="http://schemas.microsoft.com/office/drawing/2014/main" id="{00000000-0008-0000-0000-00001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00" name="Picture 11" hidden="1">
          <a:extLst>
            <a:ext uri="{FF2B5EF4-FFF2-40B4-BE49-F238E27FC236}">
              <a16:creationId xmlns:a16="http://schemas.microsoft.com/office/drawing/2014/main" id="{00000000-0008-0000-0000-00001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02" name="Picture 11" hidden="1">
          <a:extLst>
            <a:ext uri="{FF2B5EF4-FFF2-40B4-BE49-F238E27FC236}">
              <a16:creationId xmlns:a16="http://schemas.microsoft.com/office/drawing/2014/main" id="{00000000-0008-0000-0000-00001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04" name="Picture 11" hidden="1">
          <a:extLst>
            <a:ext uri="{FF2B5EF4-FFF2-40B4-BE49-F238E27FC236}">
              <a16:creationId xmlns:a16="http://schemas.microsoft.com/office/drawing/2014/main" id="{00000000-0008-0000-0000-00001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06" name="Picture 11" hidden="1">
          <a:extLst>
            <a:ext uri="{FF2B5EF4-FFF2-40B4-BE49-F238E27FC236}">
              <a16:creationId xmlns:a16="http://schemas.microsoft.com/office/drawing/2014/main" id="{00000000-0008-0000-0000-00001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08" name="Picture 11" hidden="1">
          <a:extLst>
            <a:ext uri="{FF2B5EF4-FFF2-40B4-BE49-F238E27FC236}">
              <a16:creationId xmlns:a16="http://schemas.microsoft.com/office/drawing/2014/main" id="{00000000-0008-0000-0000-00001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10" name="Picture 1309" hidden="1">
          <a:extLst>
            <a:ext uri="{FF2B5EF4-FFF2-40B4-BE49-F238E27FC236}">
              <a16:creationId xmlns:a16="http://schemas.microsoft.com/office/drawing/2014/main" id="{00000000-0008-0000-0000-00001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12" name="Picture 11" hidden="1">
          <a:extLst>
            <a:ext uri="{FF2B5EF4-FFF2-40B4-BE49-F238E27FC236}">
              <a16:creationId xmlns:a16="http://schemas.microsoft.com/office/drawing/2014/main" id="{00000000-0008-0000-0000-00002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14" name="Picture 11" hidden="1">
          <a:extLst>
            <a:ext uri="{FF2B5EF4-FFF2-40B4-BE49-F238E27FC236}">
              <a16:creationId xmlns:a16="http://schemas.microsoft.com/office/drawing/2014/main" id="{00000000-0008-0000-0000-00002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16" name="Picture 11" hidden="1">
          <a:extLst>
            <a:ext uri="{FF2B5EF4-FFF2-40B4-BE49-F238E27FC236}">
              <a16:creationId xmlns:a16="http://schemas.microsoft.com/office/drawing/2014/main" id="{00000000-0008-0000-0000-00002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18" name="Picture 11" hidden="1">
          <a:extLst>
            <a:ext uri="{FF2B5EF4-FFF2-40B4-BE49-F238E27FC236}">
              <a16:creationId xmlns:a16="http://schemas.microsoft.com/office/drawing/2014/main" id="{00000000-0008-0000-0000-00002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20" name="Picture 11" hidden="1">
          <a:extLst>
            <a:ext uri="{FF2B5EF4-FFF2-40B4-BE49-F238E27FC236}">
              <a16:creationId xmlns:a16="http://schemas.microsoft.com/office/drawing/2014/main" id="{00000000-0008-0000-0000-00002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22" name="Picture 11" hidden="1">
          <a:extLst>
            <a:ext uri="{FF2B5EF4-FFF2-40B4-BE49-F238E27FC236}">
              <a16:creationId xmlns:a16="http://schemas.microsoft.com/office/drawing/2014/main" id="{00000000-0008-0000-0000-00002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24" name="Picture 11" hidden="1">
          <a:extLst>
            <a:ext uri="{FF2B5EF4-FFF2-40B4-BE49-F238E27FC236}">
              <a16:creationId xmlns:a16="http://schemas.microsoft.com/office/drawing/2014/main" id="{00000000-0008-0000-0000-00002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26" name="Picture 11" hidden="1">
          <a:extLst>
            <a:ext uri="{FF2B5EF4-FFF2-40B4-BE49-F238E27FC236}">
              <a16:creationId xmlns:a16="http://schemas.microsoft.com/office/drawing/2014/main" id="{00000000-0008-0000-0000-00002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28" name="Picture 11" hidden="1">
          <a:extLst>
            <a:ext uri="{FF2B5EF4-FFF2-40B4-BE49-F238E27FC236}">
              <a16:creationId xmlns:a16="http://schemas.microsoft.com/office/drawing/2014/main" id="{00000000-0008-0000-0000-00003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30" name="Picture 11" hidden="1">
          <a:extLst>
            <a:ext uri="{FF2B5EF4-FFF2-40B4-BE49-F238E27FC236}">
              <a16:creationId xmlns:a16="http://schemas.microsoft.com/office/drawing/2014/main" id="{00000000-0008-0000-0000-00003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32" name="Picture 11" hidden="1">
          <a:extLst>
            <a:ext uri="{FF2B5EF4-FFF2-40B4-BE49-F238E27FC236}">
              <a16:creationId xmlns:a16="http://schemas.microsoft.com/office/drawing/2014/main" id="{00000000-0008-0000-0000-00003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34" name="Picture 11" hidden="1">
          <a:extLst>
            <a:ext uri="{FF2B5EF4-FFF2-40B4-BE49-F238E27FC236}">
              <a16:creationId xmlns:a16="http://schemas.microsoft.com/office/drawing/2014/main" id="{00000000-0008-0000-0000-00003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36" name="Picture 11" hidden="1">
          <a:extLst>
            <a:ext uri="{FF2B5EF4-FFF2-40B4-BE49-F238E27FC236}">
              <a16:creationId xmlns:a16="http://schemas.microsoft.com/office/drawing/2014/main" id="{00000000-0008-0000-0000-00003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38" name="Picture 11" hidden="1">
          <a:extLst>
            <a:ext uri="{FF2B5EF4-FFF2-40B4-BE49-F238E27FC236}">
              <a16:creationId xmlns:a16="http://schemas.microsoft.com/office/drawing/2014/main" id="{00000000-0008-0000-0000-00003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40" name="Picture 11" hidden="1">
          <a:extLst>
            <a:ext uri="{FF2B5EF4-FFF2-40B4-BE49-F238E27FC236}">
              <a16:creationId xmlns:a16="http://schemas.microsoft.com/office/drawing/2014/main" id="{00000000-0008-0000-0000-00003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42" name="Picture 11" hidden="1">
          <a:extLst>
            <a:ext uri="{FF2B5EF4-FFF2-40B4-BE49-F238E27FC236}">
              <a16:creationId xmlns:a16="http://schemas.microsoft.com/office/drawing/2014/main" id="{00000000-0008-0000-0000-00003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44" name="Picture 11" hidden="1">
          <a:extLst>
            <a:ext uri="{FF2B5EF4-FFF2-40B4-BE49-F238E27FC236}">
              <a16:creationId xmlns:a16="http://schemas.microsoft.com/office/drawing/2014/main" id="{00000000-0008-0000-0000-00004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46" name="Picture 11" hidden="1">
          <a:extLst>
            <a:ext uri="{FF2B5EF4-FFF2-40B4-BE49-F238E27FC236}">
              <a16:creationId xmlns:a16="http://schemas.microsoft.com/office/drawing/2014/main" id="{00000000-0008-0000-0000-00004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48" name="Picture 11" hidden="1">
          <a:extLst>
            <a:ext uri="{FF2B5EF4-FFF2-40B4-BE49-F238E27FC236}">
              <a16:creationId xmlns:a16="http://schemas.microsoft.com/office/drawing/2014/main" id="{00000000-0008-0000-0000-00004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50" name="Picture 11" hidden="1">
          <a:extLst>
            <a:ext uri="{FF2B5EF4-FFF2-40B4-BE49-F238E27FC236}">
              <a16:creationId xmlns:a16="http://schemas.microsoft.com/office/drawing/2014/main" id="{00000000-0008-0000-0000-00004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52" name="Picture 11" hidden="1">
          <a:extLst>
            <a:ext uri="{FF2B5EF4-FFF2-40B4-BE49-F238E27FC236}">
              <a16:creationId xmlns:a16="http://schemas.microsoft.com/office/drawing/2014/main" id="{00000000-0008-0000-0000-00004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54" name="Picture 11" hidden="1">
          <a:extLst>
            <a:ext uri="{FF2B5EF4-FFF2-40B4-BE49-F238E27FC236}">
              <a16:creationId xmlns:a16="http://schemas.microsoft.com/office/drawing/2014/main" id="{00000000-0008-0000-0000-00004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56" name="Picture 11" hidden="1">
          <a:extLst>
            <a:ext uri="{FF2B5EF4-FFF2-40B4-BE49-F238E27FC236}">
              <a16:creationId xmlns:a16="http://schemas.microsoft.com/office/drawing/2014/main" id="{00000000-0008-0000-0000-00004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58" name="Picture 11" hidden="1">
          <a:extLst>
            <a:ext uri="{FF2B5EF4-FFF2-40B4-BE49-F238E27FC236}">
              <a16:creationId xmlns:a16="http://schemas.microsoft.com/office/drawing/2014/main" id="{00000000-0008-0000-0000-00004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60" name="Picture 11" hidden="1">
          <a:extLst>
            <a:ext uri="{FF2B5EF4-FFF2-40B4-BE49-F238E27FC236}">
              <a16:creationId xmlns:a16="http://schemas.microsoft.com/office/drawing/2014/main" id="{00000000-0008-0000-0000-00005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62" name="Picture 11" hidden="1">
          <a:extLst>
            <a:ext uri="{FF2B5EF4-FFF2-40B4-BE49-F238E27FC236}">
              <a16:creationId xmlns:a16="http://schemas.microsoft.com/office/drawing/2014/main" id="{00000000-0008-0000-0000-00005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64" name="Picture 11" hidden="1">
          <a:extLst>
            <a:ext uri="{FF2B5EF4-FFF2-40B4-BE49-F238E27FC236}">
              <a16:creationId xmlns:a16="http://schemas.microsoft.com/office/drawing/2014/main" id="{00000000-0008-0000-0000-00005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66" name="Picture 11" hidden="1">
          <a:extLst>
            <a:ext uri="{FF2B5EF4-FFF2-40B4-BE49-F238E27FC236}">
              <a16:creationId xmlns:a16="http://schemas.microsoft.com/office/drawing/2014/main" id="{00000000-0008-0000-0000-00005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68" name="Picture 11" hidden="1">
          <a:extLst>
            <a:ext uri="{FF2B5EF4-FFF2-40B4-BE49-F238E27FC236}">
              <a16:creationId xmlns:a16="http://schemas.microsoft.com/office/drawing/2014/main" id="{00000000-0008-0000-0000-00005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70" name="Picture 11" hidden="1">
          <a:extLst>
            <a:ext uri="{FF2B5EF4-FFF2-40B4-BE49-F238E27FC236}">
              <a16:creationId xmlns:a16="http://schemas.microsoft.com/office/drawing/2014/main" id="{00000000-0008-0000-0000-00005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72" name="Picture 11" hidden="1">
          <a:extLst>
            <a:ext uri="{FF2B5EF4-FFF2-40B4-BE49-F238E27FC236}">
              <a16:creationId xmlns:a16="http://schemas.microsoft.com/office/drawing/2014/main" id="{00000000-0008-0000-0000-00005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74" name="Picture 11" hidden="1">
          <a:extLst>
            <a:ext uri="{FF2B5EF4-FFF2-40B4-BE49-F238E27FC236}">
              <a16:creationId xmlns:a16="http://schemas.microsoft.com/office/drawing/2014/main" id="{00000000-0008-0000-0000-00005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76" name="Picture 11" hidden="1">
          <a:extLst>
            <a:ext uri="{FF2B5EF4-FFF2-40B4-BE49-F238E27FC236}">
              <a16:creationId xmlns:a16="http://schemas.microsoft.com/office/drawing/2014/main" id="{00000000-0008-0000-0000-00006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78" name="Picture 11" hidden="1">
          <a:extLst>
            <a:ext uri="{FF2B5EF4-FFF2-40B4-BE49-F238E27FC236}">
              <a16:creationId xmlns:a16="http://schemas.microsoft.com/office/drawing/2014/main" id="{00000000-0008-0000-0000-00006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80" name="Picture 11" hidden="1">
          <a:extLst>
            <a:ext uri="{FF2B5EF4-FFF2-40B4-BE49-F238E27FC236}">
              <a16:creationId xmlns:a16="http://schemas.microsoft.com/office/drawing/2014/main" id="{00000000-0008-0000-0000-00006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82" name="Picture 11" hidden="1">
          <a:extLst>
            <a:ext uri="{FF2B5EF4-FFF2-40B4-BE49-F238E27FC236}">
              <a16:creationId xmlns:a16="http://schemas.microsoft.com/office/drawing/2014/main" id="{00000000-0008-0000-0000-00006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84" name="Picture 11" hidden="1">
          <a:extLst>
            <a:ext uri="{FF2B5EF4-FFF2-40B4-BE49-F238E27FC236}">
              <a16:creationId xmlns:a16="http://schemas.microsoft.com/office/drawing/2014/main" id="{00000000-0008-0000-0000-00006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86" name="Picture 11" hidden="1">
          <a:extLst>
            <a:ext uri="{FF2B5EF4-FFF2-40B4-BE49-F238E27FC236}">
              <a16:creationId xmlns:a16="http://schemas.microsoft.com/office/drawing/2014/main" id="{00000000-0008-0000-0000-00006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88" name="Picture 11" hidden="1">
          <a:extLst>
            <a:ext uri="{FF2B5EF4-FFF2-40B4-BE49-F238E27FC236}">
              <a16:creationId xmlns:a16="http://schemas.microsoft.com/office/drawing/2014/main" id="{00000000-0008-0000-0000-00006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90" name="Picture 11" hidden="1">
          <a:extLst>
            <a:ext uri="{FF2B5EF4-FFF2-40B4-BE49-F238E27FC236}">
              <a16:creationId xmlns:a16="http://schemas.microsoft.com/office/drawing/2014/main" id="{00000000-0008-0000-0000-00006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92" name="Picture 11" hidden="1">
          <a:extLst>
            <a:ext uri="{FF2B5EF4-FFF2-40B4-BE49-F238E27FC236}">
              <a16:creationId xmlns:a16="http://schemas.microsoft.com/office/drawing/2014/main" id="{00000000-0008-0000-0000-00007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94" name="Picture 11" hidden="1">
          <a:extLst>
            <a:ext uri="{FF2B5EF4-FFF2-40B4-BE49-F238E27FC236}">
              <a16:creationId xmlns:a16="http://schemas.microsoft.com/office/drawing/2014/main" id="{00000000-0008-0000-0000-00007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96" name="Picture 11" hidden="1">
          <a:extLst>
            <a:ext uri="{FF2B5EF4-FFF2-40B4-BE49-F238E27FC236}">
              <a16:creationId xmlns:a16="http://schemas.microsoft.com/office/drawing/2014/main" id="{00000000-0008-0000-0000-00007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98" name="Picture 11" hidden="1">
          <a:extLst>
            <a:ext uri="{FF2B5EF4-FFF2-40B4-BE49-F238E27FC236}">
              <a16:creationId xmlns:a16="http://schemas.microsoft.com/office/drawing/2014/main" id="{00000000-0008-0000-0000-00007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00" name="Picture 11" hidden="1">
          <a:extLst>
            <a:ext uri="{FF2B5EF4-FFF2-40B4-BE49-F238E27FC236}">
              <a16:creationId xmlns:a16="http://schemas.microsoft.com/office/drawing/2014/main" id="{00000000-0008-0000-0000-00007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02" name="Picture 11" hidden="1">
          <a:extLst>
            <a:ext uri="{FF2B5EF4-FFF2-40B4-BE49-F238E27FC236}">
              <a16:creationId xmlns:a16="http://schemas.microsoft.com/office/drawing/2014/main" id="{00000000-0008-0000-0000-00007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04" name="Picture 11" hidden="1">
          <a:extLst>
            <a:ext uri="{FF2B5EF4-FFF2-40B4-BE49-F238E27FC236}">
              <a16:creationId xmlns:a16="http://schemas.microsoft.com/office/drawing/2014/main" id="{00000000-0008-0000-0000-00007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06" name="Picture 11" hidden="1">
          <a:extLst>
            <a:ext uri="{FF2B5EF4-FFF2-40B4-BE49-F238E27FC236}">
              <a16:creationId xmlns:a16="http://schemas.microsoft.com/office/drawing/2014/main" id="{00000000-0008-0000-0000-00007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08" name="Picture 11" hidden="1">
          <a:extLst>
            <a:ext uri="{FF2B5EF4-FFF2-40B4-BE49-F238E27FC236}">
              <a16:creationId xmlns:a16="http://schemas.microsoft.com/office/drawing/2014/main" id="{00000000-0008-0000-0000-00008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10" name="Picture 11" hidden="1">
          <a:extLst>
            <a:ext uri="{FF2B5EF4-FFF2-40B4-BE49-F238E27FC236}">
              <a16:creationId xmlns:a16="http://schemas.microsoft.com/office/drawing/2014/main" id="{00000000-0008-0000-0000-00008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12" name="Picture 11" hidden="1">
          <a:extLst>
            <a:ext uri="{FF2B5EF4-FFF2-40B4-BE49-F238E27FC236}">
              <a16:creationId xmlns:a16="http://schemas.microsoft.com/office/drawing/2014/main" id="{00000000-0008-0000-0000-00008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14" name="Picture 11" hidden="1">
          <a:extLst>
            <a:ext uri="{FF2B5EF4-FFF2-40B4-BE49-F238E27FC236}">
              <a16:creationId xmlns:a16="http://schemas.microsoft.com/office/drawing/2014/main" id="{00000000-0008-0000-0000-00008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16" name="Picture 11" hidden="1">
          <a:extLst>
            <a:ext uri="{FF2B5EF4-FFF2-40B4-BE49-F238E27FC236}">
              <a16:creationId xmlns:a16="http://schemas.microsoft.com/office/drawing/2014/main" id="{00000000-0008-0000-0000-00008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18" name="Picture 1417" hidden="1">
          <a:extLst>
            <a:ext uri="{FF2B5EF4-FFF2-40B4-BE49-F238E27FC236}">
              <a16:creationId xmlns:a16="http://schemas.microsoft.com/office/drawing/2014/main" id="{00000000-0008-0000-0000-00008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20" name="Picture 11" hidden="1">
          <a:extLst>
            <a:ext uri="{FF2B5EF4-FFF2-40B4-BE49-F238E27FC236}">
              <a16:creationId xmlns:a16="http://schemas.microsoft.com/office/drawing/2014/main" id="{00000000-0008-0000-0000-00008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22" name="Picture 11" hidden="1">
          <a:extLst>
            <a:ext uri="{FF2B5EF4-FFF2-40B4-BE49-F238E27FC236}">
              <a16:creationId xmlns:a16="http://schemas.microsoft.com/office/drawing/2014/main" id="{00000000-0008-0000-0000-00008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24" name="Picture 11" hidden="1">
          <a:extLst>
            <a:ext uri="{FF2B5EF4-FFF2-40B4-BE49-F238E27FC236}">
              <a16:creationId xmlns:a16="http://schemas.microsoft.com/office/drawing/2014/main" id="{00000000-0008-0000-0000-00009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26" name="Picture 11" hidden="1">
          <a:extLst>
            <a:ext uri="{FF2B5EF4-FFF2-40B4-BE49-F238E27FC236}">
              <a16:creationId xmlns:a16="http://schemas.microsoft.com/office/drawing/2014/main" id="{00000000-0008-0000-0000-00009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28" name="Picture 11" hidden="1">
          <a:extLst>
            <a:ext uri="{FF2B5EF4-FFF2-40B4-BE49-F238E27FC236}">
              <a16:creationId xmlns:a16="http://schemas.microsoft.com/office/drawing/2014/main" id="{00000000-0008-0000-0000-00009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30" name="Picture 11" hidden="1">
          <a:extLst>
            <a:ext uri="{FF2B5EF4-FFF2-40B4-BE49-F238E27FC236}">
              <a16:creationId xmlns:a16="http://schemas.microsoft.com/office/drawing/2014/main" id="{00000000-0008-0000-0000-00009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32" name="Picture 11" hidden="1">
          <a:extLst>
            <a:ext uri="{FF2B5EF4-FFF2-40B4-BE49-F238E27FC236}">
              <a16:creationId xmlns:a16="http://schemas.microsoft.com/office/drawing/2014/main" id="{00000000-0008-0000-0000-00009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34" name="Picture 11" hidden="1">
          <a:extLst>
            <a:ext uri="{FF2B5EF4-FFF2-40B4-BE49-F238E27FC236}">
              <a16:creationId xmlns:a16="http://schemas.microsoft.com/office/drawing/2014/main" id="{00000000-0008-0000-0000-00009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36" name="Picture 11" hidden="1">
          <a:extLst>
            <a:ext uri="{FF2B5EF4-FFF2-40B4-BE49-F238E27FC236}">
              <a16:creationId xmlns:a16="http://schemas.microsoft.com/office/drawing/2014/main" id="{00000000-0008-0000-0000-00009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38" name="Picture 11" hidden="1">
          <a:extLst>
            <a:ext uri="{FF2B5EF4-FFF2-40B4-BE49-F238E27FC236}">
              <a16:creationId xmlns:a16="http://schemas.microsoft.com/office/drawing/2014/main" id="{00000000-0008-0000-0000-00009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40" name="Picture 11" hidden="1">
          <a:extLst>
            <a:ext uri="{FF2B5EF4-FFF2-40B4-BE49-F238E27FC236}">
              <a16:creationId xmlns:a16="http://schemas.microsoft.com/office/drawing/2014/main" id="{00000000-0008-0000-0000-0000A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42" name="Picture 11" hidden="1">
          <a:extLst>
            <a:ext uri="{FF2B5EF4-FFF2-40B4-BE49-F238E27FC236}">
              <a16:creationId xmlns:a16="http://schemas.microsoft.com/office/drawing/2014/main" id="{00000000-0008-0000-0000-0000A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44" name="Picture 11" hidden="1">
          <a:extLst>
            <a:ext uri="{FF2B5EF4-FFF2-40B4-BE49-F238E27FC236}">
              <a16:creationId xmlns:a16="http://schemas.microsoft.com/office/drawing/2014/main" id="{00000000-0008-0000-0000-0000A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46" name="Picture 11" hidden="1">
          <a:extLst>
            <a:ext uri="{FF2B5EF4-FFF2-40B4-BE49-F238E27FC236}">
              <a16:creationId xmlns:a16="http://schemas.microsoft.com/office/drawing/2014/main" id="{00000000-0008-0000-0000-0000A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48" name="Picture 11" hidden="1">
          <a:extLst>
            <a:ext uri="{FF2B5EF4-FFF2-40B4-BE49-F238E27FC236}">
              <a16:creationId xmlns:a16="http://schemas.microsoft.com/office/drawing/2014/main" id="{00000000-0008-0000-0000-0000A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50" name="Picture 11" hidden="1">
          <a:extLst>
            <a:ext uri="{FF2B5EF4-FFF2-40B4-BE49-F238E27FC236}">
              <a16:creationId xmlns:a16="http://schemas.microsoft.com/office/drawing/2014/main" id="{00000000-0008-0000-0000-0000A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52" name="Picture 11" hidden="1">
          <a:extLst>
            <a:ext uri="{FF2B5EF4-FFF2-40B4-BE49-F238E27FC236}">
              <a16:creationId xmlns:a16="http://schemas.microsoft.com/office/drawing/2014/main" id="{00000000-0008-0000-0000-0000A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54" name="Picture 11" hidden="1">
          <a:extLst>
            <a:ext uri="{FF2B5EF4-FFF2-40B4-BE49-F238E27FC236}">
              <a16:creationId xmlns:a16="http://schemas.microsoft.com/office/drawing/2014/main" id="{00000000-0008-0000-0000-0000A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56" name="Picture 11" hidden="1">
          <a:extLst>
            <a:ext uri="{FF2B5EF4-FFF2-40B4-BE49-F238E27FC236}">
              <a16:creationId xmlns:a16="http://schemas.microsoft.com/office/drawing/2014/main" id="{00000000-0008-0000-0000-0000B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58" name="Picture 11" hidden="1">
          <a:extLst>
            <a:ext uri="{FF2B5EF4-FFF2-40B4-BE49-F238E27FC236}">
              <a16:creationId xmlns:a16="http://schemas.microsoft.com/office/drawing/2014/main" id="{00000000-0008-0000-0000-0000B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60" name="Picture 11" hidden="1">
          <a:extLst>
            <a:ext uri="{FF2B5EF4-FFF2-40B4-BE49-F238E27FC236}">
              <a16:creationId xmlns:a16="http://schemas.microsoft.com/office/drawing/2014/main" id="{00000000-0008-0000-0000-0000B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62" name="Picture 11" hidden="1">
          <a:extLst>
            <a:ext uri="{FF2B5EF4-FFF2-40B4-BE49-F238E27FC236}">
              <a16:creationId xmlns:a16="http://schemas.microsoft.com/office/drawing/2014/main" id="{00000000-0008-0000-0000-0000B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64" name="Picture 11" hidden="1">
          <a:extLst>
            <a:ext uri="{FF2B5EF4-FFF2-40B4-BE49-F238E27FC236}">
              <a16:creationId xmlns:a16="http://schemas.microsoft.com/office/drawing/2014/main" id="{00000000-0008-0000-0000-0000B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66" name="Picture 11" hidden="1">
          <a:extLst>
            <a:ext uri="{FF2B5EF4-FFF2-40B4-BE49-F238E27FC236}">
              <a16:creationId xmlns:a16="http://schemas.microsoft.com/office/drawing/2014/main" id="{00000000-0008-0000-0000-0000B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68" name="Picture 11" hidden="1">
          <a:extLst>
            <a:ext uri="{FF2B5EF4-FFF2-40B4-BE49-F238E27FC236}">
              <a16:creationId xmlns:a16="http://schemas.microsoft.com/office/drawing/2014/main" id="{00000000-0008-0000-0000-0000B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70" name="Picture 11" hidden="1">
          <a:extLst>
            <a:ext uri="{FF2B5EF4-FFF2-40B4-BE49-F238E27FC236}">
              <a16:creationId xmlns:a16="http://schemas.microsoft.com/office/drawing/2014/main" id="{00000000-0008-0000-0000-0000B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72" name="Picture 11" hidden="1">
          <a:extLst>
            <a:ext uri="{FF2B5EF4-FFF2-40B4-BE49-F238E27FC236}">
              <a16:creationId xmlns:a16="http://schemas.microsoft.com/office/drawing/2014/main" id="{00000000-0008-0000-0000-0000C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74" name="Picture 11" hidden="1">
          <a:extLst>
            <a:ext uri="{FF2B5EF4-FFF2-40B4-BE49-F238E27FC236}">
              <a16:creationId xmlns:a16="http://schemas.microsoft.com/office/drawing/2014/main" id="{00000000-0008-0000-0000-0000C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76" name="Picture 11" hidden="1">
          <a:extLst>
            <a:ext uri="{FF2B5EF4-FFF2-40B4-BE49-F238E27FC236}">
              <a16:creationId xmlns:a16="http://schemas.microsoft.com/office/drawing/2014/main" id="{00000000-0008-0000-0000-0000C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78" name="Picture 11" hidden="1">
          <a:extLst>
            <a:ext uri="{FF2B5EF4-FFF2-40B4-BE49-F238E27FC236}">
              <a16:creationId xmlns:a16="http://schemas.microsoft.com/office/drawing/2014/main" id="{00000000-0008-0000-0000-0000C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80" name="Picture 11" hidden="1">
          <a:extLst>
            <a:ext uri="{FF2B5EF4-FFF2-40B4-BE49-F238E27FC236}">
              <a16:creationId xmlns:a16="http://schemas.microsoft.com/office/drawing/2014/main" id="{00000000-0008-0000-0000-0000C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82" name="Picture 11" hidden="1">
          <a:extLst>
            <a:ext uri="{FF2B5EF4-FFF2-40B4-BE49-F238E27FC236}">
              <a16:creationId xmlns:a16="http://schemas.microsoft.com/office/drawing/2014/main" id="{00000000-0008-0000-0000-0000C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84" name="Picture 11" hidden="1">
          <a:extLst>
            <a:ext uri="{FF2B5EF4-FFF2-40B4-BE49-F238E27FC236}">
              <a16:creationId xmlns:a16="http://schemas.microsoft.com/office/drawing/2014/main" id="{00000000-0008-0000-0000-0000C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86" name="Picture 11" hidden="1">
          <a:extLst>
            <a:ext uri="{FF2B5EF4-FFF2-40B4-BE49-F238E27FC236}">
              <a16:creationId xmlns:a16="http://schemas.microsoft.com/office/drawing/2014/main" id="{00000000-0008-0000-0000-0000C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88" name="Picture 11" hidden="1">
          <a:extLst>
            <a:ext uri="{FF2B5EF4-FFF2-40B4-BE49-F238E27FC236}">
              <a16:creationId xmlns:a16="http://schemas.microsoft.com/office/drawing/2014/main" id="{00000000-0008-0000-0000-0000D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90" name="Picture 11" hidden="1">
          <a:extLst>
            <a:ext uri="{FF2B5EF4-FFF2-40B4-BE49-F238E27FC236}">
              <a16:creationId xmlns:a16="http://schemas.microsoft.com/office/drawing/2014/main" id="{00000000-0008-0000-0000-0000D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92" name="Picture 11" hidden="1">
          <a:extLst>
            <a:ext uri="{FF2B5EF4-FFF2-40B4-BE49-F238E27FC236}">
              <a16:creationId xmlns:a16="http://schemas.microsoft.com/office/drawing/2014/main" id="{00000000-0008-0000-0000-0000D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94" name="Picture 11" hidden="1">
          <a:extLst>
            <a:ext uri="{FF2B5EF4-FFF2-40B4-BE49-F238E27FC236}">
              <a16:creationId xmlns:a16="http://schemas.microsoft.com/office/drawing/2014/main" id="{00000000-0008-0000-0000-0000D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96" name="Picture 11" hidden="1">
          <a:extLst>
            <a:ext uri="{FF2B5EF4-FFF2-40B4-BE49-F238E27FC236}">
              <a16:creationId xmlns:a16="http://schemas.microsoft.com/office/drawing/2014/main" id="{00000000-0008-0000-0000-0000D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98" name="Picture 11" hidden="1">
          <a:extLst>
            <a:ext uri="{FF2B5EF4-FFF2-40B4-BE49-F238E27FC236}">
              <a16:creationId xmlns:a16="http://schemas.microsoft.com/office/drawing/2014/main" id="{00000000-0008-0000-0000-0000D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00" name="Picture 11" hidden="1">
          <a:extLst>
            <a:ext uri="{FF2B5EF4-FFF2-40B4-BE49-F238E27FC236}">
              <a16:creationId xmlns:a16="http://schemas.microsoft.com/office/drawing/2014/main" id="{00000000-0008-0000-0000-0000D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02" name="Picture 11" hidden="1">
          <a:extLst>
            <a:ext uri="{FF2B5EF4-FFF2-40B4-BE49-F238E27FC236}">
              <a16:creationId xmlns:a16="http://schemas.microsoft.com/office/drawing/2014/main" id="{00000000-0008-0000-0000-0000D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04" name="Picture 11" hidden="1">
          <a:extLst>
            <a:ext uri="{FF2B5EF4-FFF2-40B4-BE49-F238E27FC236}">
              <a16:creationId xmlns:a16="http://schemas.microsoft.com/office/drawing/2014/main" id="{00000000-0008-0000-0000-0000E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06" name="Picture 11" hidden="1">
          <a:extLst>
            <a:ext uri="{FF2B5EF4-FFF2-40B4-BE49-F238E27FC236}">
              <a16:creationId xmlns:a16="http://schemas.microsoft.com/office/drawing/2014/main" id="{00000000-0008-0000-0000-0000E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08" name="Picture 11" hidden="1">
          <a:extLst>
            <a:ext uri="{FF2B5EF4-FFF2-40B4-BE49-F238E27FC236}">
              <a16:creationId xmlns:a16="http://schemas.microsoft.com/office/drawing/2014/main" id="{00000000-0008-0000-0000-0000E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10" name="Picture 11" hidden="1">
          <a:extLst>
            <a:ext uri="{FF2B5EF4-FFF2-40B4-BE49-F238E27FC236}">
              <a16:creationId xmlns:a16="http://schemas.microsoft.com/office/drawing/2014/main" id="{00000000-0008-0000-0000-0000E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12" name="Picture 11" hidden="1">
          <a:extLst>
            <a:ext uri="{FF2B5EF4-FFF2-40B4-BE49-F238E27FC236}">
              <a16:creationId xmlns:a16="http://schemas.microsoft.com/office/drawing/2014/main" id="{00000000-0008-0000-0000-0000E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14" name="Picture 11" hidden="1">
          <a:extLst>
            <a:ext uri="{FF2B5EF4-FFF2-40B4-BE49-F238E27FC236}">
              <a16:creationId xmlns:a16="http://schemas.microsoft.com/office/drawing/2014/main" id="{00000000-0008-0000-0000-0000E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16" name="Picture 11" hidden="1">
          <a:extLst>
            <a:ext uri="{FF2B5EF4-FFF2-40B4-BE49-F238E27FC236}">
              <a16:creationId xmlns:a16="http://schemas.microsoft.com/office/drawing/2014/main" id="{00000000-0008-0000-0000-0000E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18" name="Picture 11" hidden="1">
          <a:extLst>
            <a:ext uri="{FF2B5EF4-FFF2-40B4-BE49-F238E27FC236}">
              <a16:creationId xmlns:a16="http://schemas.microsoft.com/office/drawing/2014/main" id="{00000000-0008-0000-0000-0000E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20" name="Picture 11" hidden="1">
          <a:extLst>
            <a:ext uri="{FF2B5EF4-FFF2-40B4-BE49-F238E27FC236}">
              <a16:creationId xmlns:a16="http://schemas.microsoft.com/office/drawing/2014/main" id="{00000000-0008-0000-0000-0000F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22" name="Picture 11" hidden="1">
          <a:extLst>
            <a:ext uri="{FF2B5EF4-FFF2-40B4-BE49-F238E27FC236}">
              <a16:creationId xmlns:a16="http://schemas.microsoft.com/office/drawing/2014/main" id="{00000000-0008-0000-0000-0000F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24" name="Picture 11" hidden="1">
          <a:extLst>
            <a:ext uri="{FF2B5EF4-FFF2-40B4-BE49-F238E27FC236}">
              <a16:creationId xmlns:a16="http://schemas.microsoft.com/office/drawing/2014/main" id="{00000000-0008-0000-0000-0000F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26" name="Picture 1525" hidden="1">
          <a:extLst>
            <a:ext uri="{FF2B5EF4-FFF2-40B4-BE49-F238E27FC236}">
              <a16:creationId xmlns:a16="http://schemas.microsoft.com/office/drawing/2014/main" id="{00000000-0008-0000-0000-0000F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28" name="Picture 11" hidden="1">
          <a:extLst>
            <a:ext uri="{FF2B5EF4-FFF2-40B4-BE49-F238E27FC236}">
              <a16:creationId xmlns:a16="http://schemas.microsoft.com/office/drawing/2014/main" id="{00000000-0008-0000-0000-0000F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30" name="Picture 11" hidden="1">
          <a:extLst>
            <a:ext uri="{FF2B5EF4-FFF2-40B4-BE49-F238E27FC236}">
              <a16:creationId xmlns:a16="http://schemas.microsoft.com/office/drawing/2014/main" id="{00000000-0008-0000-0000-0000F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32" name="Picture 11" hidden="1">
          <a:extLst>
            <a:ext uri="{FF2B5EF4-FFF2-40B4-BE49-F238E27FC236}">
              <a16:creationId xmlns:a16="http://schemas.microsoft.com/office/drawing/2014/main" id="{00000000-0008-0000-0000-0000F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34" name="Picture 11" hidden="1">
          <a:extLst>
            <a:ext uri="{FF2B5EF4-FFF2-40B4-BE49-F238E27FC236}">
              <a16:creationId xmlns:a16="http://schemas.microsoft.com/office/drawing/2014/main" id="{00000000-0008-0000-0000-0000F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36" name="Picture 11" hidden="1">
          <a:extLst>
            <a:ext uri="{FF2B5EF4-FFF2-40B4-BE49-F238E27FC236}">
              <a16:creationId xmlns:a16="http://schemas.microsoft.com/office/drawing/2014/main" id="{00000000-0008-0000-0000-00000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38" name="Picture 11" hidden="1">
          <a:extLst>
            <a:ext uri="{FF2B5EF4-FFF2-40B4-BE49-F238E27FC236}">
              <a16:creationId xmlns:a16="http://schemas.microsoft.com/office/drawing/2014/main" id="{00000000-0008-0000-0000-00000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40" name="Picture 11" hidden="1">
          <a:extLst>
            <a:ext uri="{FF2B5EF4-FFF2-40B4-BE49-F238E27FC236}">
              <a16:creationId xmlns:a16="http://schemas.microsoft.com/office/drawing/2014/main" id="{00000000-0008-0000-0000-00000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42" name="Picture 11" hidden="1">
          <a:extLst>
            <a:ext uri="{FF2B5EF4-FFF2-40B4-BE49-F238E27FC236}">
              <a16:creationId xmlns:a16="http://schemas.microsoft.com/office/drawing/2014/main" id="{00000000-0008-0000-0000-00000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44" name="Picture 11" hidden="1">
          <a:extLst>
            <a:ext uri="{FF2B5EF4-FFF2-40B4-BE49-F238E27FC236}">
              <a16:creationId xmlns:a16="http://schemas.microsoft.com/office/drawing/2014/main" id="{00000000-0008-0000-0000-00000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46" name="Picture 11" hidden="1">
          <a:extLst>
            <a:ext uri="{FF2B5EF4-FFF2-40B4-BE49-F238E27FC236}">
              <a16:creationId xmlns:a16="http://schemas.microsoft.com/office/drawing/2014/main" id="{00000000-0008-0000-0000-00000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48" name="Picture 11" hidden="1">
          <a:extLst>
            <a:ext uri="{FF2B5EF4-FFF2-40B4-BE49-F238E27FC236}">
              <a16:creationId xmlns:a16="http://schemas.microsoft.com/office/drawing/2014/main" id="{00000000-0008-0000-0000-00000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50" name="Picture 11" hidden="1">
          <a:extLst>
            <a:ext uri="{FF2B5EF4-FFF2-40B4-BE49-F238E27FC236}">
              <a16:creationId xmlns:a16="http://schemas.microsoft.com/office/drawing/2014/main" id="{00000000-0008-0000-0000-00000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52" name="Picture 11" hidden="1">
          <a:extLst>
            <a:ext uri="{FF2B5EF4-FFF2-40B4-BE49-F238E27FC236}">
              <a16:creationId xmlns:a16="http://schemas.microsoft.com/office/drawing/2014/main" id="{00000000-0008-0000-0000-00001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54" name="Picture 11" hidden="1">
          <a:extLst>
            <a:ext uri="{FF2B5EF4-FFF2-40B4-BE49-F238E27FC236}">
              <a16:creationId xmlns:a16="http://schemas.microsoft.com/office/drawing/2014/main" id="{00000000-0008-0000-0000-00001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56" name="Picture 11" hidden="1">
          <a:extLst>
            <a:ext uri="{FF2B5EF4-FFF2-40B4-BE49-F238E27FC236}">
              <a16:creationId xmlns:a16="http://schemas.microsoft.com/office/drawing/2014/main" id="{00000000-0008-0000-0000-00001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58" name="Picture 11" hidden="1">
          <a:extLst>
            <a:ext uri="{FF2B5EF4-FFF2-40B4-BE49-F238E27FC236}">
              <a16:creationId xmlns:a16="http://schemas.microsoft.com/office/drawing/2014/main" id="{00000000-0008-0000-0000-00001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60" name="Picture 11" hidden="1">
          <a:extLst>
            <a:ext uri="{FF2B5EF4-FFF2-40B4-BE49-F238E27FC236}">
              <a16:creationId xmlns:a16="http://schemas.microsoft.com/office/drawing/2014/main" id="{00000000-0008-0000-0000-00001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62" name="Picture 11" hidden="1">
          <a:extLst>
            <a:ext uri="{FF2B5EF4-FFF2-40B4-BE49-F238E27FC236}">
              <a16:creationId xmlns:a16="http://schemas.microsoft.com/office/drawing/2014/main" id="{00000000-0008-0000-0000-00001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64" name="Picture 11" hidden="1">
          <a:extLst>
            <a:ext uri="{FF2B5EF4-FFF2-40B4-BE49-F238E27FC236}">
              <a16:creationId xmlns:a16="http://schemas.microsoft.com/office/drawing/2014/main" id="{00000000-0008-0000-0000-00001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66" name="Picture 11" hidden="1">
          <a:extLst>
            <a:ext uri="{FF2B5EF4-FFF2-40B4-BE49-F238E27FC236}">
              <a16:creationId xmlns:a16="http://schemas.microsoft.com/office/drawing/2014/main" id="{00000000-0008-0000-0000-00001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68" name="Picture 11" hidden="1">
          <a:extLst>
            <a:ext uri="{FF2B5EF4-FFF2-40B4-BE49-F238E27FC236}">
              <a16:creationId xmlns:a16="http://schemas.microsoft.com/office/drawing/2014/main" id="{00000000-0008-0000-0000-00002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70" name="Picture 11" hidden="1">
          <a:extLst>
            <a:ext uri="{FF2B5EF4-FFF2-40B4-BE49-F238E27FC236}">
              <a16:creationId xmlns:a16="http://schemas.microsoft.com/office/drawing/2014/main" id="{00000000-0008-0000-0000-00002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72" name="Picture 11" hidden="1">
          <a:extLst>
            <a:ext uri="{FF2B5EF4-FFF2-40B4-BE49-F238E27FC236}">
              <a16:creationId xmlns:a16="http://schemas.microsoft.com/office/drawing/2014/main" id="{00000000-0008-0000-0000-00002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74" name="Picture 11" hidden="1">
          <a:extLst>
            <a:ext uri="{FF2B5EF4-FFF2-40B4-BE49-F238E27FC236}">
              <a16:creationId xmlns:a16="http://schemas.microsoft.com/office/drawing/2014/main" id="{00000000-0008-0000-0000-00002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76" name="Picture 11" hidden="1">
          <a:extLst>
            <a:ext uri="{FF2B5EF4-FFF2-40B4-BE49-F238E27FC236}">
              <a16:creationId xmlns:a16="http://schemas.microsoft.com/office/drawing/2014/main" id="{00000000-0008-0000-0000-00002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78" name="Picture 11" hidden="1">
          <a:extLst>
            <a:ext uri="{FF2B5EF4-FFF2-40B4-BE49-F238E27FC236}">
              <a16:creationId xmlns:a16="http://schemas.microsoft.com/office/drawing/2014/main" id="{00000000-0008-0000-0000-00002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80" name="Picture 11" hidden="1">
          <a:extLst>
            <a:ext uri="{FF2B5EF4-FFF2-40B4-BE49-F238E27FC236}">
              <a16:creationId xmlns:a16="http://schemas.microsoft.com/office/drawing/2014/main" id="{00000000-0008-0000-0000-00002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82" name="Picture 11" hidden="1">
          <a:extLst>
            <a:ext uri="{FF2B5EF4-FFF2-40B4-BE49-F238E27FC236}">
              <a16:creationId xmlns:a16="http://schemas.microsoft.com/office/drawing/2014/main" id="{00000000-0008-0000-0000-00002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84" name="Picture 11" hidden="1">
          <a:extLst>
            <a:ext uri="{FF2B5EF4-FFF2-40B4-BE49-F238E27FC236}">
              <a16:creationId xmlns:a16="http://schemas.microsoft.com/office/drawing/2014/main" id="{00000000-0008-0000-0000-00003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86" name="Picture 11" hidden="1">
          <a:extLst>
            <a:ext uri="{FF2B5EF4-FFF2-40B4-BE49-F238E27FC236}">
              <a16:creationId xmlns:a16="http://schemas.microsoft.com/office/drawing/2014/main" id="{00000000-0008-0000-0000-00003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88" name="Picture 11" hidden="1">
          <a:extLst>
            <a:ext uri="{FF2B5EF4-FFF2-40B4-BE49-F238E27FC236}">
              <a16:creationId xmlns:a16="http://schemas.microsoft.com/office/drawing/2014/main" id="{00000000-0008-0000-0000-00003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90" name="Picture 11" hidden="1">
          <a:extLst>
            <a:ext uri="{FF2B5EF4-FFF2-40B4-BE49-F238E27FC236}">
              <a16:creationId xmlns:a16="http://schemas.microsoft.com/office/drawing/2014/main" id="{00000000-0008-0000-0000-00003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92" name="Picture 11" hidden="1">
          <a:extLst>
            <a:ext uri="{FF2B5EF4-FFF2-40B4-BE49-F238E27FC236}">
              <a16:creationId xmlns:a16="http://schemas.microsoft.com/office/drawing/2014/main" id="{00000000-0008-0000-0000-00003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94" name="Picture 11" hidden="1">
          <a:extLst>
            <a:ext uri="{FF2B5EF4-FFF2-40B4-BE49-F238E27FC236}">
              <a16:creationId xmlns:a16="http://schemas.microsoft.com/office/drawing/2014/main" id="{00000000-0008-0000-0000-00003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96" name="Picture 11" hidden="1">
          <a:extLst>
            <a:ext uri="{FF2B5EF4-FFF2-40B4-BE49-F238E27FC236}">
              <a16:creationId xmlns:a16="http://schemas.microsoft.com/office/drawing/2014/main" id="{00000000-0008-0000-0000-00003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98" name="Picture 11" hidden="1">
          <a:extLst>
            <a:ext uri="{FF2B5EF4-FFF2-40B4-BE49-F238E27FC236}">
              <a16:creationId xmlns:a16="http://schemas.microsoft.com/office/drawing/2014/main" id="{00000000-0008-0000-0000-00003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00" name="Picture 11" hidden="1">
          <a:extLst>
            <a:ext uri="{FF2B5EF4-FFF2-40B4-BE49-F238E27FC236}">
              <a16:creationId xmlns:a16="http://schemas.microsoft.com/office/drawing/2014/main" id="{00000000-0008-0000-0000-00004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02" name="Picture 11" hidden="1">
          <a:extLst>
            <a:ext uri="{FF2B5EF4-FFF2-40B4-BE49-F238E27FC236}">
              <a16:creationId xmlns:a16="http://schemas.microsoft.com/office/drawing/2014/main" id="{00000000-0008-0000-0000-00004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04" name="Picture 11" hidden="1">
          <a:extLst>
            <a:ext uri="{FF2B5EF4-FFF2-40B4-BE49-F238E27FC236}">
              <a16:creationId xmlns:a16="http://schemas.microsoft.com/office/drawing/2014/main" id="{00000000-0008-0000-0000-00004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06" name="Picture 11" hidden="1">
          <a:extLst>
            <a:ext uri="{FF2B5EF4-FFF2-40B4-BE49-F238E27FC236}">
              <a16:creationId xmlns:a16="http://schemas.microsoft.com/office/drawing/2014/main" id="{00000000-0008-0000-0000-00004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08" name="Picture 11" hidden="1">
          <a:extLst>
            <a:ext uri="{FF2B5EF4-FFF2-40B4-BE49-F238E27FC236}">
              <a16:creationId xmlns:a16="http://schemas.microsoft.com/office/drawing/2014/main" id="{00000000-0008-0000-0000-00004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10" name="Picture 11" hidden="1">
          <a:extLst>
            <a:ext uri="{FF2B5EF4-FFF2-40B4-BE49-F238E27FC236}">
              <a16:creationId xmlns:a16="http://schemas.microsoft.com/office/drawing/2014/main" id="{00000000-0008-0000-0000-00004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12" name="Picture 11" hidden="1">
          <a:extLst>
            <a:ext uri="{FF2B5EF4-FFF2-40B4-BE49-F238E27FC236}">
              <a16:creationId xmlns:a16="http://schemas.microsoft.com/office/drawing/2014/main" id="{00000000-0008-0000-0000-00004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14" name="Picture 11" hidden="1">
          <a:extLst>
            <a:ext uri="{FF2B5EF4-FFF2-40B4-BE49-F238E27FC236}">
              <a16:creationId xmlns:a16="http://schemas.microsoft.com/office/drawing/2014/main" id="{00000000-0008-0000-0000-00004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16" name="Picture 11" hidden="1">
          <a:extLst>
            <a:ext uri="{FF2B5EF4-FFF2-40B4-BE49-F238E27FC236}">
              <a16:creationId xmlns:a16="http://schemas.microsoft.com/office/drawing/2014/main" id="{00000000-0008-0000-0000-00005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18" name="Picture 11" hidden="1">
          <a:extLst>
            <a:ext uri="{FF2B5EF4-FFF2-40B4-BE49-F238E27FC236}">
              <a16:creationId xmlns:a16="http://schemas.microsoft.com/office/drawing/2014/main" id="{00000000-0008-0000-0000-00005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20" name="Picture 11" hidden="1">
          <a:extLst>
            <a:ext uri="{FF2B5EF4-FFF2-40B4-BE49-F238E27FC236}">
              <a16:creationId xmlns:a16="http://schemas.microsoft.com/office/drawing/2014/main" id="{00000000-0008-0000-0000-00005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22" name="Picture 11" hidden="1">
          <a:extLst>
            <a:ext uri="{FF2B5EF4-FFF2-40B4-BE49-F238E27FC236}">
              <a16:creationId xmlns:a16="http://schemas.microsoft.com/office/drawing/2014/main" id="{00000000-0008-0000-0000-00005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24" name="Picture 11" hidden="1">
          <a:extLst>
            <a:ext uri="{FF2B5EF4-FFF2-40B4-BE49-F238E27FC236}">
              <a16:creationId xmlns:a16="http://schemas.microsoft.com/office/drawing/2014/main" id="{00000000-0008-0000-0000-00005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26" name="Picture 11" hidden="1">
          <a:extLst>
            <a:ext uri="{FF2B5EF4-FFF2-40B4-BE49-F238E27FC236}">
              <a16:creationId xmlns:a16="http://schemas.microsoft.com/office/drawing/2014/main" id="{00000000-0008-0000-0000-00005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28" name="Picture 11" hidden="1">
          <a:extLst>
            <a:ext uri="{FF2B5EF4-FFF2-40B4-BE49-F238E27FC236}">
              <a16:creationId xmlns:a16="http://schemas.microsoft.com/office/drawing/2014/main" id="{00000000-0008-0000-0000-00005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30" name="Picture 11" hidden="1">
          <a:extLst>
            <a:ext uri="{FF2B5EF4-FFF2-40B4-BE49-F238E27FC236}">
              <a16:creationId xmlns:a16="http://schemas.microsoft.com/office/drawing/2014/main" id="{00000000-0008-0000-0000-00005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32" name="Picture 11" hidden="1">
          <a:extLst>
            <a:ext uri="{FF2B5EF4-FFF2-40B4-BE49-F238E27FC236}">
              <a16:creationId xmlns:a16="http://schemas.microsoft.com/office/drawing/2014/main" id="{00000000-0008-0000-0000-00006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34" name="Picture 1633" hidden="1">
          <a:extLst>
            <a:ext uri="{FF2B5EF4-FFF2-40B4-BE49-F238E27FC236}">
              <a16:creationId xmlns:a16="http://schemas.microsoft.com/office/drawing/2014/main" id="{00000000-0008-0000-0000-00006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36" name="Picture 11" hidden="1">
          <a:extLst>
            <a:ext uri="{FF2B5EF4-FFF2-40B4-BE49-F238E27FC236}">
              <a16:creationId xmlns:a16="http://schemas.microsoft.com/office/drawing/2014/main" id="{00000000-0008-0000-0000-00006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38" name="Picture 11" hidden="1">
          <a:extLst>
            <a:ext uri="{FF2B5EF4-FFF2-40B4-BE49-F238E27FC236}">
              <a16:creationId xmlns:a16="http://schemas.microsoft.com/office/drawing/2014/main" id="{00000000-0008-0000-0000-00006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40" name="Picture 11" hidden="1">
          <a:extLst>
            <a:ext uri="{FF2B5EF4-FFF2-40B4-BE49-F238E27FC236}">
              <a16:creationId xmlns:a16="http://schemas.microsoft.com/office/drawing/2014/main" id="{00000000-0008-0000-0000-00006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42" name="Picture 11" hidden="1">
          <a:extLst>
            <a:ext uri="{FF2B5EF4-FFF2-40B4-BE49-F238E27FC236}">
              <a16:creationId xmlns:a16="http://schemas.microsoft.com/office/drawing/2014/main" id="{00000000-0008-0000-0000-00006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44" name="Picture 11" hidden="1">
          <a:extLst>
            <a:ext uri="{FF2B5EF4-FFF2-40B4-BE49-F238E27FC236}">
              <a16:creationId xmlns:a16="http://schemas.microsoft.com/office/drawing/2014/main" id="{00000000-0008-0000-0000-00006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46" name="Picture 11" hidden="1">
          <a:extLst>
            <a:ext uri="{FF2B5EF4-FFF2-40B4-BE49-F238E27FC236}">
              <a16:creationId xmlns:a16="http://schemas.microsoft.com/office/drawing/2014/main" id="{00000000-0008-0000-0000-00006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48" name="Picture 11" hidden="1">
          <a:extLst>
            <a:ext uri="{FF2B5EF4-FFF2-40B4-BE49-F238E27FC236}">
              <a16:creationId xmlns:a16="http://schemas.microsoft.com/office/drawing/2014/main" id="{00000000-0008-0000-0000-00007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50" name="Picture 11" hidden="1">
          <a:extLst>
            <a:ext uri="{FF2B5EF4-FFF2-40B4-BE49-F238E27FC236}">
              <a16:creationId xmlns:a16="http://schemas.microsoft.com/office/drawing/2014/main" id="{00000000-0008-0000-0000-00007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52" name="Picture 11" hidden="1">
          <a:extLst>
            <a:ext uri="{FF2B5EF4-FFF2-40B4-BE49-F238E27FC236}">
              <a16:creationId xmlns:a16="http://schemas.microsoft.com/office/drawing/2014/main" id="{00000000-0008-0000-0000-00007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54" name="Picture 11" hidden="1">
          <a:extLst>
            <a:ext uri="{FF2B5EF4-FFF2-40B4-BE49-F238E27FC236}">
              <a16:creationId xmlns:a16="http://schemas.microsoft.com/office/drawing/2014/main" id="{00000000-0008-0000-0000-00007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56" name="Picture 11" hidden="1">
          <a:extLst>
            <a:ext uri="{FF2B5EF4-FFF2-40B4-BE49-F238E27FC236}">
              <a16:creationId xmlns:a16="http://schemas.microsoft.com/office/drawing/2014/main" id="{00000000-0008-0000-0000-00007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58" name="Picture 11" hidden="1">
          <a:extLst>
            <a:ext uri="{FF2B5EF4-FFF2-40B4-BE49-F238E27FC236}">
              <a16:creationId xmlns:a16="http://schemas.microsoft.com/office/drawing/2014/main" id="{00000000-0008-0000-0000-00007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60" name="Picture 11" hidden="1">
          <a:extLst>
            <a:ext uri="{FF2B5EF4-FFF2-40B4-BE49-F238E27FC236}">
              <a16:creationId xmlns:a16="http://schemas.microsoft.com/office/drawing/2014/main" id="{00000000-0008-0000-0000-00007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62" name="Picture 11" hidden="1">
          <a:extLst>
            <a:ext uri="{FF2B5EF4-FFF2-40B4-BE49-F238E27FC236}">
              <a16:creationId xmlns:a16="http://schemas.microsoft.com/office/drawing/2014/main" id="{00000000-0008-0000-0000-00007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64" name="Picture 11" hidden="1">
          <a:extLst>
            <a:ext uri="{FF2B5EF4-FFF2-40B4-BE49-F238E27FC236}">
              <a16:creationId xmlns:a16="http://schemas.microsoft.com/office/drawing/2014/main" id="{00000000-0008-0000-0000-00008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66" name="Picture 11" hidden="1">
          <a:extLst>
            <a:ext uri="{FF2B5EF4-FFF2-40B4-BE49-F238E27FC236}">
              <a16:creationId xmlns:a16="http://schemas.microsoft.com/office/drawing/2014/main" id="{00000000-0008-0000-0000-00008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68" name="Picture 11" hidden="1">
          <a:extLst>
            <a:ext uri="{FF2B5EF4-FFF2-40B4-BE49-F238E27FC236}">
              <a16:creationId xmlns:a16="http://schemas.microsoft.com/office/drawing/2014/main" id="{00000000-0008-0000-0000-00008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70" name="Picture 11" hidden="1">
          <a:extLst>
            <a:ext uri="{FF2B5EF4-FFF2-40B4-BE49-F238E27FC236}">
              <a16:creationId xmlns:a16="http://schemas.microsoft.com/office/drawing/2014/main" id="{00000000-0008-0000-0000-00008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72" name="Picture 11" hidden="1">
          <a:extLst>
            <a:ext uri="{FF2B5EF4-FFF2-40B4-BE49-F238E27FC236}">
              <a16:creationId xmlns:a16="http://schemas.microsoft.com/office/drawing/2014/main" id="{00000000-0008-0000-0000-00008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74" name="Picture 11" hidden="1">
          <a:extLst>
            <a:ext uri="{FF2B5EF4-FFF2-40B4-BE49-F238E27FC236}">
              <a16:creationId xmlns:a16="http://schemas.microsoft.com/office/drawing/2014/main" id="{00000000-0008-0000-0000-00008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76" name="Picture 11" hidden="1">
          <a:extLst>
            <a:ext uri="{FF2B5EF4-FFF2-40B4-BE49-F238E27FC236}">
              <a16:creationId xmlns:a16="http://schemas.microsoft.com/office/drawing/2014/main" id="{00000000-0008-0000-0000-00008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78" name="Picture 11" hidden="1">
          <a:extLst>
            <a:ext uri="{FF2B5EF4-FFF2-40B4-BE49-F238E27FC236}">
              <a16:creationId xmlns:a16="http://schemas.microsoft.com/office/drawing/2014/main" id="{00000000-0008-0000-0000-00008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80" name="Picture 11" hidden="1">
          <a:extLst>
            <a:ext uri="{FF2B5EF4-FFF2-40B4-BE49-F238E27FC236}">
              <a16:creationId xmlns:a16="http://schemas.microsoft.com/office/drawing/2014/main" id="{00000000-0008-0000-0000-00009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82" name="Picture 11" hidden="1">
          <a:extLst>
            <a:ext uri="{FF2B5EF4-FFF2-40B4-BE49-F238E27FC236}">
              <a16:creationId xmlns:a16="http://schemas.microsoft.com/office/drawing/2014/main" id="{00000000-0008-0000-0000-00009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84" name="Picture 11" hidden="1">
          <a:extLst>
            <a:ext uri="{FF2B5EF4-FFF2-40B4-BE49-F238E27FC236}">
              <a16:creationId xmlns:a16="http://schemas.microsoft.com/office/drawing/2014/main" id="{00000000-0008-0000-0000-00009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86" name="Picture 11" hidden="1">
          <a:extLst>
            <a:ext uri="{FF2B5EF4-FFF2-40B4-BE49-F238E27FC236}">
              <a16:creationId xmlns:a16="http://schemas.microsoft.com/office/drawing/2014/main" id="{00000000-0008-0000-0000-00009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88" name="Picture 11" hidden="1">
          <a:extLst>
            <a:ext uri="{FF2B5EF4-FFF2-40B4-BE49-F238E27FC236}">
              <a16:creationId xmlns:a16="http://schemas.microsoft.com/office/drawing/2014/main" id="{00000000-0008-0000-0000-00009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90" name="Picture 11" hidden="1">
          <a:extLst>
            <a:ext uri="{FF2B5EF4-FFF2-40B4-BE49-F238E27FC236}">
              <a16:creationId xmlns:a16="http://schemas.microsoft.com/office/drawing/2014/main" id="{00000000-0008-0000-0000-00009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92" name="Picture 11" hidden="1">
          <a:extLst>
            <a:ext uri="{FF2B5EF4-FFF2-40B4-BE49-F238E27FC236}">
              <a16:creationId xmlns:a16="http://schemas.microsoft.com/office/drawing/2014/main" id="{00000000-0008-0000-0000-00009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94" name="Picture 11" hidden="1">
          <a:extLst>
            <a:ext uri="{FF2B5EF4-FFF2-40B4-BE49-F238E27FC236}">
              <a16:creationId xmlns:a16="http://schemas.microsoft.com/office/drawing/2014/main" id="{00000000-0008-0000-0000-00009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96" name="Picture 11" hidden="1">
          <a:extLst>
            <a:ext uri="{FF2B5EF4-FFF2-40B4-BE49-F238E27FC236}">
              <a16:creationId xmlns:a16="http://schemas.microsoft.com/office/drawing/2014/main" id="{00000000-0008-0000-0000-0000A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98" name="Picture 11" hidden="1">
          <a:extLst>
            <a:ext uri="{FF2B5EF4-FFF2-40B4-BE49-F238E27FC236}">
              <a16:creationId xmlns:a16="http://schemas.microsoft.com/office/drawing/2014/main" id="{00000000-0008-0000-0000-0000A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00" name="Picture 11" hidden="1">
          <a:extLst>
            <a:ext uri="{FF2B5EF4-FFF2-40B4-BE49-F238E27FC236}">
              <a16:creationId xmlns:a16="http://schemas.microsoft.com/office/drawing/2014/main" id="{00000000-0008-0000-0000-0000A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02" name="Picture 11" hidden="1">
          <a:extLst>
            <a:ext uri="{FF2B5EF4-FFF2-40B4-BE49-F238E27FC236}">
              <a16:creationId xmlns:a16="http://schemas.microsoft.com/office/drawing/2014/main" id="{00000000-0008-0000-0000-0000A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04" name="Picture 11" hidden="1">
          <a:extLst>
            <a:ext uri="{FF2B5EF4-FFF2-40B4-BE49-F238E27FC236}">
              <a16:creationId xmlns:a16="http://schemas.microsoft.com/office/drawing/2014/main" id="{00000000-0008-0000-0000-0000A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06" name="Picture 11" hidden="1">
          <a:extLst>
            <a:ext uri="{FF2B5EF4-FFF2-40B4-BE49-F238E27FC236}">
              <a16:creationId xmlns:a16="http://schemas.microsoft.com/office/drawing/2014/main" id="{00000000-0008-0000-0000-0000A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08" name="Picture 11" hidden="1">
          <a:extLst>
            <a:ext uri="{FF2B5EF4-FFF2-40B4-BE49-F238E27FC236}">
              <a16:creationId xmlns:a16="http://schemas.microsoft.com/office/drawing/2014/main" id="{00000000-0008-0000-0000-0000A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10" name="Picture 11" hidden="1">
          <a:extLst>
            <a:ext uri="{FF2B5EF4-FFF2-40B4-BE49-F238E27FC236}">
              <a16:creationId xmlns:a16="http://schemas.microsoft.com/office/drawing/2014/main" id="{00000000-0008-0000-0000-0000A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12" name="Picture 11" hidden="1">
          <a:extLst>
            <a:ext uri="{FF2B5EF4-FFF2-40B4-BE49-F238E27FC236}">
              <a16:creationId xmlns:a16="http://schemas.microsoft.com/office/drawing/2014/main" id="{00000000-0008-0000-0000-0000B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14" name="Picture 11" hidden="1">
          <a:extLst>
            <a:ext uri="{FF2B5EF4-FFF2-40B4-BE49-F238E27FC236}">
              <a16:creationId xmlns:a16="http://schemas.microsoft.com/office/drawing/2014/main" id="{00000000-0008-0000-0000-0000B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16" name="Picture 11" hidden="1">
          <a:extLst>
            <a:ext uri="{FF2B5EF4-FFF2-40B4-BE49-F238E27FC236}">
              <a16:creationId xmlns:a16="http://schemas.microsoft.com/office/drawing/2014/main" id="{00000000-0008-0000-0000-0000B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18" name="Picture 11" hidden="1">
          <a:extLst>
            <a:ext uri="{FF2B5EF4-FFF2-40B4-BE49-F238E27FC236}">
              <a16:creationId xmlns:a16="http://schemas.microsoft.com/office/drawing/2014/main" id="{00000000-0008-0000-0000-0000B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20" name="Picture 11" hidden="1">
          <a:extLst>
            <a:ext uri="{FF2B5EF4-FFF2-40B4-BE49-F238E27FC236}">
              <a16:creationId xmlns:a16="http://schemas.microsoft.com/office/drawing/2014/main" id="{00000000-0008-0000-0000-0000B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22" name="Picture 11" hidden="1">
          <a:extLst>
            <a:ext uri="{FF2B5EF4-FFF2-40B4-BE49-F238E27FC236}">
              <a16:creationId xmlns:a16="http://schemas.microsoft.com/office/drawing/2014/main" id="{00000000-0008-0000-0000-0000B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24" name="Picture 11" hidden="1">
          <a:extLst>
            <a:ext uri="{FF2B5EF4-FFF2-40B4-BE49-F238E27FC236}">
              <a16:creationId xmlns:a16="http://schemas.microsoft.com/office/drawing/2014/main" id="{00000000-0008-0000-0000-0000B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26" name="Picture 11" hidden="1">
          <a:extLst>
            <a:ext uri="{FF2B5EF4-FFF2-40B4-BE49-F238E27FC236}">
              <a16:creationId xmlns:a16="http://schemas.microsoft.com/office/drawing/2014/main" id="{00000000-0008-0000-0000-0000B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28" name="Picture 11" hidden="1">
          <a:extLst>
            <a:ext uri="{FF2B5EF4-FFF2-40B4-BE49-F238E27FC236}">
              <a16:creationId xmlns:a16="http://schemas.microsoft.com/office/drawing/2014/main" id="{00000000-0008-0000-0000-0000C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30" name="Picture 11" hidden="1">
          <a:extLst>
            <a:ext uri="{FF2B5EF4-FFF2-40B4-BE49-F238E27FC236}">
              <a16:creationId xmlns:a16="http://schemas.microsoft.com/office/drawing/2014/main" id="{00000000-0008-0000-0000-0000C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32" name="Picture 11" hidden="1">
          <a:extLst>
            <a:ext uri="{FF2B5EF4-FFF2-40B4-BE49-F238E27FC236}">
              <a16:creationId xmlns:a16="http://schemas.microsoft.com/office/drawing/2014/main" id="{00000000-0008-0000-0000-0000C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34" name="Picture 11" hidden="1">
          <a:extLst>
            <a:ext uri="{FF2B5EF4-FFF2-40B4-BE49-F238E27FC236}">
              <a16:creationId xmlns:a16="http://schemas.microsoft.com/office/drawing/2014/main" id="{00000000-0008-0000-0000-0000C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36" name="Picture 11" hidden="1">
          <a:extLst>
            <a:ext uri="{FF2B5EF4-FFF2-40B4-BE49-F238E27FC236}">
              <a16:creationId xmlns:a16="http://schemas.microsoft.com/office/drawing/2014/main" id="{00000000-0008-0000-0000-0000C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38" name="Picture 11" hidden="1">
          <a:extLst>
            <a:ext uri="{FF2B5EF4-FFF2-40B4-BE49-F238E27FC236}">
              <a16:creationId xmlns:a16="http://schemas.microsoft.com/office/drawing/2014/main" id="{00000000-0008-0000-0000-0000C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40" name="Picture 11" hidden="1">
          <a:extLst>
            <a:ext uri="{FF2B5EF4-FFF2-40B4-BE49-F238E27FC236}">
              <a16:creationId xmlns:a16="http://schemas.microsoft.com/office/drawing/2014/main" id="{00000000-0008-0000-0000-0000C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42" name="Picture 1741" hidden="1">
          <a:extLst>
            <a:ext uri="{FF2B5EF4-FFF2-40B4-BE49-F238E27FC236}">
              <a16:creationId xmlns:a16="http://schemas.microsoft.com/office/drawing/2014/main" id="{00000000-0008-0000-0000-0000C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44" name="Picture 11" hidden="1">
          <a:extLst>
            <a:ext uri="{FF2B5EF4-FFF2-40B4-BE49-F238E27FC236}">
              <a16:creationId xmlns:a16="http://schemas.microsoft.com/office/drawing/2014/main" id="{00000000-0008-0000-0000-0000D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46" name="Picture 11" hidden="1">
          <a:extLst>
            <a:ext uri="{FF2B5EF4-FFF2-40B4-BE49-F238E27FC236}">
              <a16:creationId xmlns:a16="http://schemas.microsoft.com/office/drawing/2014/main" id="{00000000-0008-0000-0000-0000D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48" name="Picture 11" hidden="1">
          <a:extLst>
            <a:ext uri="{FF2B5EF4-FFF2-40B4-BE49-F238E27FC236}">
              <a16:creationId xmlns:a16="http://schemas.microsoft.com/office/drawing/2014/main" id="{00000000-0008-0000-0000-0000D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50" name="Picture 11" hidden="1">
          <a:extLst>
            <a:ext uri="{FF2B5EF4-FFF2-40B4-BE49-F238E27FC236}">
              <a16:creationId xmlns:a16="http://schemas.microsoft.com/office/drawing/2014/main" id="{00000000-0008-0000-0000-0000D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52" name="Picture 11" hidden="1">
          <a:extLst>
            <a:ext uri="{FF2B5EF4-FFF2-40B4-BE49-F238E27FC236}">
              <a16:creationId xmlns:a16="http://schemas.microsoft.com/office/drawing/2014/main" id="{00000000-0008-0000-0000-0000D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54" name="Picture 11" hidden="1">
          <a:extLst>
            <a:ext uri="{FF2B5EF4-FFF2-40B4-BE49-F238E27FC236}">
              <a16:creationId xmlns:a16="http://schemas.microsoft.com/office/drawing/2014/main" id="{00000000-0008-0000-0000-0000D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56" name="Picture 11" hidden="1">
          <a:extLst>
            <a:ext uri="{FF2B5EF4-FFF2-40B4-BE49-F238E27FC236}">
              <a16:creationId xmlns:a16="http://schemas.microsoft.com/office/drawing/2014/main" id="{00000000-0008-0000-0000-0000D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58" name="Picture 11" hidden="1">
          <a:extLst>
            <a:ext uri="{FF2B5EF4-FFF2-40B4-BE49-F238E27FC236}">
              <a16:creationId xmlns:a16="http://schemas.microsoft.com/office/drawing/2014/main" id="{00000000-0008-0000-0000-0000D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60" name="Picture 11" hidden="1">
          <a:extLst>
            <a:ext uri="{FF2B5EF4-FFF2-40B4-BE49-F238E27FC236}">
              <a16:creationId xmlns:a16="http://schemas.microsoft.com/office/drawing/2014/main" id="{00000000-0008-0000-0000-0000E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62" name="Picture 11" hidden="1">
          <a:extLst>
            <a:ext uri="{FF2B5EF4-FFF2-40B4-BE49-F238E27FC236}">
              <a16:creationId xmlns:a16="http://schemas.microsoft.com/office/drawing/2014/main" id="{00000000-0008-0000-0000-0000E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64" name="Picture 11" hidden="1">
          <a:extLst>
            <a:ext uri="{FF2B5EF4-FFF2-40B4-BE49-F238E27FC236}">
              <a16:creationId xmlns:a16="http://schemas.microsoft.com/office/drawing/2014/main" id="{00000000-0008-0000-0000-0000E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66" name="Picture 11" hidden="1">
          <a:extLst>
            <a:ext uri="{FF2B5EF4-FFF2-40B4-BE49-F238E27FC236}">
              <a16:creationId xmlns:a16="http://schemas.microsoft.com/office/drawing/2014/main" id="{00000000-0008-0000-0000-0000E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68" name="Picture 11" hidden="1">
          <a:extLst>
            <a:ext uri="{FF2B5EF4-FFF2-40B4-BE49-F238E27FC236}">
              <a16:creationId xmlns:a16="http://schemas.microsoft.com/office/drawing/2014/main" id="{00000000-0008-0000-0000-0000E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70" name="Picture 11" hidden="1">
          <a:extLst>
            <a:ext uri="{FF2B5EF4-FFF2-40B4-BE49-F238E27FC236}">
              <a16:creationId xmlns:a16="http://schemas.microsoft.com/office/drawing/2014/main" id="{00000000-0008-0000-0000-0000E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72" name="Picture 11" hidden="1">
          <a:extLst>
            <a:ext uri="{FF2B5EF4-FFF2-40B4-BE49-F238E27FC236}">
              <a16:creationId xmlns:a16="http://schemas.microsoft.com/office/drawing/2014/main" id="{00000000-0008-0000-0000-0000E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74" name="Picture 11" hidden="1">
          <a:extLst>
            <a:ext uri="{FF2B5EF4-FFF2-40B4-BE49-F238E27FC236}">
              <a16:creationId xmlns:a16="http://schemas.microsoft.com/office/drawing/2014/main" id="{00000000-0008-0000-0000-0000E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76" name="Picture 11" hidden="1">
          <a:extLst>
            <a:ext uri="{FF2B5EF4-FFF2-40B4-BE49-F238E27FC236}">
              <a16:creationId xmlns:a16="http://schemas.microsoft.com/office/drawing/2014/main" id="{00000000-0008-0000-0000-0000F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78" name="Picture 11" hidden="1">
          <a:extLst>
            <a:ext uri="{FF2B5EF4-FFF2-40B4-BE49-F238E27FC236}">
              <a16:creationId xmlns:a16="http://schemas.microsoft.com/office/drawing/2014/main" id="{00000000-0008-0000-0000-0000F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80" name="Picture 11" hidden="1">
          <a:extLst>
            <a:ext uri="{FF2B5EF4-FFF2-40B4-BE49-F238E27FC236}">
              <a16:creationId xmlns:a16="http://schemas.microsoft.com/office/drawing/2014/main" id="{00000000-0008-0000-0000-0000F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82" name="Picture 11" hidden="1">
          <a:extLst>
            <a:ext uri="{FF2B5EF4-FFF2-40B4-BE49-F238E27FC236}">
              <a16:creationId xmlns:a16="http://schemas.microsoft.com/office/drawing/2014/main" id="{00000000-0008-0000-0000-0000F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84" name="Picture 11" hidden="1">
          <a:extLst>
            <a:ext uri="{FF2B5EF4-FFF2-40B4-BE49-F238E27FC236}">
              <a16:creationId xmlns:a16="http://schemas.microsoft.com/office/drawing/2014/main" id="{00000000-0008-0000-0000-0000F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86" name="Picture 11" hidden="1">
          <a:extLst>
            <a:ext uri="{FF2B5EF4-FFF2-40B4-BE49-F238E27FC236}">
              <a16:creationId xmlns:a16="http://schemas.microsoft.com/office/drawing/2014/main" id="{00000000-0008-0000-0000-0000F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88" name="Picture 11" hidden="1">
          <a:extLst>
            <a:ext uri="{FF2B5EF4-FFF2-40B4-BE49-F238E27FC236}">
              <a16:creationId xmlns:a16="http://schemas.microsoft.com/office/drawing/2014/main" id="{00000000-0008-0000-0000-0000F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90" name="Picture 11" hidden="1">
          <a:extLst>
            <a:ext uri="{FF2B5EF4-FFF2-40B4-BE49-F238E27FC236}">
              <a16:creationId xmlns:a16="http://schemas.microsoft.com/office/drawing/2014/main" id="{00000000-0008-0000-0000-0000F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92" name="Picture 11" hidden="1">
          <a:extLst>
            <a:ext uri="{FF2B5EF4-FFF2-40B4-BE49-F238E27FC236}">
              <a16:creationId xmlns:a16="http://schemas.microsoft.com/office/drawing/2014/main" id="{00000000-0008-0000-0000-00000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94" name="Picture 11" hidden="1">
          <a:extLst>
            <a:ext uri="{FF2B5EF4-FFF2-40B4-BE49-F238E27FC236}">
              <a16:creationId xmlns:a16="http://schemas.microsoft.com/office/drawing/2014/main" id="{00000000-0008-0000-0000-00000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96" name="Picture 11" hidden="1">
          <a:extLst>
            <a:ext uri="{FF2B5EF4-FFF2-40B4-BE49-F238E27FC236}">
              <a16:creationId xmlns:a16="http://schemas.microsoft.com/office/drawing/2014/main" id="{00000000-0008-0000-0000-00000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98" name="Picture 11" hidden="1">
          <a:extLst>
            <a:ext uri="{FF2B5EF4-FFF2-40B4-BE49-F238E27FC236}">
              <a16:creationId xmlns:a16="http://schemas.microsoft.com/office/drawing/2014/main" id="{00000000-0008-0000-0000-00000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00" name="Picture 11" hidden="1">
          <a:extLst>
            <a:ext uri="{FF2B5EF4-FFF2-40B4-BE49-F238E27FC236}">
              <a16:creationId xmlns:a16="http://schemas.microsoft.com/office/drawing/2014/main" id="{00000000-0008-0000-0000-00000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02" name="Picture 11" hidden="1">
          <a:extLst>
            <a:ext uri="{FF2B5EF4-FFF2-40B4-BE49-F238E27FC236}">
              <a16:creationId xmlns:a16="http://schemas.microsoft.com/office/drawing/2014/main" id="{00000000-0008-0000-0000-00000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04" name="Picture 11" hidden="1">
          <a:extLst>
            <a:ext uri="{FF2B5EF4-FFF2-40B4-BE49-F238E27FC236}">
              <a16:creationId xmlns:a16="http://schemas.microsoft.com/office/drawing/2014/main" id="{00000000-0008-0000-0000-00000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06" name="Picture 11" hidden="1">
          <a:extLst>
            <a:ext uri="{FF2B5EF4-FFF2-40B4-BE49-F238E27FC236}">
              <a16:creationId xmlns:a16="http://schemas.microsoft.com/office/drawing/2014/main" id="{00000000-0008-0000-0000-00000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08" name="Picture 11" hidden="1">
          <a:extLst>
            <a:ext uri="{FF2B5EF4-FFF2-40B4-BE49-F238E27FC236}">
              <a16:creationId xmlns:a16="http://schemas.microsoft.com/office/drawing/2014/main" id="{00000000-0008-0000-0000-00001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10" name="Picture 11" hidden="1">
          <a:extLst>
            <a:ext uri="{FF2B5EF4-FFF2-40B4-BE49-F238E27FC236}">
              <a16:creationId xmlns:a16="http://schemas.microsoft.com/office/drawing/2014/main" id="{00000000-0008-0000-0000-00001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12" name="Picture 11" hidden="1">
          <a:extLst>
            <a:ext uri="{FF2B5EF4-FFF2-40B4-BE49-F238E27FC236}">
              <a16:creationId xmlns:a16="http://schemas.microsoft.com/office/drawing/2014/main" id="{00000000-0008-0000-0000-00001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14" name="Picture 11" hidden="1">
          <a:extLst>
            <a:ext uri="{FF2B5EF4-FFF2-40B4-BE49-F238E27FC236}">
              <a16:creationId xmlns:a16="http://schemas.microsoft.com/office/drawing/2014/main" id="{00000000-0008-0000-0000-00001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16" name="Picture 11" hidden="1">
          <a:extLst>
            <a:ext uri="{FF2B5EF4-FFF2-40B4-BE49-F238E27FC236}">
              <a16:creationId xmlns:a16="http://schemas.microsoft.com/office/drawing/2014/main" id="{00000000-0008-0000-0000-00001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18" name="Picture 11" hidden="1">
          <a:extLst>
            <a:ext uri="{FF2B5EF4-FFF2-40B4-BE49-F238E27FC236}">
              <a16:creationId xmlns:a16="http://schemas.microsoft.com/office/drawing/2014/main" id="{00000000-0008-0000-0000-00001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20" name="Picture 11" hidden="1">
          <a:extLst>
            <a:ext uri="{FF2B5EF4-FFF2-40B4-BE49-F238E27FC236}">
              <a16:creationId xmlns:a16="http://schemas.microsoft.com/office/drawing/2014/main" id="{00000000-0008-0000-0000-00001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22" name="Picture 11" hidden="1">
          <a:extLst>
            <a:ext uri="{FF2B5EF4-FFF2-40B4-BE49-F238E27FC236}">
              <a16:creationId xmlns:a16="http://schemas.microsoft.com/office/drawing/2014/main" id="{00000000-0008-0000-0000-00001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24" name="Picture 11" hidden="1">
          <a:extLst>
            <a:ext uri="{FF2B5EF4-FFF2-40B4-BE49-F238E27FC236}">
              <a16:creationId xmlns:a16="http://schemas.microsoft.com/office/drawing/2014/main" id="{00000000-0008-0000-0000-00002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26" name="Picture 11" hidden="1">
          <a:extLst>
            <a:ext uri="{FF2B5EF4-FFF2-40B4-BE49-F238E27FC236}">
              <a16:creationId xmlns:a16="http://schemas.microsoft.com/office/drawing/2014/main" id="{00000000-0008-0000-0000-00002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28" name="Picture 11" hidden="1">
          <a:extLst>
            <a:ext uri="{FF2B5EF4-FFF2-40B4-BE49-F238E27FC236}">
              <a16:creationId xmlns:a16="http://schemas.microsoft.com/office/drawing/2014/main" id="{00000000-0008-0000-0000-00002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30" name="Picture 11" hidden="1">
          <a:extLst>
            <a:ext uri="{FF2B5EF4-FFF2-40B4-BE49-F238E27FC236}">
              <a16:creationId xmlns:a16="http://schemas.microsoft.com/office/drawing/2014/main" id="{00000000-0008-0000-0000-00002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32" name="Picture 11" hidden="1">
          <a:extLst>
            <a:ext uri="{FF2B5EF4-FFF2-40B4-BE49-F238E27FC236}">
              <a16:creationId xmlns:a16="http://schemas.microsoft.com/office/drawing/2014/main" id="{00000000-0008-0000-0000-00002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34" name="Picture 11" hidden="1">
          <a:extLst>
            <a:ext uri="{FF2B5EF4-FFF2-40B4-BE49-F238E27FC236}">
              <a16:creationId xmlns:a16="http://schemas.microsoft.com/office/drawing/2014/main" id="{00000000-0008-0000-0000-00002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36" name="Picture 11" hidden="1">
          <a:extLst>
            <a:ext uri="{FF2B5EF4-FFF2-40B4-BE49-F238E27FC236}">
              <a16:creationId xmlns:a16="http://schemas.microsoft.com/office/drawing/2014/main" id="{00000000-0008-0000-0000-00002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38" name="Picture 11" hidden="1">
          <a:extLst>
            <a:ext uri="{FF2B5EF4-FFF2-40B4-BE49-F238E27FC236}">
              <a16:creationId xmlns:a16="http://schemas.microsoft.com/office/drawing/2014/main" id="{00000000-0008-0000-0000-00002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40" name="Picture 11" hidden="1">
          <a:extLst>
            <a:ext uri="{FF2B5EF4-FFF2-40B4-BE49-F238E27FC236}">
              <a16:creationId xmlns:a16="http://schemas.microsoft.com/office/drawing/2014/main" id="{00000000-0008-0000-0000-00003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42" name="Picture 11" hidden="1">
          <a:extLst>
            <a:ext uri="{FF2B5EF4-FFF2-40B4-BE49-F238E27FC236}">
              <a16:creationId xmlns:a16="http://schemas.microsoft.com/office/drawing/2014/main" id="{00000000-0008-0000-0000-00003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44" name="Picture 11" hidden="1">
          <a:extLst>
            <a:ext uri="{FF2B5EF4-FFF2-40B4-BE49-F238E27FC236}">
              <a16:creationId xmlns:a16="http://schemas.microsoft.com/office/drawing/2014/main" id="{00000000-0008-0000-0000-00003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46" name="Picture 11" hidden="1">
          <a:extLst>
            <a:ext uri="{FF2B5EF4-FFF2-40B4-BE49-F238E27FC236}">
              <a16:creationId xmlns:a16="http://schemas.microsoft.com/office/drawing/2014/main" id="{00000000-0008-0000-0000-00003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48" name="Picture 11" hidden="1">
          <a:extLst>
            <a:ext uri="{FF2B5EF4-FFF2-40B4-BE49-F238E27FC236}">
              <a16:creationId xmlns:a16="http://schemas.microsoft.com/office/drawing/2014/main" id="{00000000-0008-0000-0000-00003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50" name="Picture 1849" hidden="1">
          <a:extLst>
            <a:ext uri="{FF2B5EF4-FFF2-40B4-BE49-F238E27FC236}">
              <a16:creationId xmlns:a16="http://schemas.microsoft.com/office/drawing/2014/main" id="{00000000-0008-0000-0000-00003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52" name="Picture 11" hidden="1">
          <a:extLst>
            <a:ext uri="{FF2B5EF4-FFF2-40B4-BE49-F238E27FC236}">
              <a16:creationId xmlns:a16="http://schemas.microsoft.com/office/drawing/2014/main" id="{00000000-0008-0000-0000-00003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54" name="Picture 11" hidden="1">
          <a:extLst>
            <a:ext uri="{FF2B5EF4-FFF2-40B4-BE49-F238E27FC236}">
              <a16:creationId xmlns:a16="http://schemas.microsoft.com/office/drawing/2014/main" id="{00000000-0008-0000-0000-00003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56" name="Picture 11" hidden="1">
          <a:extLst>
            <a:ext uri="{FF2B5EF4-FFF2-40B4-BE49-F238E27FC236}">
              <a16:creationId xmlns:a16="http://schemas.microsoft.com/office/drawing/2014/main" id="{00000000-0008-0000-0000-00004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58" name="Picture 11" hidden="1">
          <a:extLst>
            <a:ext uri="{FF2B5EF4-FFF2-40B4-BE49-F238E27FC236}">
              <a16:creationId xmlns:a16="http://schemas.microsoft.com/office/drawing/2014/main" id="{00000000-0008-0000-0000-00004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60" name="Picture 11" hidden="1">
          <a:extLst>
            <a:ext uri="{FF2B5EF4-FFF2-40B4-BE49-F238E27FC236}">
              <a16:creationId xmlns:a16="http://schemas.microsoft.com/office/drawing/2014/main" id="{00000000-0008-0000-0000-00004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62" name="Picture 11" hidden="1">
          <a:extLst>
            <a:ext uri="{FF2B5EF4-FFF2-40B4-BE49-F238E27FC236}">
              <a16:creationId xmlns:a16="http://schemas.microsoft.com/office/drawing/2014/main" id="{00000000-0008-0000-0000-00004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64" name="Picture 11" hidden="1">
          <a:extLst>
            <a:ext uri="{FF2B5EF4-FFF2-40B4-BE49-F238E27FC236}">
              <a16:creationId xmlns:a16="http://schemas.microsoft.com/office/drawing/2014/main" id="{00000000-0008-0000-0000-00004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66" name="Picture 11" hidden="1">
          <a:extLst>
            <a:ext uri="{FF2B5EF4-FFF2-40B4-BE49-F238E27FC236}">
              <a16:creationId xmlns:a16="http://schemas.microsoft.com/office/drawing/2014/main" id="{00000000-0008-0000-0000-00004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68" name="Picture 11" hidden="1">
          <a:extLst>
            <a:ext uri="{FF2B5EF4-FFF2-40B4-BE49-F238E27FC236}">
              <a16:creationId xmlns:a16="http://schemas.microsoft.com/office/drawing/2014/main" id="{00000000-0008-0000-0000-00004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70" name="Picture 11" hidden="1">
          <a:extLst>
            <a:ext uri="{FF2B5EF4-FFF2-40B4-BE49-F238E27FC236}">
              <a16:creationId xmlns:a16="http://schemas.microsoft.com/office/drawing/2014/main" id="{00000000-0008-0000-0000-00004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72" name="Picture 11" hidden="1">
          <a:extLst>
            <a:ext uri="{FF2B5EF4-FFF2-40B4-BE49-F238E27FC236}">
              <a16:creationId xmlns:a16="http://schemas.microsoft.com/office/drawing/2014/main" id="{00000000-0008-0000-0000-00005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74" name="Picture 11" hidden="1">
          <a:extLst>
            <a:ext uri="{FF2B5EF4-FFF2-40B4-BE49-F238E27FC236}">
              <a16:creationId xmlns:a16="http://schemas.microsoft.com/office/drawing/2014/main" id="{00000000-0008-0000-0000-00005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76" name="Picture 11" hidden="1">
          <a:extLst>
            <a:ext uri="{FF2B5EF4-FFF2-40B4-BE49-F238E27FC236}">
              <a16:creationId xmlns:a16="http://schemas.microsoft.com/office/drawing/2014/main" id="{00000000-0008-0000-0000-00005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78" name="Picture 11" hidden="1">
          <a:extLst>
            <a:ext uri="{FF2B5EF4-FFF2-40B4-BE49-F238E27FC236}">
              <a16:creationId xmlns:a16="http://schemas.microsoft.com/office/drawing/2014/main" id="{00000000-0008-0000-0000-00005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80" name="Picture 11" hidden="1">
          <a:extLst>
            <a:ext uri="{FF2B5EF4-FFF2-40B4-BE49-F238E27FC236}">
              <a16:creationId xmlns:a16="http://schemas.microsoft.com/office/drawing/2014/main" id="{00000000-0008-0000-0000-00005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82" name="Picture 11" hidden="1">
          <a:extLst>
            <a:ext uri="{FF2B5EF4-FFF2-40B4-BE49-F238E27FC236}">
              <a16:creationId xmlns:a16="http://schemas.microsoft.com/office/drawing/2014/main" id="{00000000-0008-0000-0000-00005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84" name="Picture 11" hidden="1">
          <a:extLst>
            <a:ext uri="{FF2B5EF4-FFF2-40B4-BE49-F238E27FC236}">
              <a16:creationId xmlns:a16="http://schemas.microsoft.com/office/drawing/2014/main" id="{00000000-0008-0000-0000-00005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86" name="Picture 11" hidden="1">
          <a:extLst>
            <a:ext uri="{FF2B5EF4-FFF2-40B4-BE49-F238E27FC236}">
              <a16:creationId xmlns:a16="http://schemas.microsoft.com/office/drawing/2014/main" id="{00000000-0008-0000-0000-00005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88" name="Picture 11" hidden="1">
          <a:extLst>
            <a:ext uri="{FF2B5EF4-FFF2-40B4-BE49-F238E27FC236}">
              <a16:creationId xmlns:a16="http://schemas.microsoft.com/office/drawing/2014/main" id="{00000000-0008-0000-0000-00006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90" name="Picture 11" hidden="1">
          <a:extLst>
            <a:ext uri="{FF2B5EF4-FFF2-40B4-BE49-F238E27FC236}">
              <a16:creationId xmlns:a16="http://schemas.microsoft.com/office/drawing/2014/main" id="{00000000-0008-0000-0000-00006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92" name="Picture 11" hidden="1">
          <a:extLst>
            <a:ext uri="{FF2B5EF4-FFF2-40B4-BE49-F238E27FC236}">
              <a16:creationId xmlns:a16="http://schemas.microsoft.com/office/drawing/2014/main" id="{00000000-0008-0000-0000-00006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94" name="Picture 11" hidden="1">
          <a:extLst>
            <a:ext uri="{FF2B5EF4-FFF2-40B4-BE49-F238E27FC236}">
              <a16:creationId xmlns:a16="http://schemas.microsoft.com/office/drawing/2014/main" id="{00000000-0008-0000-0000-00006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96" name="Picture 11" hidden="1">
          <a:extLst>
            <a:ext uri="{FF2B5EF4-FFF2-40B4-BE49-F238E27FC236}">
              <a16:creationId xmlns:a16="http://schemas.microsoft.com/office/drawing/2014/main" id="{00000000-0008-0000-0000-00006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98" name="Picture 11" hidden="1">
          <a:extLst>
            <a:ext uri="{FF2B5EF4-FFF2-40B4-BE49-F238E27FC236}">
              <a16:creationId xmlns:a16="http://schemas.microsoft.com/office/drawing/2014/main" id="{00000000-0008-0000-0000-00006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00" name="Picture 11" hidden="1">
          <a:extLst>
            <a:ext uri="{FF2B5EF4-FFF2-40B4-BE49-F238E27FC236}">
              <a16:creationId xmlns:a16="http://schemas.microsoft.com/office/drawing/2014/main" id="{00000000-0008-0000-0000-00006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02" name="Picture 11" hidden="1">
          <a:extLst>
            <a:ext uri="{FF2B5EF4-FFF2-40B4-BE49-F238E27FC236}">
              <a16:creationId xmlns:a16="http://schemas.microsoft.com/office/drawing/2014/main" id="{00000000-0008-0000-0000-00006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04" name="Picture 11" hidden="1">
          <a:extLst>
            <a:ext uri="{FF2B5EF4-FFF2-40B4-BE49-F238E27FC236}">
              <a16:creationId xmlns:a16="http://schemas.microsoft.com/office/drawing/2014/main" id="{00000000-0008-0000-0000-00007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06" name="Picture 11" hidden="1">
          <a:extLst>
            <a:ext uri="{FF2B5EF4-FFF2-40B4-BE49-F238E27FC236}">
              <a16:creationId xmlns:a16="http://schemas.microsoft.com/office/drawing/2014/main" id="{00000000-0008-0000-0000-00007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08" name="Picture 11" hidden="1">
          <a:extLst>
            <a:ext uri="{FF2B5EF4-FFF2-40B4-BE49-F238E27FC236}">
              <a16:creationId xmlns:a16="http://schemas.microsoft.com/office/drawing/2014/main" id="{00000000-0008-0000-0000-00007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10" name="Picture 11" hidden="1">
          <a:extLst>
            <a:ext uri="{FF2B5EF4-FFF2-40B4-BE49-F238E27FC236}">
              <a16:creationId xmlns:a16="http://schemas.microsoft.com/office/drawing/2014/main" id="{00000000-0008-0000-0000-00007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12" name="Picture 11" hidden="1">
          <a:extLst>
            <a:ext uri="{FF2B5EF4-FFF2-40B4-BE49-F238E27FC236}">
              <a16:creationId xmlns:a16="http://schemas.microsoft.com/office/drawing/2014/main" id="{00000000-0008-0000-0000-00007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14" name="Picture 11" hidden="1">
          <a:extLst>
            <a:ext uri="{FF2B5EF4-FFF2-40B4-BE49-F238E27FC236}">
              <a16:creationId xmlns:a16="http://schemas.microsoft.com/office/drawing/2014/main" id="{00000000-0008-0000-0000-00007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16" name="Picture 11" hidden="1">
          <a:extLst>
            <a:ext uri="{FF2B5EF4-FFF2-40B4-BE49-F238E27FC236}">
              <a16:creationId xmlns:a16="http://schemas.microsoft.com/office/drawing/2014/main" id="{00000000-0008-0000-0000-00007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18" name="Picture 11" hidden="1">
          <a:extLst>
            <a:ext uri="{FF2B5EF4-FFF2-40B4-BE49-F238E27FC236}">
              <a16:creationId xmlns:a16="http://schemas.microsoft.com/office/drawing/2014/main" id="{00000000-0008-0000-0000-00007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20" name="Picture 11" hidden="1">
          <a:extLst>
            <a:ext uri="{FF2B5EF4-FFF2-40B4-BE49-F238E27FC236}">
              <a16:creationId xmlns:a16="http://schemas.microsoft.com/office/drawing/2014/main" id="{00000000-0008-0000-0000-00008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22" name="Picture 11" hidden="1">
          <a:extLst>
            <a:ext uri="{FF2B5EF4-FFF2-40B4-BE49-F238E27FC236}">
              <a16:creationId xmlns:a16="http://schemas.microsoft.com/office/drawing/2014/main" id="{00000000-0008-0000-0000-00008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24" name="Picture 11" hidden="1">
          <a:extLst>
            <a:ext uri="{FF2B5EF4-FFF2-40B4-BE49-F238E27FC236}">
              <a16:creationId xmlns:a16="http://schemas.microsoft.com/office/drawing/2014/main" id="{00000000-0008-0000-0000-00008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26" name="Picture 11" hidden="1">
          <a:extLst>
            <a:ext uri="{FF2B5EF4-FFF2-40B4-BE49-F238E27FC236}">
              <a16:creationId xmlns:a16="http://schemas.microsoft.com/office/drawing/2014/main" id="{00000000-0008-0000-0000-00008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28" name="Picture 11" hidden="1">
          <a:extLst>
            <a:ext uri="{FF2B5EF4-FFF2-40B4-BE49-F238E27FC236}">
              <a16:creationId xmlns:a16="http://schemas.microsoft.com/office/drawing/2014/main" id="{00000000-0008-0000-0000-00008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30" name="Picture 11" hidden="1">
          <a:extLst>
            <a:ext uri="{FF2B5EF4-FFF2-40B4-BE49-F238E27FC236}">
              <a16:creationId xmlns:a16="http://schemas.microsoft.com/office/drawing/2014/main" id="{00000000-0008-0000-0000-00008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32" name="Picture 11" hidden="1">
          <a:extLst>
            <a:ext uri="{FF2B5EF4-FFF2-40B4-BE49-F238E27FC236}">
              <a16:creationId xmlns:a16="http://schemas.microsoft.com/office/drawing/2014/main" id="{00000000-0008-0000-0000-00008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34" name="Picture 11" hidden="1">
          <a:extLst>
            <a:ext uri="{FF2B5EF4-FFF2-40B4-BE49-F238E27FC236}">
              <a16:creationId xmlns:a16="http://schemas.microsoft.com/office/drawing/2014/main" id="{00000000-0008-0000-0000-00008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36" name="Picture 11" hidden="1">
          <a:extLst>
            <a:ext uri="{FF2B5EF4-FFF2-40B4-BE49-F238E27FC236}">
              <a16:creationId xmlns:a16="http://schemas.microsoft.com/office/drawing/2014/main" id="{00000000-0008-0000-0000-00009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38" name="Picture 11" hidden="1">
          <a:extLst>
            <a:ext uri="{FF2B5EF4-FFF2-40B4-BE49-F238E27FC236}">
              <a16:creationId xmlns:a16="http://schemas.microsoft.com/office/drawing/2014/main" id="{00000000-0008-0000-0000-00009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40" name="Picture 11" hidden="1">
          <a:extLst>
            <a:ext uri="{FF2B5EF4-FFF2-40B4-BE49-F238E27FC236}">
              <a16:creationId xmlns:a16="http://schemas.microsoft.com/office/drawing/2014/main" id="{00000000-0008-0000-0000-00009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42" name="Picture 11" hidden="1">
          <a:extLst>
            <a:ext uri="{FF2B5EF4-FFF2-40B4-BE49-F238E27FC236}">
              <a16:creationId xmlns:a16="http://schemas.microsoft.com/office/drawing/2014/main" id="{00000000-0008-0000-0000-00009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44" name="Picture 11" hidden="1">
          <a:extLst>
            <a:ext uri="{FF2B5EF4-FFF2-40B4-BE49-F238E27FC236}">
              <a16:creationId xmlns:a16="http://schemas.microsoft.com/office/drawing/2014/main" id="{00000000-0008-0000-0000-00009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46" name="Picture 11" hidden="1">
          <a:extLst>
            <a:ext uri="{FF2B5EF4-FFF2-40B4-BE49-F238E27FC236}">
              <a16:creationId xmlns:a16="http://schemas.microsoft.com/office/drawing/2014/main" id="{00000000-0008-0000-0000-00009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48" name="Picture 11" hidden="1">
          <a:extLst>
            <a:ext uri="{FF2B5EF4-FFF2-40B4-BE49-F238E27FC236}">
              <a16:creationId xmlns:a16="http://schemas.microsoft.com/office/drawing/2014/main" id="{00000000-0008-0000-0000-00009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50" name="Picture 11" hidden="1">
          <a:extLst>
            <a:ext uri="{FF2B5EF4-FFF2-40B4-BE49-F238E27FC236}">
              <a16:creationId xmlns:a16="http://schemas.microsoft.com/office/drawing/2014/main" id="{00000000-0008-0000-0000-00009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52" name="Picture 11" hidden="1">
          <a:extLst>
            <a:ext uri="{FF2B5EF4-FFF2-40B4-BE49-F238E27FC236}">
              <a16:creationId xmlns:a16="http://schemas.microsoft.com/office/drawing/2014/main" id="{00000000-0008-0000-0000-0000A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54" name="Picture 11" hidden="1">
          <a:extLst>
            <a:ext uri="{FF2B5EF4-FFF2-40B4-BE49-F238E27FC236}">
              <a16:creationId xmlns:a16="http://schemas.microsoft.com/office/drawing/2014/main" id="{00000000-0008-0000-0000-0000A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56" name="Picture 11" hidden="1">
          <a:extLst>
            <a:ext uri="{FF2B5EF4-FFF2-40B4-BE49-F238E27FC236}">
              <a16:creationId xmlns:a16="http://schemas.microsoft.com/office/drawing/2014/main" id="{00000000-0008-0000-0000-0000A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58" name="Picture 1957" hidden="1">
          <a:extLst>
            <a:ext uri="{FF2B5EF4-FFF2-40B4-BE49-F238E27FC236}">
              <a16:creationId xmlns:a16="http://schemas.microsoft.com/office/drawing/2014/main" id="{00000000-0008-0000-0000-0000A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60" name="Picture 11" hidden="1">
          <a:extLst>
            <a:ext uri="{FF2B5EF4-FFF2-40B4-BE49-F238E27FC236}">
              <a16:creationId xmlns:a16="http://schemas.microsoft.com/office/drawing/2014/main" id="{00000000-0008-0000-0000-0000A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62" name="Picture 11" hidden="1">
          <a:extLst>
            <a:ext uri="{FF2B5EF4-FFF2-40B4-BE49-F238E27FC236}">
              <a16:creationId xmlns:a16="http://schemas.microsoft.com/office/drawing/2014/main" id="{00000000-0008-0000-0000-0000A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64" name="Picture 11" hidden="1">
          <a:extLst>
            <a:ext uri="{FF2B5EF4-FFF2-40B4-BE49-F238E27FC236}">
              <a16:creationId xmlns:a16="http://schemas.microsoft.com/office/drawing/2014/main" id="{00000000-0008-0000-0000-0000A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66" name="Picture 11" hidden="1">
          <a:extLst>
            <a:ext uri="{FF2B5EF4-FFF2-40B4-BE49-F238E27FC236}">
              <a16:creationId xmlns:a16="http://schemas.microsoft.com/office/drawing/2014/main" id="{00000000-0008-0000-0000-0000A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68" name="Picture 11" hidden="1">
          <a:extLst>
            <a:ext uri="{FF2B5EF4-FFF2-40B4-BE49-F238E27FC236}">
              <a16:creationId xmlns:a16="http://schemas.microsoft.com/office/drawing/2014/main" id="{00000000-0008-0000-0000-0000B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70" name="Picture 11" hidden="1">
          <a:extLst>
            <a:ext uri="{FF2B5EF4-FFF2-40B4-BE49-F238E27FC236}">
              <a16:creationId xmlns:a16="http://schemas.microsoft.com/office/drawing/2014/main" id="{00000000-0008-0000-0000-0000B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72" name="Picture 11" hidden="1">
          <a:extLst>
            <a:ext uri="{FF2B5EF4-FFF2-40B4-BE49-F238E27FC236}">
              <a16:creationId xmlns:a16="http://schemas.microsoft.com/office/drawing/2014/main" id="{00000000-0008-0000-0000-0000B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74" name="Picture 11" hidden="1">
          <a:extLst>
            <a:ext uri="{FF2B5EF4-FFF2-40B4-BE49-F238E27FC236}">
              <a16:creationId xmlns:a16="http://schemas.microsoft.com/office/drawing/2014/main" id="{00000000-0008-0000-0000-0000B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76" name="Picture 11" hidden="1">
          <a:extLst>
            <a:ext uri="{FF2B5EF4-FFF2-40B4-BE49-F238E27FC236}">
              <a16:creationId xmlns:a16="http://schemas.microsoft.com/office/drawing/2014/main" id="{00000000-0008-0000-0000-0000B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78" name="Picture 11" hidden="1">
          <a:extLst>
            <a:ext uri="{FF2B5EF4-FFF2-40B4-BE49-F238E27FC236}">
              <a16:creationId xmlns:a16="http://schemas.microsoft.com/office/drawing/2014/main" id="{00000000-0008-0000-0000-0000B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80" name="Picture 11" hidden="1">
          <a:extLst>
            <a:ext uri="{FF2B5EF4-FFF2-40B4-BE49-F238E27FC236}">
              <a16:creationId xmlns:a16="http://schemas.microsoft.com/office/drawing/2014/main" id="{00000000-0008-0000-0000-0000B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82" name="Picture 11" hidden="1">
          <a:extLst>
            <a:ext uri="{FF2B5EF4-FFF2-40B4-BE49-F238E27FC236}">
              <a16:creationId xmlns:a16="http://schemas.microsoft.com/office/drawing/2014/main" id="{00000000-0008-0000-0000-0000B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84" name="Picture 11" hidden="1">
          <a:extLst>
            <a:ext uri="{FF2B5EF4-FFF2-40B4-BE49-F238E27FC236}">
              <a16:creationId xmlns:a16="http://schemas.microsoft.com/office/drawing/2014/main" id="{00000000-0008-0000-0000-0000C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86" name="Picture 11" hidden="1">
          <a:extLst>
            <a:ext uri="{FF2B5EF4-FFF2-40B4-BE49-F238E27FC236}">
              <a16:creationId xmlns:a16="http://schemas.microsoft.com/office/drawing/2014/main" id="{00000000-0008-0000-0000-0000C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88" name="Picture 11" hidden="1">
          <a:extLst>
            <a:ext uri="{FF2B5EF4-FFF2-40B4-BE49-F238E27FC236}">
              <a16:creationId xmlns:a16="http://schemas.microsoft.com/office/drawing/2014/main" id="{00000000-0008-0000-0000-0000C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90" name="Picture 11" hidden="1">
          <a:extLst>
            <a:ext uri="{FF2B5EF4-FFF2-40B4-BE49-F238E27FC236}">
              <a16:creationId xmlns:a16="http://schemas.microsoft.com/office/drawing/2014/main" id="{00000000-0008-0000-0000-0000C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92" name="Picture 11" hidden="1">
          <a:extLst>
            <a:ext uri="{FF2B5EF4-FFF2-40B4-BE49-F238E27FC236}">
              <a16:creationId xmlns:a16="http://schemas.microsoft.com/office/drawing/2014/main" id="{00000000-0008-0000-0000-0000C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94" name="Picture 11" hidden="1">
          <a:extLst>
            <a:ext uri="{FF2B5EF4-FFF2-40B4-BE49-F238E27FC236}">
              <a16:creationId xmlns:a16="http://schemas.microsoft.com/office/drawing/2014/main" id="{00000000-0008-0000-0000-0000C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96" name="Picture 11" hidden="1">
          <a:extLst>
            <a:ext uri="{FF2B5EF4-FFF2-40B4-BE49-F238E27FC236}">
              <a16:creationId xmlns:a16="http://schemas.microsoft.com/office/drawing/2014/main" id="{00000000-0008-0000-0000-0000C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98" name="Picture 11" hidden="1">
          <a:extLst>
            <a:ext uri="{FF2B5EF4-FFF2-40B4-BE49-F238E27FC236}">
              <a16:creationId xmlns:a16="http://schemas.microsoft.com/office/drawing/2014/main" id="{00000000-0008-0000-0000-0000C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00" name="Picture 11" hidden="1">
          <a:extLst>
            <a:ext uri="{FF2B5EF4-FFF2-40B4-BE49-F238E27FC236}">
              <a16:creationId xmlns:a16="http://schemas.microsoft.com/office/drawing/2014/main" id="{00000000-0008-0000-0000-0000D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02" name="Picture 11" hidden="1">
          <a:extLst>
            <a:ext uri="{FF2B5EF4-FFF2-40B4-BE49-F238E27FC236}">
              <a16:creationId xmlns:a16="http://schemas.microsoft.com/office/drawing/2014/main" id="{00000000-0008-0000-0000-0000D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04" name="Picture 11" hidden="1">
          <a:extLst>
            <a:ext uri="{FF2B5EF4-FFF2-40B4-BE49-F238E27FC236}">
              <a16:creationId xmlns:a16="http://schemas.microsoft.com/office/drawing/2014/main" id="{00000000-0008-0000-0000-0000D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06" name="Picture 11" hidden="1">
          <a:extLst>
            <a:ext uri="{FF2B5EF4-FFF2-40B4-BE49-F238E27FC236}">
              <a16:creationId xmlns:a16="http://schemas.microsoft.com/office/drawing/2014/main" id="{00000000-0008-0000-0000-0000D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08" name="Picture 11" hidden="1">
          <a:extLst>
            <a:ext uri="{FF2B5EF4-FFF2-40B4-BE49-F238E27FC236}">
              <a16:creationId xmlns:a16="http://schemas.microsoft.com/office/drawing/2014/main" id="{00000000-0008-0000-0000-0000D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10" name="Picture 11" hidden="1">
          <a:extLst>
            <a:ext uri="{FF2B5EF4-FFF2-40B4-BE49-F238E27FC236}">
              <a16:creationId xmlns:a16="http://schemas.microsoft.com/office/drawing/2014/main" id="{00000000-0008-0000-0000-0000D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12" name="Picture 11" hidden="1">
          <a:extLst>
            <a:ext uri="{FF2B5EF4-FFF2-40B4-BE49-F238E27FC236}">
              <a16:creationId xmlns:a16="http://schemas.microsoft.com/office/drawing/2014/main" id="{00000000-0008-0000-0000-0000D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14" name="Picture 11" hidden="1">
          <a:extLst>
            <a:ext uri="{FF2B5EF4-FFF2-40B4-BE49-F238E27FC236}">
              <a16:creationId xmlns:a16="http://schemas.microsoft.com/office/drawing/2014/main" id="{00000000-0008-0000-0000-0000D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16" name="Picture 11" hidden="1">
          <a:extLst>
            <a:ext uri="{FF2B5EF4-FFF2-40B4-BE49-F238E27FC236}">
              <a16:creationId xmlns:a16="http://schemas.microsoft.com/office/drawing/2014/main" id="{00000000-0008-0000-0000-0000E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18" name="Picture 11" hidden="1">
          <a:extLst>
            <a:ext uri="{FF2B5EF4-FFF2-40B4-BE49-F238E27FC236}">
              <a16:creationId xmlns:a16="http://schemas.microsoft.com/office/drawing/2014/main" id="{00000000-0008-0000-0000-0000E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20" name="Picture 11" hidden="1">
          <a:extLst>
            <a:ext uri="{FF2B5EF4-FFF2-40B4-BE49-F238E27FC236}">
              <a16:creationId xmlns:a16="http://schemas.microsoft.com/office/drawing/2014/main" id="{00000000-0008-0000-0000-0000E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22" name="Picture 11" hidden="1">
          <a:extLst>
            <a:ext uri="{FF2B5EF4-FFF2-40B4-BE49-F238E27FC236}">
              <a16:creationId xmlns:a16="http://schemas.microsoft.com/office/drawing/2014/main" id="{00000000-0008-0000-0000-0000E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24" name="Picture 11" hidden="1">
          <a:extLst>
            <a:ext uri="{FF2B5EF4-FFF2-40B4-BE49-F238E27FC236}">
              <a16:creationId xmlns:a16="http://schemas.microsoft.com/office/drawing/2014/main" id="{00000000-0008-0000-0000-0000E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26" name="Picture 11" hidden="1">
          <a:extLst>
            <a:ext uri="{FF2B5EF4-FFF2-40B4-BE49-F238E27FC236}">
              <a16:creationId xmlns:a16="http://schemas.microsoft.com/office/drawing/2014/main" id="{00000000-0008-0000-0000-0000E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28" name="Picture 11" hidden="1">
          <a:extLst>
            <a:ext uri="{FF2B5EF4-FFF2-40B4-BE49-F238E27FC236}">
              <a16:creationId xmlns:a16="http://schemas.microsoft.com/office/drawing/2014/main" id="{00000000-0008-0000-0000-0000E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30" name="Picture 11" hidden="1">
          <a:extLst>
            <a:ext uri="{FF2B5EF4-FFF2-40B4-BE49-F238E27FC236}">
              <a16:creationId xmlns:a16="http://schemas.microsoft.com/office/drawing/2014/main" id="{00000000-0008-0000-0000-0000E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32" name="Picture 11" hidden="1">
          <a:extLst>
            <a:ext uri="{FF2B5EF4-FFF2-40B4-BE49-F238E27FC236}">
              <a16:creationId xmlns:a16="http://schemas.microsoft.com/office/drawing/2014/main" id="{00000000-0008-0000-0000-0000F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34" name="Picture 11" hidden="1">
          <a:extLst>
            <a:ext uri="{FF2B5EF4-FFF2-40B4-BE49-F238E27FC236}">
              <a16:creationId xmlns:a16="http://schemas.microsoft.com/office/drawing/2014/main" id="{00000000-0008-0000-0000-0000F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36" name="Picture 11" hidden="1">
          <a:extLst>
            <a:ext uri="{FF2B5EF4-FFF2-40B4-BE49-F238E27FC236}">
              <a16:creationId xmlns:a16="http://schemas.microsoft.com/office/drawing/2014/main" id="{00000000-0008-0000-0000-0000F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38" name="Picture 11" hidden="1">
          <a:extLst>
            <a:ext uri="{FF2B5EF4-FFF2-40B4-BE49-F238E27FC236}">
              <a16:creationId xmlns:a16="http://schemas.microsoft.com/office/drawing/2014/main" id="{00000000-0008-0000-0000-0000F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40" name="Picture 11" hidden="1">
          <a:extLst>
            <a:ext uri="{FF2B5EF4-FFF2-40B4-BE49-F238E27FC236}">
              <a16:creationId xmlns:a16="http://schemas.microsoft.com/office/drawing/2014/main" id="{00000000-0008-0000-0000-0000F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42" name="Picture 11" hidden="1">
          <a:extLst>
            <a:ext uri="{FF2B5EF4-FFF2-40B4-BE49-F238E27FC236}">
              <a16:creationId xmlns:a16="http://schemas.microsoft.com/office/drawing/2014/main" id="{00000000-0008-0000-0000-0000F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44" name="Picture 11" hidden="1">
          <a:extLst>
            <a:ext uri="{FF2B5EF4-FFF2-40B4-BE49-F238E27FC236}">
              <a16:creationId xmlns:a16="http://schemas.microsoft.com/office/drawing/2014/main" id="{00000000-0008-0000-0000-0000F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46" name="Picture 11" hidden="1">
          <a:extLst>
            <a:ext uri="{FF2B5EF4-FFF2-40B4-BE49-F238E27FC236}">
              <a16:creationId xmlns:a16="http://schemas.microsoft.com/office/drawing/2014/main" id="{00000000-0008-0000-0000-0000F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48" name="Picture 11" hidden="1">
          <a:extLst>
            <a:ext uri="{FF2B5EF4-FFF2-40B4-BE49-F238E27FC236}">
              <a16:creationId xmlns:a16="http://schemas.microsoft.com/office/drawing/2014/main" id="{00000000-0008-0000-0000-00000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50" name="Picture 11" hidden="1">
          <a:extLst>
            <a:ext uri="{FF2B5EF4-FFF2-40B4-BE49-F238E27FC236}">
              <a16:creationId xmlns:a16="http://schemas.microsoft.com/office/drawing/2014/main" id="{00000000-0008-0000-0000-00000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52" name="Picture 11" hidden="1">
          <a:extLst>
            <a:ext uri="{FF2B5EF4-FFF2-40B4-BE49-F238E27FC236}">
              <a16:creationId xmlns:a16="http://schemas.microsoft.com/office/drawing/2014/main" id="{00000000-0008-0000-0000-00000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54" name="Picture 11" hidden="1">
          <a:extLst>
            <a:ext uri="{FF2B5EF4-FFF2-40B4-BE49-F238E27FC236}">
              <a16:creationId xmlns:a16="http://schemas.microsoft.com/office/drawing/2014/main" id="{00000000-0008-0000-0000-00000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56" name="Picture 11" hidden="1">
          <a:extLst>
            <a:ext uri="{FF2B5EF4-FFF2-40B4-BE49-F238E27FC236}">
              <a16:creationId xmlns:a16="http://schemas.microsoft.com/office/drawing/2014/main" id="{00000000-0008-0000-0000-00000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58" name="Picture 11" hidden="1">
          <a:extLst>
            <a:ext uri="{FF2B5EF4-FFF2-40B4-BE49-F238E27FC236}">
              <a16:creationId xmlns:a16="http://schemas.microsoft.com/office/drawing/2014/main" id="{00000000-0008-0000-0000-00000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60" name="Picture 11" hidden="1">
          <a:extLst>
            <a:ext uri="{FF2B5EF4-FFF2-40B4-BE49-F238E27FC236}">
              <a16:creationId xmlns:a16="http://schemas.microsoft.com/office/drawing/2014/main" id="{00000000-0008-0000-0000-00000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62" name="Picture 11" hidden="1">
          <a:extLst>
            <a:ext uri="{FF2B5EF4-FFF2-40B4-BE49-F238E27FC236}">
              <a16:creationId xmlns:a16="http://schemas.microsoft.com/office/drawing/2014/main" id="{00000000-0008-0000-0000-00000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64" name="Picture 11" hidden="1">
          <a:extLst>
            <a:ext uri="{FF2B5EF4-FFF2-40B4-BE49-F238E27FC236}">
              <a16:creationId xmlns:a16="http://schemas.microsoft.com/office/drawing/2014/main" id="{00000000-0008-0000-0000-00001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66" name="Picture 2065" hidden="1">
          <a:extLst>
            <a:ext uri="{FF2B5EF4-FFF2-40B4-BE49-F238E27FC236}">
              <a16:creationId xmlns:a16="http://schemas.microsoft.com/office/drawing/2014/main" id="{00000000-0008-0000-0000-00001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68" name="Picture 11" hidden="1">
          <a:extLst>
            <a:ext uri="{FF2B5EF4-FFF2-40B4-BE49-F238E27FC236}">
              <a16:creationId xmlns:a16="http://schemas.microsoft.com/office/drawing/2014/main" id="{00000000-0008-0000-0000-00001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70" name="Picture 11" hidden="1">
          <a:extLst>
            <a:ext uri="{FF2B5EF4-FFF2-40B4-BE49-F238E27FC236}">
              <a16:creationId xmlns:a16="http://schemas.microsoft.com/office/drawing/2014/main" id="{00000000-0008-0000-0000-00001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72" name="Picture 11" hidden="1">
          <a:extLst>
            <a:ext uri="{FF2B5EF4-FFF2-40B4-BE49-F238E27FC236}">
              <a16:creationId xmlns:a16="http://schemas.microsoft.com/office/drawing/2014/main" id="{00000000-0008-0000-0000-00001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74" name="Picture 11" hidden="1">
          <a:extLst>
            <a:ext uri="{FF2B5EF4-FFF2-40B4-BE49-F238E27FC236}">
              <a16:creationId xmlns:a16="http://schemas.microsoft.com/office/drawing/2014/main" id="{00000000-0008-0000-0000-00001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76" name="Picture 11" hidden="1">
          <a:extLst>
            <a:ext uri="{FF2B5EF4-FFF2-40B4-BE49-F238E27FC236}">
              <a16:creationId xmlns:a16="http://schemas.microsoft.com/office/drawing/2014/main" id="{00000000-0008-0000-0000-00001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78" name="Picture 11" hidden="1">
          <a:extLst>
            <a:ext uri="{FF2B5EF4-FFF2-40B4-BE49-F238E27FC236}">
              <a16:creationId xmlns:a16="http://schemas.microsoft.com/office/drawing/2014/main" id="{00000000-0008-0000-0000-00001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80" name="Picture 11" hidden="1">
          <a:extLst>
            <a:ext uri="{FF2B5EF4-FFF2-40B4-BE49-F238E27FC236}">
              <a16:creationId xmlns:a16="http://schemas.microsoft.com/office/drawing/2014/main" id="{00000000-0008-0000-0000-00002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82" name="Picture 11" hidden="1">
          <a:extLst>
            <a:ext uri="{FF2B5EF4-FFF2-40B4-BE49-F238E27FC236}">
              <a16:creationId xmlns:a16="http://schemas.microsoft.com/office/drawing/2014/main" id="{00000000-0008-0000-0000-00002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84" name="Picture 11" hidden="1">
          <a:extLst>
            <a:ext uri="{FF2B5EF4-FFF2-40B4-BE49-F238E27FC236}">
              <a16:creationId xmlns:a16="http://schemas.microsoft.com/office/drawing/2014/main" id="{00000000-0008-0000-0000-00002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86" name="Picture 11" hidden="1">
          <a:extLst>
            <a:ext uri="{FF2B5EF4-FFF2-40B4-BE49-F238E27FC236}">
              <a16:creationId xmlns:a16="http://schemas.microsoft.com/office/drawing/2014/main" id="{00000000-0008-0000-0000-00002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88" name="Picture 11" hidden="1">
          <a:extLst>
            <a:ext uri="{FF2B5EF4-FFF2-40B4-BE49-F238E27FC236}">
              <a16:creationId xmlns:a16="http://schemas.microsoft.com/office/drawing/2014/main" id="{00000000-0008-0000-0000-00002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90" name="Picture 11" hidden="1">
          <a:extLst>
            <a:ext uri="{FF2B5EF4-FFF2-40B4-BE49-F238E27FC236}">
              <a16:creationId xmlns:a16="http://schemas.microsoft.com/office/drawing/2014/main" id="{00000000-0008-0000-0000-00002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92" name="Picture 11" hidden="1">
          <a:extLst>
            <a:ext uri="{FF2B5EF4-FFF2-40B4-BE49-F238E27FC236}">
              <a16:creationId xmlns:a16="http://schemas.microsoft.com/office/drawing/2014/main" id="{00000000-0008-0000-0000-00002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94" name="Picture 11" hidden="1">
          <a:extLst>
            <a:ext uri="{FF2B5EF4-FFF2-40B4-BE49-F238E27FC236}">
              <a16:creationId xmlns:a16="http://schemas.microsoft.com/office/drawing/2014/main" id="{00000000-0008-0000-0000-00002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96" name="Picture 11" hidden="1">
          <a:extLst>
            <a:ext uri="{FF2B5EF4-FFF2-40B4-BE49-F238E27FC236}">
              <a16:creationId xmlns:a16="http://schemas.microsoft.com/office/drawing/2014/main" id="{00000000-0008-0000-0000-00003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98" name="Picture 11" hidden="1">
          <a:extLst>
            <a:ext uri="{FF2B5EF4-FFF2-40B4-BE49-F238E27FC236}">
              <a16:creationId xmlns:a16="http://schemas.microsoft.com/office/drawing/2014/main" id="{00000000-0008-0000-0000-00003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00" name="Picture 11" hidden="1">
          <a:extLst>
            <a:ext uri="{FF2B5EF4-FFF2-40B4-BE49-F238E27FC236}">
              <a16:creationId xmlns:a16="http://schemas.microsoft.com/office/drawing/2014/main" id="{00000000-0008-0000-0000-00003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02" name="Picture 11" hidden="1">
          <a:extLst>
            <a:ext uri="{FF2B5EF4-FFF2-40B4-BE49-F238E27FC236}">
              <a16:creationId xmlns:a16="http://schemas.microsoft.com/office/drawing/2014/main" id="{00000000-0008-0000-0000-00003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04" name="Picture 11" hidden="1">
          <a:extLst>
            <a:ext uri="{FF2B5EF4-FFF2-40B4-BE49-F238E27FC236}">
              <a16:creationId xmlns:a16="http://schemas.microsoft.com/office/drawing/2014/main" id="{00000000-0008-0000-0000-00003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06" name="Picture 11" hidden="1">
          <a:extLst>
            <a:ext uri="{FF2B5EF4-FFF2-40B4-BE49-F238E27FC236}">
              <a16:creationId xmlns:a16="http://schemas.microsoft.com/office/drawing/2014/main" id="{00000000-0008-0000-0000-00003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08" name="Picture 11" hidden="1">
          <a:extLst>
            <a:ext uri="{FF2B5EF4-FFF2-40B4-BE49-F238E27FC236}">
              <a16:creationId xmlns:a16="http://schemas.microsoft.com/office/drawing/2014/main" id="{00000000-0008-0000-0000-00003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10" name="Picture 11" hidden="1">
          <a:extLst>
            <a:ext uri="{FF2B5EF4-FFF2-40B4-BE49-F238E27FC236}">
              <a16:creationId xmlns:a16="http://schemas.microsoft.com/office/drawing/2014/main" id="{00000000-0008-0000-0000-00003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12" name="Picture 11" hidden="1">
          <a:extLst>
            <a:ext uri="{FF2B5EF4-FFF2-40B4-BE49-F238E27FC236}">
              <a16:creationId xmlns:a16="http://schemas.microsoft.com/office/drawing/2014/main" id="{00000000-0008-0000-0000-00004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14" name="Picture 11" hidden="1">
          <a:extLst>
            <a:ext uri="{FF2B5EF4-FFF2-40B4-BE49-F238E27FC236}">
              <a16:creationId xmlns:a16="http://schemas.microsoft.com/office/drawing/2014/main" id="{00000000-0008-0000-0000-00004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16" name="Picture 11" hidden="1">
          <a:extLst>
            <a:ext uri="{FF2B5EF4-FFF2-40B4-BE49-F238E27FC236}">
              <a16:creationId xmlns:a16="http://schemas.microsoft.com/office/drawing/2014/main" id="{00000000-0008-0000-0000-00004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18" name="Picture 11" hidden="1">
          <a:extLst>
            <a:ext uri="{FF2B5EF4-FFF2-40B4-BE49-F238E27FC236}">
              <a16:creationId xmlns:a16="http://schemas.microsoft.com/office/drawing/2014/main" id="{00000000-0008-0000-0000-00004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20" name="Picture 11" hidden="1">
          <a:extLst>
            <a:ext uri="{FF2B5EF4-FFF2-40B4-BE49-F238E27FC236}">
              <a16:creationId xmlns:a16="http://schemas.microsoft.com/office/drawing/2014/main" id="{00000000-0008-0000-0000-00004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22" name="Picture 11" hidden="1">
          <a:extLst>
            <a:ext uri="{FF2B5EF4-FFF2-40B4-BE49-F238E27FC236}">
              <a16:creationId xmlns:a16="http://schemas.microsoft.com/office/drawing/2014/main" id="{00000000-0008-0000-0000-00004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24" name="Picture 11" hidden="1">
          <a:extLst>
            <a:ext uri="{FF2B5EF4-FFF2-40B4-BE49-F238E27FC236}">
              <a16:creationId xmlns:a16="http://schemas.microsoft.com/office/drawing/2014/main" id="{00000000-0008-0000-0000-00004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26" name="Picture 11" hidden="1">
          <a:extLst>
            <a:ext uri="{FF2B5EF4-FFF2-40B4-BE49-F238E27FC236}">
              <a16:creationId xmlns:a16="http://schemas.microsoft.com/office/drawing/2014/main" id="{00000000-0008-0000-0000-00004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28" name="Picture 11" hidden="1">
          <a:extLst>
            <a:ext uri="{FF2B5EF4-FFF2-40B4-BE49-F238E27FC236}">
              <a16:creationId xmlns:a16="http://schemas.microsoft.com/office/drawing/2014/main" id="{00000000-0008-0000-0000-00005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30" name="Picture 11" hidden="1">
          <a:extLst>
            <a:ext uri="{FF2B5EF4-FFF2-40B4-BE49-F238E27FC236}">
              <a16:creationId xmlns:a16="http://schemas.microsoft.com/office/drawing/2014/main" id="{00000000-0008-0000-0000-00005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32" name="Picture 11" hidden="1">
          <a:extLst>
            <a:ext uri="{FF2B5EF4-FFF2-40B4-BE49-F238E27FC236}">
              <a16:creationId xmlns:a16="http://schemas.microsoft.com/office/drawing/2014/main" id="{00000000-0008-0000-0000-00005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34" name="Picture 11" hidden="1">
          <a:extLst>
            <a:ext uri="{FF2B5EF4-FFF2-40B4-BE49-F238E27FC236}">
              <a16:creationId xmlns:a16="http://schemas.microsoft.com/office/drawing/2014/main" id="{00000000-0008-0000-0000-00005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36" name="Picture 11" hidden="1">
          <a:extLst>
            <a:ext uri="{FF2B5EF4-FFF2-40B4-BE49-F238E27FC236}">
              <a16:creationId xmlns:a16="http://schemas.microsoft.com/office/drawing/2014/main" id="{00000000-0008-0000-0000-00005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38" name="Picture 11" hidden="1">
          <a:extLst>
            <a:ext uri="{FF2B5EF4-FFF2-40B4-BE49-F238E27FC236}">
              <a16:creationId xmlns:a16="http://schemas.microsoft.com/office/drawing/2014/main" id="{00000000-0008-0000-0000-00005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40" name="Picture 11" hidden="1">
          <a:extLst>
            <a:ext uri="{FF2B5EF4-FFF2-40B4-BE49-F238E27FC236}">
              <a16:creationId xmlns:a16="http://schemas.microsoft.com/office/drawing/2014/main" id="{00000000-0008-0000-0000-00005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42" name="Picture 11" hidden="1">
          <a:extLst>
            <a:ext uri="{FF2B5EF4-FFF2-40B4-BE49-F238E27FC236}">
              <a16:creationId xmlns:a16="http://schemas.microsoft.com/office/drawing/2014/main" id="{00000000-0008-0000-0000-00005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44" name="Picture 11" hidden="1">
          <a:extLst>
            <a:ext uri="{FF2B5EF4-FFF2-40B4-BE49-F238E27FC236}">
              <a16:creationId xmlns:a16="http://schemas.microsoft.com/office/drawing/2014/main" id="{00000000-0008-0000-0000-00006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46" name="Picture 11" hidden="1">
          <a:extLst>
            <a:ext uri="{FF2B5EF4-FFF2-40B4-BE49-F238E27FC236}">
              <a16:creationId xmlns:a16="http://schemas.microsoft.com/office/drawing/2014/main" id="{00000000-0008-0000-0000-00006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48" name="Picture 11" hidden="1">
          <a:extLst>
            <a:ext uri="{FF2B5EF4-FFF2-40B4-BE49-F238E27FC236}">
              <a16:creationId xmlns:a16="http://schemas.microsoft.com/office/drawing/2014/main" id="{00000000-0008-0000-0000-00006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50" name="Picture 11" hidden="1">
          <a:extLst>
            <a:ext uri="{FF2B5EF4-FFF2-40B4-BE49-F238E27FC236}">
              <a16:creationId xmlns:a16="http://schemas.microsoft.com/office/drawing/2014/main" id="{00000000-0008-0000-0000-00006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52" name="Picture 11" hidden="1">
          <a:extLst>
            <a:ext uri="{FF2B5EF4-FFF2-40B4-BE49-F238E27FC236}">
              <a16:creationId xmlns:a16="http://schemas.microsoft.com/office/drawing/2014/main" id="{00000000-0008-0000-0000-00006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54" name="Picture 11" hidden="1">
          <a:extLst>
            <a:ext uri="{FF2B5EF4-FFF2-40B4-BE49-F238E27FC236}">
              <a16:creationId xmlns:a16="http://schemas.microsoft.com/office/drawing/2014/main" id="{00000000-0008-0000-0000-00006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56" name="Picture 11" hidden="1">
          <a:extLst>
            <a:ext uri="{FF2B5EF4-FFF2-40B4-BE49-F238E27FC236}">
              <a16:creationId xmlns:a16="http://schemas.microsoft.com/office/drawing/2014/main" id="{00000000-0008-0000-0000-00006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58" name="Picture 11" hidden="1">
          <a:extLst>
            <a:ext uri="{FF2B5EF4-FFF2-40B4-BE49-F238E27FC236}">
              <a16:creationId xmlns:a16="http://schemas.microsoft.com/office/drawing/2014/main" id="{00000000-0008-0000-0000-00006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60" name="Picture 11" hidden="1">
          <a:extLst>
            <a:ext uri="{FF2B5EF4-FFF2-40B4-BE49-F238E27FC236}">
              <a16:creationId xmlns:a16="http://schemas.microsoft.com/office/drawing/2014/main" id="{00000000-0008-0000-0000-00007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62" name="Picture 11" hidden="1">
          <a:extLst>
            <a:ext uri="{FF2B5EF4-FFF2-40B4-BE49-F238E27FC236}">
              <a16:creationId xmlns:a16="http://schemas.microsoft.com/office/drawing/2014/main" id="{00000000-0008-0000-0000-00007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64" name="Picture 11" hidden="1">
          <a:extLst>
            <a:ext uri="{FF2B5EF4-FFF2-40B4-BE49-F238E27FC236}">
              <a16:creationId xmlns:a16="http://schemas.microsoft.com/office/drawing/2014/main" id="{00000000-0008-0000-0000-00007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66" name="Picture 11" hidden="1">
          <a:extLst>
            <a:ext uri="{FF2B5EF4-FFF2-40B4-BE49-F238E27FC236}">
              <a16:creationId xmlns:a16="http://schemas.microsoft.com/office/drawing/2014/main" id="{00000000-0008-0000-0000-00007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68" name="Picture 11" hidden="1">
          <a:extLst>
            <a:ext uri="{FF2B5EF4-FFF2-40B4-BE49-F238E27FC236}">
              <a16:creationId xmlns:a16="http://schemas.microsoft.com/office/drawing/2014/main" id="{00000000-0008-0000-0000-00007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70" name="Picture 11" hidden="1">
          <a:extLst>
            <a:ext uri="{FF2B5EF4-FFF2-40B4-BE49-F238E27FC236}">
              <a16:creationId xmlns:a16="http://schemas.microsoft.com/office/drawing/2014/main" id="{00000000-0008-0000-0000-00007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72" name="Picture 11" hidden="1">
          <a:extLst>
            <a:ext uri="{FF2B5EF4-FFF2-40B4-BE49-F238E27FC236}">
              <a16:creationId xmlns:a16="http://schemas.microsoft.com/office/drawing/2014/main" id="{00000000-0008-0000-0000-00007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74" name="Picture 2173" hidden="1">
          <a:extLst>
            <a:ext uri="{FF2B5EF4-FFF2-40B4-BE49-F238E27FC236}">
              <a16:creationId xmlns:a16="http://schemas.microsoft.com/office/drawing/2014/main" id="{00000000-0008-0000-0000-00007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76" name="Picture 11" hidden="1">
          <a:extLst>
            <a:ext uri="{FF2B5EF4-FFF2-40B4-BE49-F238E27FC236}">
              <a16:creationId xmlns:a16="http://schemas.microsoft.com/office/drawing/2014/main" id="{00000000-0008-0000-0000-00008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78" name="Picture 11" hidden="1">
          <a:extLst>
            <a:ext uri="{FF2B5EF4-FFF2-40B4-BE49-F238E27FC236}">
              <a16:creationId xmlns:a16="http://schemas.microsoft.com/office/drawing/2014/main" id="{00000000-0008-0000-0000-00008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80" name="Picture 11" hidden="1">
          <a:extLst>
            <a:ext uri="{FF2B5EF4-FFF2-40B4-BE49-F238E27FC236}">
              <a16:creationId xmlns:a16="http://schemas.microsoft.com/office/drawing/2014/main" id="{00000000-0008-0000-0000-00008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82" name="Picture 11" hidden="1">
          <a:extLst>
            <a:ext uri="{FF2B5EF4-FFF2-40B4-BE49-F238E27FC236}">
              <a16:creationId xmlns:a16="http://schemas.microsoft.com/office/drawing/2014/main" id="{00000000-0008-0000-0000-00008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84" name="Picture 11" hidden="1">
          <a:extLst>
            <a:ext uri="{FF2B5EF4-FFF2-40B4-BE49-F238E27FC236}">
              <a16:creationId xmlns:a16="http://schemas.microsoft.com/office/drawing/2014/main" id="{00000000-0008-0000-0000-00008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86" name="Picture 11" hidden="1">
          <a:extLst>
            <a:ext uri="{FF2B5EF4-FFF2-40B4-BE49-F238E27FC236}">
              <a16:creationId xmlns:a16="http://schemas.microsoft.com/office/drawing/2014/main" id="{00000000-0008-0000-0000-00008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88" name="Picture 11" hidden="1">
          <a:extLst>
            <a:ext uri="{FF2B5EF4-FFF2-40B4-BE49-F238E27FC236}">
              <a16:creationId xmlns:a16="http://schemas.microsoft.com/office/drawing/2014/main" id="{00000000-0008-0000-0000-00008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90" name="Picture 11" hidden="1">
          <a:extLst>
            <a:ext uri="{FF2B5EF4-FFF2-40B4-BE49-F238E27FC236}">
              <a16:creationId xmlns:a16="http://schemas.microsoft.com/office/drawing/2014/main" id="{00000000-0008-0000-0000-00008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92" name="Picture 11" hidden="1">
          <a:extLst>
            <a:ext uri="{FF2B5EF4-FFF2-40B4-BE49-F238E27FC236}">
              <a16:creationId xmlns:a16="http://schemas.microsoft.com/office/drawing/2014/main" id="{00000000-0008-0000-0000-00009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94" name="Picture 11" hidden="1">
          <a:extLst>
            <a:ext uri="{FF2B5EF4-FFF2-40B4-BE49-F238E27FC236}">
              <a16:creationId xmlns:a16="http://schemas.microsoft.com/office/drawing/2014/main" id="{00000000-0008-0000-0000-00009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96" name="Picture 11" hidden="1">
          <a:extLst>
            <a:ext uri="{FF2B5EF4-FFF2-40B4-BE49-F238E27FC236}">
              <a16:creationId xmlns:a16="http://schemas.microsoft.com/office/drawing/2014/main" id="{00000000-0008-0000-0000-00009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98" name="Picture 11" hidden="1">
          <a:extLst>
            <a:ext uri="{FF2B5EF4-FFF2-40B4-BE49-F238E27FC236}">
              <a16:creationId xmlns:a16="http://schemas.microsoft.com/office/drawing/2014/main" id="{00000000-0008-0000-0000-00009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00" name="Picture 11" hidden="1">
          <a:extLst>
            <a:ext uri="{FF2B5EF4-FFF2-40B4-BE49-F238E27FC236}">
              <a16:creationId xmlns:a16="http://schemas.microsoft.com/office/drawing/2014/main" id="{00000000-0008-0000-0000-00009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02" name="Picture 11" hidden="1">
          <a:extLst>
            <a:ext uri="{FF2B5EF4-FFF2-40B4-BE49-F238E27FC236}">
              <a16:creationId xmlns:a16="http://schemas.microsoft.com/office/drawing/2014/main" id="{00000000-0008-0000-0000-00009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04" name="Picture 11" hidden="1">
          <a:extLst>
            <a:ext uri="{FF2B5EF4-FFF2-40B4-BE49-F238E27FC236}">
              <a16:creationId xmlns:a16="http://schemas.microsoft.com/office/drawing/2014/main" id="{00000000-0008-0000-0000-00009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06" name="Picture 11" hidden="1">
          <a:extLst>
            <a:ext uri="{FF2B5EF4-FFF2-40B4-BE49-F238E27FC236}">
              <a16:creationId xmlns:a16="http://schemas.microsoft.com/office/drawing/2014/main" id="{00000000-0008-0000-0000-00009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08" name="Picture 11" hidden="1">
          <a:extLst>
            <a:ext uri="{FF2B5EF4-FFF2-40B4-BE49-F238E27FC236}">
              <a16:creationId xmlns:a16="http://schemas.microsoft.com/office/drawing/2014/main" id="{00000000-0008-0000-0000-0000A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10" name="Picture 11" hidden="1">
          <a:extLst>
            <a:ext uri="{FF2B5EF4-FFF2-40B4-BE49-F238E27FC236}">
              <a16:creationId xmlns:a16="http://schemas.microsoft.com/office/drawing/2014/main" id="{00000000-0008-0000-0000-0000A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12" name="Picture 11" hidden="1">
          <a:extLst>
            <a:ext uri="{FF2B5EF4-FFF2-40B4-BE49-F238E27FC236}">
              <a16:creationId xmlns:a16="http://schemas.microsoft.com/office/drawing/2014/main" id="{00000000-0008-0000-0000-0000A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14" name="Picture 11" hidden="1">
          <a:extLst>
            <a:ext uri="{FF2B5EF4-FFF2-40B4-BE49-F238E27FC236}">
              <a16:creationId xmlns:a16="http://schemas.microsoft.com/office/drawing/2014/main" id="{00000000-0008-0000-0000-0000A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16" name="Picture 11" hidden="1">
          <a:extLst>
            <a:ext uri="{FF2B5EF4-FFF2-40B4-BE49-F238E27FC236}">
              <a16:creationId xmlns:a16="http://schemas.microsoft.com/office/drawing/2014/main" id="{00000000-0008-0000-0000-0000A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18" name="Picture 11" hidden="1">
          <a:extLst>
            <a:ext uri="{FF2B5EF4-FFF2-40B4-BE49-F238E27FC236}">
              <a16:creationId xmlns:a16="http://schemas.microsoft.com/office/drawing/2014/main" id="{00000000-0008-0000-0000-0000A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20" name="Picture 11" hidden="1">
          <a:extLst>
            <a:ext uri="{FF2B5EF4-FFF2-40B4-BE49-F238E27FC236}">
              <a16:creationId xmlns:a16="http://schemas.microsoft.com/office/drawing/2014/main" id="{00000000-0008-0000-0000-0000A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22" name="Picture 11" hidden="1">
          <a:extLst>
            <a:ext uri="{FF2B5EF4-FFF2-40B4-BE49-F238E27FC236}">
              <a16:creationId xmlns:a16="http://schemas.microsoft.com/office/drawing/2014/main" id="{00000000-0008-0000-0000-0000A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24" name="Picture 11" hidden="1">
          <a:extLst>
            <a:ext uri="{FF2B5EF4-FFF2-40B4-BE49-F238E27FC236}">
              <a16:creationId xmlns:a16="http://schemas.microsoft.com/office/drawing/2014/main" id="{00000000-0008-0000-0000-0000B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26" name="Picture 11" hidden="1">
          <a:extLst>
            <a:ext uri="{FF2B5EF4-FFF2-40B4-BE49-F238E27FC236}">
              <a16:creationId xmlns:a16="http://schemas.microsoft.com/office/drawing/2014/main" id="{00000000-0008-0000-0000-0000B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28" name="Picture 11" hidden="1">
          <a:extLst>
            <a:ext uri="{FF2B5EF4-FFF2-40B4-BE49-F238E27FC236}">
              <a16:creationId xmlns:a16="http://schemas.microsoft.com/office/drawing/2014/main" id="{00000000-0008-0000-0000-0000B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30" name="Picture 11" hidden="1">
          <a:extLst>
            <a:ext uri="{FF2B5EF4-FFF2-40B4-BE49-F238E27FC236}">
              <a16:creationId xmlns:a16="http://schemas.microsoft.com/office/drawing/2014/main" id="{00000000-0008-0000-0000-0000B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32" name="Picture 11" hidden="1">
          <a:extLst>
            <a:ext uri="{FF2B5EF4-FFF2-40B4-BE49-F238E27FC236}">
              <a16:creationId xmlns:a16="http://schemas.microsoft.com/office/drawing/2014/main" id="{00000000-0008-0000-0000-0000B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34" name="Picture 11" hidden="1">
          <a:extLst>
            <a:ext uri="{FF2B5EF4-FFF2-40B4-BE49-F238E27FC236}">
              <a16:creationId xmlns:a16="http://schemas.microsoft.com/office/drawing/2014/main" id="{00000000-0008-0000-0000-0000B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36" name="Picture 11" hidden="1">
          <a:extLst>
            <a:ext uri="{FF2B5EF4-FFF2-40B4-BE49-F238E27FC236}">
              <a16:creationId xmlns:a16="http://schemas.microsoft.com/office/drawing/2014/main" id="{00000000-0008-0000-0000-0000B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38" name="Picture 11" hidden="1">
          <a:extLst>
            <a:ext uri="{FF2B5EF4-FFF2-40B4-BE49-F238E27FC236}">
              <a16:creationId xmlns:a16="http://schemas.microsoft.com/office/drawing/2014/main" id="{00000000-0008-0000-0000-0000B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40" name="Picture 11" hidden="1">
          <a:extLst>
            <a:ext uri="{FF2B5EF4-FFF2-40B4-BE49-F238E27FC236}">
              <a16:creationId xmlns:a16="http://schemas.microsoft.com/office/drawing/2014/main" id="{00000000-0008-0000-0000-0000C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42" name="Picture 11" hidden="1">
          <a:extLst>
            <a:ext uri="{FF2B5EF4-FFF2-40B4-BE49-F238E27FC236}">
              <a16:creationId xmlns:a16="http://schemas.microsoft.com/office/drawing/2014/main" id="{00000000-0008-0000-0000-0000C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44" name="Picture 11" hidden="1">
          <a:extLst>
            <a:ext uri="{FF2B5EF4-FFF2-40B4-BE49-F238E27FC236}">
              <a16:creationId xmlns:a16="http://schemas.microsoft.com/office/drawing/2014/main" id="{00000000-0008-0000-0000-0000C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46" name="Picture 11" hidden="1">
          <a:extLst>
            <a:ext uri="{FF2B5EF4-FFF2-40B4-BE49-F238E27FC236}">
              <a16:creationId xmlns:a16="http://schemas.microsoft.com/office/drawing/2014/main" id="{00000000-0008-0000-0000-0000C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48" name="Picture 11" hidden="1">
          <a:extLst>
            <a:ext uri="{FF2B5EF4-FFF2-40B4-BE49-F238E27FC236}">
              <a16:creationId xmlns:a16="http://schemas.microsoft.com/office/drawing/2014/main" id="{00000000-0008-0000-0000-0000C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50" name="Picture 11" hidden="1">
          <a:extLst>
            <a:ext uri="{FF2B5EF4-FFF2-40B4-BE49-F238E27FC236}">
              <a16:creationId xmlns:a16="http://schemas.microsoft.com/office/drawing/2014/main" id="{00000000-0008-0000-0000-0000C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52" name="Picture 11" hidden="1">
          <a:extLst>
            <a:ext uri="{FF2B5EF4-FFF2-40B4-BE49-F238E27FC236}">
              <a16:creationId xmlns:a16="http://schemas.microsoft.com/office/drawing/2014/main" id="{00000000-0008-0000-0000-0000C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54" name="Picture 11" hidden="1">
          <a:extLst>
            <a:ext uri="{FF2B5EF4-FFF2-40B4-BE49-F238E27FC236}">
              <a16:creationId xmlns:a16="http://schemas.microsoft.com/office/drawing/2014/main" id="{00000000-0008-0000-0000-0000C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56" name="Picture 11" hidden="1">
          <a:extLst>
            <a:ext uri="{FF2B5EF4-FFF2-40B4-BE49-F238E27FC236}">
              <a16:creationId xmlns:a16="http://schemas.microsoft.com/office/drawing/2014/main" id="{00000000-0008-0000-0000-0000D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58" name="Picture 11" hidden="1">
          <a:extLst>
            <a:ext uri="{FF2B5EF4-FFF2-40B4-BE49-F238E27FC236}">
              <a16:creationId xmlns:a16="http://schemas.microsoft.com/office/drawing/2014/main" id="{00000000-0008-0000-0000-0000D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60" name="Picture 11" hidden="1">
          <a:extLst>
            <a:ext uri="{FF2B5EF4-FFF2-40B4-BE49-F238E27FC236}">
              <a16:creationId xmlns:a16="http://schemas.microsoft.com/office/drawing/2014/main" id="{00000000-0008-0000-0000-0000D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62" name="Picture 11" hidden="1">
          <a:extLst>
            <a:ext uri="{FF2B5EF4-FFF2-40B4-BE49-F238E27FC236}">
              <a16:creationId xmlns:a16="http://schemas.microsoft.com/office/drawing/2014/main" id="{00000000-0008-0000-0000-0000D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64" name="Picture 11" hidden="1">
          <a:extLst>
            <a:ext uri="{FF2B5EF4-FFF2-40B4-BE49-F238E27FC236}">
              <a16:creationId xmlns:a16="http://schemas.microsoft.com/office/drawing/2014/main" id="{00000000-0008-0000-0000-0000D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66" name="Picture 11" hidden="1">
          <a:extLst>
            <a:ext uri="{FF2B5EF4-FFF2-40B4-BE49-F238E27FC236}">
              <a16:creationId xmlns:a16="http://schemas.microsoft.com/office/drawing/2014/main" id="{00000000-0008-0000-0000-0000D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68" name="Picture 11" hidden="1">
          <a:extLst>
            <a:ext uri="{FF2B5EF4-FFF2-40B4-BE49-F238E27FC236}">
              <a16:creationId xmlns:a16="http://schemas.microsoft.com/office/drawing/2014/main" id="{00000000-0008-0000-0000-0000D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70" name="Picture 11" hidden="1">
          <a:extLst>
            <a:ext uri="{FF2B5EF4-FFF2-40B4-BE49-F238E27FC236}">
              <a16:creationId xmlns:a16="http://schemas.microsoft.com/office/drawing/2014/main" id="{00000000-0008-0000-0000-0000D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72" name="Picture 11" hidden="1">
          <a:extLst>
            <a:ext uri="{FF2B5EF4-FFF2-40B4-BE49-F238E27FC236}">
              <a16:creationId xmlns:a16="http://schemas.microsoft.com/office/drawing/2014/main" id="{00000000-0008-0000-0000-0000E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74" name="Picture 11" hidden="1">
          <a:extLst>
            <a:ext uri="{FF2B5EF4-FFF2-40B4-BE49-F238E27FC236}">
              <a16:creationId xmlns:a16="http://schemas.microsoft.com/office/drawing/2014/main" id="{00000000-0008-0000-0000-0000E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76" name="Picture 11" hidden="1">
          <a:extLst>
            <a:ext uri="{FF2B5EF4-FFF2-40B4-BE49-F238E27FC236}">
              <a16:creationId xmlns:a16="http://schemas.microsoft.com/office/drawing/2014/main" id="{00000000-0008-0000-0000-0000E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78" name="Picture 11" hidden="1">
          <a:extLst>
            <a:ext uri="{FF2B5EF4-FFF2-40B4-BE49-F238E27FC236}">
              <a16:creationId xmlns:a16="http://schemas.microsoft.com/office/drawing/2014/main" id="{00000000-0008-0000-0000-0000E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80" name="Picture 11" hidden="1">
          <a:extLst>
            <a:ext uri="{FF2B5EF4-FFF2-40B4-BE49-F238E27FC236}">
              <a16:creationId xmlns:a16="http://schemas.microsoft.com/office/drawing/2014/main" id="{00000000-0008-0000-0000-0000E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82" name="Picture 2281" hidden="1">
          <a:extLst>
            <a:ext uri="{FF2B5EF4-FFF2-40B4-BE49-F238E27FC236}">
              <a16:creationId xmlns:a16="http://schemas.microsoft.com/office/drawing/2014/main" id="{00000000-0008-0000-0000-0000E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84" name="Picture 11" hidden="1">
          <a:extLst>
            <a:ext uri="{FF2B5EF4-FFF2-40B4-BE49-F238E27FC236}">
              <a16:creationId xmlns:a16="http://schemas.microsoft.com/office/drawing/2014/main" id="{00000000-0008-0000-0000-0000E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86" name="Picture 11" hidden="1">
          <a:extLst>
            <a:ext uri="{FF2B5EF4-FFF2-40B4-BE49-F238E27FC236}">
              <a16:creationId xmlns:a16="http://schemas.microsoft.com/office/drawing/2014/main" id="{00000000-0008-0000-0000-0000E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88" name="Picture 11" hidden="1">
          <a:extLst>
            <a:ext uri="{FF2B5EF4-FFF2-40B4-BE49-F238E27FC236}">
              <a16:creationId xmlns:a16="http://schemas.microsoft.com/office/drawing/2014/main" id="{00000000-0008-0000-0000-0000F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90" name="Picture 11" hidden="1">
          <a:extLst>
            <a:ext uri="{FF2B5EF4-FFF2-40B4-BE49-F238E27FC236}">
              <a16:creationId xmlns:a16="http://schemas.microsoft.com/office/drawing/2014/main" id="{00000000-0008-0000-0000-0000F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92" name="Picture 11" hidden="1">
          <a:extLst>
            <a:ext uri="{FF2B5EF4-FFF2-40B4-BE49-F238E27FC236}">
              <a16:creationId xmlns:a16="http://schemas.microsoft.com/office/drawing/2014/main" id="{00000000-0008-0000-0000-0000F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94" name="Picture 11" hidden="1">
          <a:extLst>
            <a:ext uri="{FF2B5EF4-FFF2-40B4-BE49-F238E27FC236}">
              <a16:creationId xmlns:a16="http://schemas.microsoft.com/office/drawing/2014/main" id="{00000000-0008-0000-0000-0000F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96" name="Picture 11" hidden="1">
          <a:extLst>
            <a:ext uri="{FF2B5EF4-FFF2-40B4-BE49-F238E27FC236}">
              <a16:creationId xmlns:a16="http://schemas.microsoft.com/office/drawing/2014/main" id="{00000000-0008-0000-0000-0000F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98" name="Picture 11" hidden="1">
          <a:extLst>
            <a:ext uri="{FF2B5EF4-FFF2-40B4-BE49-F238E27FC236}">
              <a16:creationId xmlns:a16="http://schemas.microsoft.com/office/drawing/2014/main" id="{00000000-0008-0000-0000-0000F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00" name="Picture 11" hidden="1">
          <a:extLst>
            <a:ext uri="{FF2B5EF4-FFF2-40B4-BE49-F238E27FC236}">
              <a16:creationId xmlns:a16="http://schemas.microsoft.com/office/drawing/2014/main" id="{00000000-0008-0000-0000-0000F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02" name="Picture 11" hidden="1">
          <a:extLst>
            <a:ext uri="{FF2B5EF4-FFF2-40B4-BE49-F238E27FC236}">
              <a16:creationId xmlns:a16="http://schemas.microsoft.com/office/drawing/2014/main" id="{00000000-0008-0000-0000-0000F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04" name="Picture 11" hidden="1">
          <a:extLst>
            <a:ext uri="{FF2B5EF4-FFF2-40B4-BE49-F238E27FC236}">
              <a16:creationId xmlns:a16="http://schemas.microsoft.com/office/drawing/2014/main" id="{00000000-0008-0000-0000-00000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06" name="Picture 11" hidden="1">
          <a:extLst>
            <a:ext uri="{FF2B5EF4-FFF2-40B4-BE49-F238E27FC236}">
              <a16:creationId xmlns:a16="http://schemas.microsoft.com/office/drawing/2014/main" id="{00000000-0008-0000-0000-00000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08" name="Picture 11" hidden="1">
          <a:extLst>
            <a:ext uri="{FF2B5EF4-FFF2-40B4-BE49-F238E27FC236}">
              <a16:creationId xmlns:a16="http://schemas.microsoft.com/office/drawing/2014/main" id="{00000000-0008-0000-0000-00000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10" name="Picture 11" hidden="1">
          <a:extLst>
            <a:ext uri="{FF2B5EF4-FFF2-40B4-BE49-F238E27FC236}">
              <a16:creationId xmlns:a16="http://schemas.microsoft.com/office/drawing/2014/main" id="{00000000-0008-0000-0000-00000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12" name="Picture 11" hidden="1">
          <a:extLst>
            <a:ext uri="{FF2B5EF4-FFF2-40B4-BE49-F238E27FC236}">
              <a16:creationId xmlns:a16="http://schemas.microsoft.com/office/drawing/2014/main" id="{00000000-0008-0000-0000-00000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14" name="Picture 11" hidden="1">
          <a:extLst>
            <a:ext uri="{FF2B5EF4-FFF2-40B4-BE49-F238E27FC236}">
              <a16:creationId xmlns:a16="http://schemas.microsoft.com/office/drawing/2014/main" id="{00000000-0008-0000-0000-00000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16" name="Picture 11" hidden="1">
          <a:extLst>
            <a:ext uri="{FF2B5EF4-FFF2-40B4-BE49-F238E27FC236}">
              <a16:creationId xmlns:a16="http://schemas.microsoft.com/office/drawing/2014/main" id="{00000000-0008-0000-0000-00000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18" name="Picture 11" hidden="1">
          <a:extLst>
            <a:ext uri="{FF2B5EF4-FFF2-40B4-BE49-F238E27FC236}">
              <a16:creationId xmlns:a16="http://schemas.microsoft.com/office/drawing/2014/main" id="{00000000-0008-0000-0000-00000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20" name="Picture 11" hidden="1">
          <a:extLst>
            <a:ext uri="{FF2B5EF4-FFF2-40B4-BE49-F238E27FC236}">
              <a16:creationId xmlns:a16="http://schemas.microsoft.com/office/drawing/2014/main" id="{00000000-0008-0000-0000-00001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22" name="Picture 11" hidden="1">
          <a:extLst>
            <a:ext uri="{FF2B5EF4-FFF2-40B4-BE49-F238E27FC236}">
              <a16:creationId xmlns:a16="http://schemas.microsoft.com/office/drawing/2014/main" id="{00000000-0008-0000-0000-00001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24" name="Picture 11" hidden="1">
          <a:extLst>
            <a:ext uri="{FF2B5EF4-FFF2-40B4-BE49-F238E27FC236}">
              <a16:creationId xmlns:a16="http://schemas.microsoft.com/office/drawing/2014/main" id="{00000000-0008-0000-0000-00001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26" name="Picture 11" hidden="1">
          <a:extLst>
            <a:ext uri="{FF2B5EF4-FFF2-40B4-BE49-F238E27FC236}">
              <a16:creationId xmlns:a16="http://schemas.microsoft.com/office/drawing/2014/main" id="{00000000-0008-0000-0000-00001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28" name="Picture 11" hidden="1">
          <a:extLst>
            <a:ext uri="{FF2B5EF4-FFF2-40B4-BE49-F238E27FC236}">
              <a16:creationId xmlns:a16="http://schemas.microsoft.com/office/drawing/2014/main" id="{00000000-0008-0000-0000-00001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30" name="Picture 11" hidden="1">
          <a:extLst>
            <a:ext uri="{FF2B5EF4-FFF2-40B4-BE49-F238E27FC236}">
              <a16:creationId xmlns:a16="http://schemas.microsoft.com/office/drawing/2014/main" id="{00000000-0008-0000-0000-00001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32" name="Picture 11" hidden="1">
          <a:extLst>
            <a:ext uri="{FF2B5EF4-FFF2-40B4-BE49-F238E27FC236}">
              <a16:creationId xmlns:a16="http://schemas.microsoft.com/office/drawing/2014/main" id="{00000000-0008-0000-0000-00001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34" name="Picture 11" hidden="1">
          <a:extLst>
            <a:ext uri="{FF2B5EF4-FFF2-40B4-BE49-F238E27FC236}">
              <a16:creationId xmlns:a16="http://schemas.microsoft.com/office/drawing/2014/main" id="{00000000-0008-0000-0000-00001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36" name="Picture 11" hidden="1">
          <a:extLst>
            <a:ext uri="{FF2B5EF4-FFF2-40B4-BE49-F238E27FC236}">
              <a16:creationId xmlns:a16="http://schemas.microsoft.com/office/drawing/2014/main" id="{00000000-0008-0000-0000-00002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38" name="Picture 11" hidden="1">
          <a:extLst>
            <a:ext uri="{FF2B5EF4-FFF2-40B4-BE49-F238E27FC236}">
              <a16:creationId xmlns:a16="http://schemas.microsoft.com/office/drawing/2014/main" id="{00000000-0008-0000-0000-00002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40" name="Picture 11" hidden="1">
          <a:extLst>
            <a:ext uri="{FF2B5EF4-FFF2-40B4-BE49-F238E27FC236}">
              <a16:creationId xmlns:a16="http://schemas.microsoft.com/office/drawing/2014/main" id="{00000000-0008-0000-0000-00002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42" name="Picture 11" hidden="1">
          <a:extLst>
            <a:ext uri="{FF2B5EF4-FFF2-40B4-BE49-F238E27FC236}">
              <a16:creationId xmlns:a16="http://schemas.microsoft.com/office/drawing/2014/main" id="{00000000-0008-0000-0000-00002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44" name="Picture 11" hidden="1">
          <a:extLst>
            <a:ext uri="{FF2B5EF4-FFF2-40B4-BE49-F238E27FC236}">
              <a16:creationId xmlns:a16="http://schemas.microsoft.com/office/drawing/2014/main" id="{00000000-0008-0000-0000-00002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46" name="Picture 11" hidden="1">
          <a:extLst>
            <a:ext uri="{FF2B5EF4-FFF2-40B4-BE49-F238E27FC236}">
              <a16:creationId xmlns:a16="http://schemas.microsoft.com/office/drawing/2014/main" id="{00000000-0008-0000-0000-00002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48" name="Picture 11" hidden="1">
          <a:extLst>
            <a:ext uri="{FF2B5EF4-FFF2-40B4-BE49-F238E27FC236}">
              <a16:creationId xmlns:a16="http://schemas.microsoft.com/office/drawing/2014/main" id="{00000000-0008-0000-0000-00002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50" name="Picture 11" hidden="1">
          <a:extLst>
            <a:ext uri="{FF2B5EF4-FFF2-40B4-BE49-F238E27FC236}">
              <a16:creationId xmlns:a16="http://schemas.microsoft.com/office/drawing/2014/main" id="{00000000-0008-0000-0000-00002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52" name="Picture 11" hidden="1">
          <a:extLst>
            <a:ext uri="{FF2B5EF4-FFF2-40B4-BE49-F238E27FC236}">
              <a16:creationId xmlns:a16="http://schemas.microsoft.com/office/drawing/2014/main" id="{00000000-0008-0000-0000-00003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54" name="Picture 11" hidden="1">
          <a:extLst>
            <a:ext uri="{FF2B5EF4-FFF2-40B4-BE49-F238E27FC236}">
              <a16:creationId xmlns:a16="http://schemas.microsoft.com/office/drawing/2014/main" id="{00000000-0008-0000-0000-00003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56" name="Picture 11" hidden="1">
          <a:extLst>
            <a:ext uri="{FF2B5EF4-FFF2-40B4-BE49-F238E27FC236}">
              <a16:creationId xmlns:a16="http://schemas.microsoft.com/office/drawing/2014/main" id="{00000000-0008-0000-0000-00003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58" name="Picture 11" hidden="1">
          <a:extLst>
            <a:ext uri="{FF2B5EF4-FFF2-40B4-BE49-F238E27FC236}">
              <a16:creationId xmlns:a16="http://schemas.microsoft.com/office/drawing/2014/main" id="{00000000-0008-0000-0000-00003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60" name="Picture 11" hidden="1">
          <a:extLst>
            <a:ext uri="{FF2B5EF4-FFF2-40B4-BE49-F238E27FC236}">
              <a16:creationId xmlns:a16="http://schemas.microsoft.com/office/drawing/2014/main" id="{00000000-0008-0000-0000-00003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62" name="Picture 11" hidden="1">
          <a:extLst>
            <a:ext uri="{FF2B5EF4-FFF2-40B4-BE49-F238E27FC236}">
              <a16:creationId xmlns:a16="http://schemas.microsoft.com/office/drawing/2014/main" id="{00000000-0008-0000-0000-00003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64" name="Picture 11" hidden="1">
          <a:extLst>
            <a:ext uri="{FF2B5EF4-FFF2-40B4-BE49-F238E27FC236}">
              <a16:creationId xmlns:a16="http://schemas.microsoft.com/office/drawing/2014/main" id="{00000000-0008-0000-0000-00003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66" name="Picture 11" hidden="1">
          <a:extLst>
            <a:ext uri="{FF2B5EF4-FFF2-40B4-BE49-F238E27FC236}">
              <a16:creationId xmlns:a16="http://schemas.microsoft.com/office/drawing/2014/main" id="{00000000-0008-0000-0000-00003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68" name="Picture 11" hidden="1">
          <a:extLst>
            <a:ext uri="{FF2B5EF4-FFF2-40B4-BE49-F238E27FC236}">
              <a16:creationId xmlns:a16="http://schemas.microsoft.com/office/drawing/2014/main" id="{00000000-0008-0000-0000-00004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70" name="Picture 11" hidden="1">
          <a:extLst>
            <a:ext uri="{FF2B5EF4-FFF2-40B4-BE49-F238E27FC236}">
              <a16:creationId xmlns:a16="http://schemas.microsoft.com/office/drawing/2014/main" id="{00000000-0008-0000-0000-00004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72" name="Picture 11" hidden="1">
          <a:extLst>
            <a:ext uri="{FF2B5EF4-FFF2-40B4-BE49-F238E27FC236}">
              <a16:creationId xmlns:a16="http://schemas.microsoft.com/office/drawing/2014/main" id="{00000000-0008-0000-0000-00004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74" name="Picture 11" hidden="1">
          <a:extLst>
            <a:ext uri="{FF2B5EF4-FFF2-40B4-BE49-F238E27FC236}">
              <a16:creationId xmlns:a16="http://schemas.microsoft.com/office/drawing/2014/main" id="{00000000-0008-0000-0000-00004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76" name="Picture 11" hidden="1">
          <a:extLst>
            <a:ext uri="{FF2B5EF4-FFF2-40B4-BE49-F238E27FC236}">
              <a16:creationId xmlns:a16="http://schemas.microsoft.com/office/drawing/2014/main" id="{00000000-0008-0000-0000-00004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78" name="Picture 11" hidden="1">
          <a:extLst>
            <a:ext uri="{FF2B5EF4-FFF2-40B4-BE49-F238E27FC236}">
              <a16:creationId xmlns:a16="http://schemas.microsoft.com/office/drawing/2014/main" id="{00000000-0008-0000-0000-00004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80" name="Picture 11" hidden="1">
          <a:extLst>
            <a:ext uri="{FF2B5EF4-FFF2-40B4-BE49-F238E27FC236}">
              <a16:creationId xmlns:a16="http://schemas.microsoft.com/office/drawing/2014/main" id="{00000000-0008-0000-0000-00004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9200" cy="247650"/>
    <xdr:sp macro="" textlink="">
      <xdr:nvSpPr>
        <xdr:cNvPr id="2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90000}"/>
            </a:ext>
          </a:extLst>
        </xdr:cNvPr>
        <xdr:cNvSpPr/>
      </xdr:nvSpPr>
      <xdr:spPr bwMode="auto">
        <a:xfrm>
          <a:off x="0" y="180975"/>
          <a:ext cx="1219200" cy="2476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9200" cy="247650"/>
    <xdr:pic>
      <xdr:nvPicPr>
        <xdr:cNvPr id="2382" name="Picture 11" hidden="1">
          <a:extLst>
            <a:ext uri="{FF2B5EF4-FFF2-40B4-BE49-F238E27FC236}">
              <a16:creationId xmlns:a16="http://schemas.microsoft.com/office/drawing/2014/main" id="{00000000-0008-0000-0000-00004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9200" cy="24765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84" name="Picture 11" hidden="1">
          <a:extLst>
            <a:ext uri="{FF2B5EF4-FFF2-40B4-BE49-F238E27FC236}">
              <a16:creationId xmlns:a16="http://schemas.microsoft.com/office/drawing/2014/main" id="{00000000-0008-0000-0000-00005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86" name="Picture 11" hidden="1">
          <a:extLst>
            <a:ext uri="{FF2B5EF4-FFF2-40B4-BE49-F238E27FC236}">
              <a16:creationId xmlns:a16="http://schemas.microsoft.com/office/drawing/2014/main" id="{00000000-0008-0000-0000-00005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88" name="Picture 11" hidden="1">
          <a:extLst>
            <a:ext uri="{FF2B5EF4-FFF2-40B4-BE49-F238E27FC236}">
              <a16:creationId xmlns:a16="http://schemas.microsoft.com/office/drawing/2014/main" id="{00000000-0008-0000-0000-00005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90" name="Picture 2389" hidden="1">
          <a:extLst>
            <a:ext uri="{FF2B5EF4-FFF2-40B4-BE49-F238E27FC236}">
              <a16:creationId xmlns:a16="http://schemas.microsoft.com/office/drawing/2014/main" id="{00000000-0008-0000-0000-00005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92" name="Picture 11" hidden="1">
          <a:extLst>
            <a:ext uri="{FF2B5EF4-FFF2-40B4-BE49-F238E27FC236}">
              <a16:creationId xmlns:a16="http://schemas.microsoft.com/office/drawing/2014/main" id="{00000000-0008-0000-0000-00005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94" name="Picture 11" hidden="1">
          <a:extLst>
            <a:ext uri="{FF2B5EF4-FFF2-40B4-BE49-F238E27FC236}">
              <a16:creationId xmlns:a16="http://schemas.microsoft.com/office/drawing/2014/main" id="{00000000-0008-0000-0000-00005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96" name="Picture 11" hidden="1">
          <a:extLst>
            <a:ext uri="{FF2B5EF4-FFF2-40B4-BE49-F238E27FC236}">
              <a16:creationId xmlns:a16="http://schemas.microsoft.com/office/drawing/2014/main" id="{00000000-0008-0000-0000-00005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98" name="Picture 11" hidden="1">
          <a:extLst>
            <a:ext uri="{FF2B5EF4-FFF2-40B4-BE49-F238E27FC236}">
              <a16:creationId xmlns:a16="http://schemas.microsoft.com/office/drawing/2014/main" id="{00000000-0008-0000-0000-00005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00" name="Picture 11" hidden="1">
          <a:extLst>
            <a:ext uri="{FF2B5EF4-FFF2-40B4-BE49-F238E27FC236}">
              <a16:creationId xmlns:a16="http://schemas.microsoft.com/office/drawing/2014/main" id="{00000000-0008-0000-0000-00006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02" name="Picture 11" hidden="1">
          <a:extLst>
            <a:ext uri="{FF2B5EF4-FFF2-40B4-BE49-F238E27FC236}">
              <a16:creationId xmlns:a16="http://schemas.microsoft.com/office/drawing/2014/main" id="{00000000-0008-0000-0000-00006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04" name="Picture 11" hidden="1">
          <a:extLst>
            <a:ext uri="{FF2B5EF4-FFF2-40B4-BE49-F238E27FC236}">
              <a16:creationId xmlns:a16="http://schemas.microsoft.com/office/drawing/2014/main" id="{00000000-0008-0000-0000-00006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06" name="Picture 11" hidden="1">
          <a:extLst>
            <a:ext uri="{FF2B5EF4-FFF2-40B4-BE49-F238E27FC236}">
              <a16:creationId xmlns:a16="http://schemas.microsoft.com/office/drawing/2014/main" id="{00000000-0008-0000-0000-00006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08" name="Picture 11" hidden="1">
          <a:extLst>
            <a:ext uri="{FF2B5EF4-FFF2-40B4-BE49-F238E27FC236}">
              <a16:creationId xmlns:a16="http://schemas.microsoft.com/office/drawing/2014/main" id="{00000000-0008-0000-0000-00006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10" name="Picture 11" hidden="1">
          <a:extLst>
            <a:ext uri="{FF2B5EF4-FFF2-40B4-BE49-F238E27FC236}">
              <a16:creationId xmlns:a16="http://schemas.microsoft.com/office/drawing/2014/main" id="{00000000-0008-0000-0000-00006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12" name="Picture 11" hidden="1">
          <a:extLst>
            <a:ext uri="{FF2B5EF4-FFF2-40B4-BE49-F238E27FC236}">
              <a16:creationId xmlns:a16="http://schemas.microsoft.com/office/drawing/2014/main" id="{00000000-0008-0000-0000-00006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14" name="Picture 11" hidden="1">
          <a:extLst>
            <a:ext uri="{FF2B5EF4-FFF2-40B4-BE49-F238E27FC236}">
              <a16:creationId xmlns:a16="http://schemas.microsoft.com/office/drawing/2014/main" id="{00000000-0008-0000-0000-00006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16" name="Picture 11" hidden="1">
          <a:extLst>
            <a:ext uri="{FF2B5EF4-FFF2-40B4-BE49-F238E27FC236}">
              <a16:creationId xmlns:a16="http://schemas.microsoft.com/office/drawing/2014/main" id="{00000000-0008-0000-0000-00007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18" name="Picture 11" hidden="1">
          <a:extLst>
            <a:ext uri="{FF2B5EF4-FFF2-40B4-BE49-F238E27FC236}">
              <a16:creationId xmlns:a16="http://schemas.microsoft.com/office/drawing/2014/main" id="{00000000-0008-0000-0000-00007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20" name="Picture 11" hidden="1">
          <a:extLst>
            <a:ext uri="{FF2B5EF4-FFF2-40B4-BE49-F238E27FC236}">
              <a16:creationId xmlns:a16="http://schemas.microsoft.com/office/drawing/2014/main" id="{00000000-0008-0000-0000-00007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22" name="Picture 11" hidden="1">
          <a:extLst>
            <a:ext uri="{FF2B5EF4-FFF2-40B4-BE49-F238E27FC236}">
              <a16:creationId xmlns:a16="http://schemas.microsoft.com/office/drawing/2014/main" id="{00000000-0008-0000-0000-00007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24" name="Picture 11" hidden="1">
          <a:extLst>
            <a:ext uri="{FF2B5EF4-FFF2-40B4-BE49-F238E27FC236}">
              <a16:creationId xmlns:a16="http://schemas.microsoft.com/office/drawing/2014/main" id="{00000000-0008-0000-0000-00007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26" name="Picture 11" hidden="1">
          <a:extLst>
            <a:ext uri="{FF2B5EF4-FFF2-40B4-BE49-F238E27FC236}">
              <a16:creationId xmlns:a16="http://schemas.microsoft.com/office/drawing/2014/main" id="{00000000-0008-0000-0000-00007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28" name="Picture 11" hidden="1">
          <a:extLst>
            <a:ext uri="{FF2B5EF4-FFF2-40B4-BE49-F238E27FC236}">
              <a16:creationId xmlns:a16="http://schemas.microsoft.com/office/drawing/2014/main" id="{00000000-0008-0000-0000-00007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30" name="Picture 11" hidden="1">
          <a:extLst>
            <a:ext uri="{FF2B5EF4-FFF2-40B4-BE49-F238E27FC236}">
              <a16:creationId xmlns:a16="http://schemas.microsoft.com/office/drawing/2014/main" id="{00000000-0008-0000-0000-00007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32" name="Picture 11" hidden="1">
          <a:extLst>
            <a:ext uri="{FF2B5EF4-FFF2-40B4-BE49-F238E27FC236}">
              <a16:creationId xmlns:a16="http://schemas.microsoft.com/office/drawing/2014/main" id="{00000000-0008-0000-0000-00008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34" name="Picture 11" hidden="1">
          <a:extLst>
            <a:ext uri="{FF2B5EF4-FFF2-40B4-BE49-F238E27FC236}">
              <a16:creationId xmlns:a16="http://schemas.microsoft.com/office/drawing/2014/main" id="{00000000-0008-0000-0000-00008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36" name="Picture 11" hidden="1">
          <a:extLst>
            <a:ext uri="{FF2B5EF4-FFF2-40B4-BE49-F238E27FC236}">
              <a16:creationId xmlns:a16="http://schemas.microsoft.com/office/drawing/2014/main" id="{00000000-0008-0000-0000-00008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38" name="Picture 11" hidden="1">
          <a:extLst>
            <a:ext uri="{FF2B5EF4-FFF2-40B4-BE49-F238E27FC236}">
              <a16:creationId xmlns:a16="http://schemas.microsoft.com/office/drawing/2014/main" id="{00000000-0008-0000-0000-00008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40" name="Picture 11" hidden="1">
          <a:extLst>
            <a:ext uri="{FF2B5EF4-FFF2-40B4-BE49-F238E27FC236}">
              <a16:creationId xmlns:a16="http://schemas.microsoft.com/office/drawing/2014/main" id="{00000000-0008-0000-0000-00008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42" name="Picture 11" hidden="1">
          <a:extLst>
            <a:ext uri="{FF2B5EF4-FFF2-40B4-BE49-F238E27FC236}">
              <a16:creationId xmlns:a16="http://schemas.microsoft.com/office/drawing/2014/main" id="{00000000-0008-0000-0000-00008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44" name="Picture 11" hidden="1">
          <a:extLst>
            <a:ext uri="{FF2B5EF4-FFF2-40B4-BE49-F238E27FC236}">
              <a16:creationId xmlns:a16="http://schemas.microsoft.com/office/drawing/2014/main" id="{00000000-0008-0000-0000-00008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46" name="Picture 11" hidden="1">
          <a:extLst>
            <a:ext uri="{FF2B5EF4-FFF2-40B4-BE49-F238E27FC236}">
              <a16:creationId xmlns:a16="http://schemas.microsoft.com/office/drawing/2014/main" id="{00000000-0008-0000-0000-00008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48" name="Picture 11" hidden="1">
          <a:extLst>
            <a:ext uri="{FF2B5EF4-FFF2-40B4-BE49-F238E27FC236}">
              <a16:creationId xmlns:a16="http://schemas.microsoft.com/office/drawing/2014/main" id="{00000000-0008-0000-0000-00009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50" name="Picture 11" hidden="1">
          <a:extLst>
            <a:ext uri="{FF2B5EF4-FFF2-40B4-BE49-F238E27FC236}">
              <a16:creationId xmlns:a16="http://schemas.microsoft.com/office/drawing/2014/main" id="{00000000-0008-0000-0000-00009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52" name="Picture 11" hidden="1">
          <a:extLst>
            <a:ext uri="{FF2B5EF4-FFF2-40B4-BE49-F238E27FC236}">
              <a16:creationId xmlns:a16="http://schemas.microsoft.com/office/drawing/2014/main" id="{00000000-0008-0000-0000-00009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54" name="Picture 11" hidden="1">
          <a:extLst>
            <a:ext uri="{FF2B5EF4-FFF2-40B4-BE49-F238E27FC236}">
              <a16:creationId xmlns:a16="http://schemas.microsoft.com/office/drawing/2014/main" id="{00000000-0008-0000-0000-00009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56" name="Picture 11" hidden="1">
          <a:extLst>
            <a:ext uri="{FF2B5EF4-FFF2-40B4-BE49-F238E27FC236}">
              <a16:creationId xmlns:a16="http://schemas.microsoft.com/office/drawing/2014/main" id="{00000000-0008-0000-0000-00009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58" name="Picture 11" hidden="1">
          <a:extLst>
            <a:ext uri="{FF2B5EF4-FFF2-40B4-BE49-F238E27FC236}">
              <a16:creationId xmlns:a16="http://schemas.microsoft.com/office/drawing/2014/main" id="{00000000-0008-0000-0000-00009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60" name="Picture 11" hidden="1">
          <a:extLst>
            <a:ext uri="{FF2B5EF4-FFF2-40B4-BE49-F238E27FC236}">
              <a16:creationId xmlns:a16="http://schemas.microsoft.com/office/drawing/2014/main" id="{00000000-0008-0000-0000-00009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62" name="Picture 11" hidden="1">
          <a:extLst>
            <a:ext uri="{FF2B5EF4-FFF2-40B4-BE49-F238E27FC236}">
              <a16:creationId xmlns:a16="http://schemas.microsoft.com/office/drawing/2014/main" id="{00000000-0008-0000-0000-00009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64" name="Picture 11" hidden="1">
          <a:extLst>
            <a:ext uri="{FF2B5EF4-FFF2-40B4-BE49-F238E27FC236}">
              <a16:creationId xmlns:a16="http://schemas.microsoft.com/office/drawing/2014/main" id="{00000000-0008-0000-0000-0000A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66" name="Picture 11" hidden="1">
          <a:extLst>
            <a:ext uri="{FF2B5EF4-FFF2-40B4-BE49-F238E27FC236}">
              <a16:creationId xmlns:a16="http://schemas.microsoft.com/office/drawing/2014/main" id="{00000000-0008-0000-0000-0000A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68" name="Picture 11" hidden="1">
          <a:extLst>
            <a:ext uri="{FF2B5EF4-FFF2-40B4-BE49-F238E27FC236}">
              <a16:creationId xmlns:a16="http://schemas.microsoft.com/office/drawing/2014/main" id="{00000000-0008-0000-0000-0000A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70" name="Picture 11" hidden="1">
          <a:extLst>
            <a:ext uri="{FF2B5EF4-FFF2-40B4-BE49-F238E27FC236}">
              <a16:creationId xmlns:a16="http://schemas.microsoft.com/office/drawing/2014/main" id="{00000000-0008-0000-0000-0000A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72" name="Picture 11" hidden="1">
          <a:extLst>
            <a:ext uri="{FF2B5EF4-FFF2-40B4-BE49-F238E27FC236}">
              <a16:creationId xmlns:a16="http://schemas.microsoft.com/office/drawing/2014/main" id="{00000000-0008-0000-0000-0000A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74" name="Picture 11" hidden="1">
          <a:extLst>
            <a:ext uri="{FF2B5EF4-FFF2-40B4-BE49-F238E27FC236}">
              <a16:creationId xmlns:a16="http://schemas.microsoft.com/office/drawing/2014/main" id="{00000000-0008-0000-0000-0000A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76" name="Picture 11" hidden="1">
          <a:extLst>
            <a:ext uri="{FF2B5EF4-FFF2-40B4-BE49-F238E27FC236}">
              <a16:creationId xmlns:a16="http://schemas.microsoft.com/office/drawing/2014/main" id="{00000000-0008-0000-0000-0000A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78" name="Picture 11" hidden="1">
          <a:extLst>
            <a:ext uri="{FF2B5EF4-FFF2-40B4-BE49-F238E27FC236}">
              <a16:creationId xmlns:a16="http://schemas.microsoft.com/office/drawing/2014/main" id="{00000000-0008-0000-0000-0000A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80" name="Picture 11" hidden="1">
          <a:extLst>
            <a:ext uri="{FF2B5EF4-FFF2-40B4-BE49-F238E27FC236}">
              <a16:creationId xmlns:a16="http://schemas.microsoft.com/office/drawing/2014/main" id="{00000000-0008-0000-0000-0000B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82" name="Picture 11" hidden="1">
          <a:extLst>
            <a:ext uri="{FF2B5EF4-FFF2-40B4-BE49-F238E27FC236}">
              <a16:creationId xmlns:a16="http://schemas.microsoft.com/office/drawing/2014/main" id="{00000000-0008-0000-0000-0000B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84" name="Picture 11" hidden="1">
          <a:extLst>
            <a:ext uri="{FF2B5EF4-FFF2-40B4-BE49-F238E27FC236}">
              <a16:creationId xmlns:a16="http://schemas.microsoft.com/office/drawing/2014/main" id="{00000000-0008-0000-0000-0000B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86" name="Picture 11" hidden="1">
          <a:extLst>
            <a:ext uri="{FF2B5EF4-FFF2-40B4-BE49-F238E27FC236}">
              <a16:creationId xmlns:a16="http://schemas.microsoft.com/office/drawing/2014/main" id="{00000000-0008-0000-0000-0000B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88" name="Picture 11" hidden="1">
          <a:extLst>
            <a:ext uri="{FF2B5EF4-FFF2-40B4-BE49-F238E27FC236}">
              <a16:creationId xmlns:a16="http://schemas.microsoft.com/office/drawing/2014/main" id="{00000000-0008-0000-0000-0000B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90" name="Picture 11" hidden="1">
          <a:extLst>
            <a:ext uri="{FF2B5EF4-FFF2-40B4-BE49-F238E27FC236}">
              <a16:creationId xmlns:a16="http://schemas.microsoft.com/office/drawing/2014/main" id="{00000000-0008-0000-0000-0000B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92" name="Picture 11" hidden="1">
          <a:extLst>
            <a:ext uri="{FF2B5EF4-FFF2-40B4-BE49-F238E27FC236}">
              <a16:creationId xmlns:a16="http://schemas.microsoft.com/office/drawing/2014/main" id="{00000000-0008-0000-0000-0000B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94" name="Picture 11" hidden="1">
          <a:extLst>
            <a:ext uri="{FF2B5EF4-FFF2-40B4-BE49-F238E27FC236}">
              <a16:creationId xmlns:a16="http://schemas.microsoft.com/office/drawing/2014/main" id="{00000000-0008-0000-0000-0000B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96" name="Picture 11" hidden="1">
          <a:extLst>
            <a:ext uri="{FF2B5EF4-FFF2-40B4-BE49-F238E27FC236}">
              <a16:creationId xmlns:a16="http://schemas.microsoft.com/office/drawing/2014/main" id="{00000000-0008-0000-0000-0000C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98" name="Picture 2497" hidden="1">
          <a:extLst>
            <a:ext uri="{FF2B5EF4-FFF2-40B4-BE49-F238E27FC236}">
              <a16:creationId xmlns:a16="http://schemas.microsoft.com/office/drawing/2014/main" id="{00000000-0008-0000-0000-0000C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00" name="Picture 11" hidden="1">
          <a:extLst>
            <a:ext uri="{FF2B5EF4-FFF2-40B4-BE49-F238E27FC236}">
              <a16:creationId xmlns:a16="http://schemas.microsoft.com/office/drawing/2014/main" id="{00000000-0008-0000-0000-0000C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02" name="Picture 11" hidden="1">
          <a:extLst>
            <a:ext uri="{FF2B5EF4-FFF2-40B4-BE49-F238E27FC236}">
              <a16:creationId xmlns:a16="http://schemas.microsoft.com/office/drawing/2014/main" id="{00000000-0008-0000-0000-0000C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04" name="Picture 11" hidden="1">
          <a:extLst>
            <a:ext uri="{FF2B5EF4-FFF2-40B4-BE49-F238E27FC236}">
              <a16:creationId xmlns:a16="http://schemas.microsoft.com/office/drawing/2014/main" id="{00000000-0008-0000-0000-0000C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06" name="Picture 11" hidden="1">
          <a:extLst>
            <a:ext uri="{FF2B5EF4-FFF2-40B4-BE49-F238E27FC236}">
              <a16:creationId xmlns:a16="http://schemas.microsoft.com/office/drawing/2014/main" id="{00000000-0008-0000-0000-0000C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08" name="Picture 11" hidden="1">
          <a:extLst>
            <a:ext uri="{FF2B5EF4-FFF2-40B4-BE49-F238E27FC236}">
              <a16:creationId xmlns:a16="http://schemas.microsoft.com/office/drawing/2014/main" id="{00000000-0008-0000-0000-0000C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10" name="Picture 11" hidden="1">
          <a:extLst>
            <a:ext uri="{FF2B5EF4-FFF2-40B4-BE49-F238E27FC236}">
              <a16:creationId xmlns:a16="http://schemas.microsoft.com/office/drawing/2014/main" id="{00000000-0008-0000-0000-0000C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12" name="Picture 11" hidden="1">
          <a:extLst>
            <a:ext uri="{FF2B5EF4-FFF2-40B4-BE49-F238E27FC236}">
              <a16:creationId xmlns:a16="http://schemas.microsoft.com/office/drawing/2014/main" id="{00000000-0008-0000-0000-0000D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14" name="Picture 11" hidden="1">
          <a:extLst>
            <a:ext uri="{FF2B5EF4-FFF2-40B4-BE49-F238E27FC236}">
              <a16:creationId xmlns:a16="http://schemas.microsoft.com/office/drawing/2014/main" id="{00000000-0008-0000-0000-0000D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16" name="Picture 11" hidden="1">
          <a:extLst>
            <a:ext uri="{FF2B5EF4-FFF2-40B4-BE49-F238E27FC236}">
              <a16:creationId xmlns:a16="http://schemas.microsoft.com/office/drawing/2014/main" id="{00000000-0008-0000-0000-0000D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18" name="Picture 11" hidden="1">
          <a:extLst>
            <a:ext uri="{FF2B5EF4-FFF2-40B4-BE49-F238E27FC236}">
              <a16:creationId xmlns:a16="http://schemas.microsoft.com/office/drawing/2014/main" id="{00000000-0008-0000-0000-0000D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20" name="Picture 11" hidden="1">
          <a:extLst>
            <a:ext uri="{FF2B5EF4-FFF2-40B4-BE49-F238E27FC236}">
              <a16:creationId xmlns:a16="http://schemas.microsoft.com/office/drawing/2014/main" id="{00000000-0008-0000-0000-0000D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22" name="Picture 11" hidden="1">
          <a:extLst>
            <a:ext uri="{FF2B5EF4-FFF2-40B4-BE49-F238E27FC236}">
              <a16:creationId xmlns:a16="http://schemas.microsoft.com/office/drawing/2014/main" id="{00000000-0008-0000-0000-0000D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24" name="Picture 11" hidden="1">
          <a:extLst>
            <a:ext uri="{FF2B5EF4-FFF2-40B4-BE49-F238E27FC236}">
              <a16:creationId xmlns:a16="http://schemas.microsoft.com/office/drawing/2014/main" id="{00000000-0008-0000-0000-0000D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26" name="Picture 11" hidden="1">
          <a:extLst>
            <a:ext uri="{FF2B5EF4-FFF2-40B4-BE49-F238E27FC236}">
              <a16:creationId xmlns:a16="http://schemas.microsoft.com/office/drawing/2014/main" id="{00000000-0008-0000-0000-0000D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28" name="Picture 11" hidden="1">
          <a:extLst>
            <a:ext uri="{FF2B5EF4-FFF2-40B4-BE49-F238E27FC236}">
              <a16:creationId xmlns:a16="http://schemas.microsoft.com/office/drawing/2014/main" id="{00000000-0008-0000-0000-0000E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30" name="Picture 11" hidden="1">
          <a:extLst>
            <a:ext uri="{FF2B5EF4-FFF2-40B4-BE49-F238E27FC236}">
              <a16:creationId xmlns:a16="http://schemas.microsoft.com/office/drawing/2014/main" id="{00000000-0008-0000-0000-0000E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32" name="Picture 11" hidden="1">
          <a:extLst>
            <a:ext uri="{FF2B5EF4-FFF2-40B4-BE49-F238E27FC236}">
              <a16:creationId xmlns:a16="http://schemas.microsoft.com/office/drawing/2014/main" id="{00000000-0008-0000-0000-0000E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34" name="Picture 11" hidden="1">
          <a:extLst>
            <a:ext uri="{FF2B5EF4-FFF2-40B4-BE49-F238E27FC236}">
              <a16:creationId xmlns:a16="http://schemas.microsoft.com/office/drawing/2014/main" id="{00000000-0008-0000-0000-0000E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36" name="Picture 11" hidden="1">
          <a:extLst>
            <a:ext uri="{FF2B5EF4-FFF2-40B4-BE49-F238E27FC236}">
              <a16:creationId xmlns:a16="http://schemas.microsoft.com/office/drawing/2014/main" id="{00000000-0008-0000-0000-0000E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38" name="Picture 11" hidden="1">
          <a:extLst>
            <a:ext uri="{FF2B5EF4-FFF2-40B4-BE49-F238E27FC236}">
              <a16:creationId xmlns:a16="http://schemas.microsoft.com/office/drawing/2014/main" id="{00000000-0008-0000-0000-0000E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40" name="Picture 11" hidden="1">
          <a:extLst>
            <a:ext uri="{FF2B5EF4-FFF2-40B4-BE49-F238E27FC236}">
              <a16:creationId xmlns:a16="http://schemas.microsoft.com/office/drawing/2014/main" id="{00000000-0008-0000-0000-0000E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42" name="Picture 11" hidden="1">
          <a:extLst>
            <a:ext uri="{FF2B5EF4-FFF2-40B4-BE49-F238E27FC236}">
              <a16:creationId xmlns:a16="http://schemas.microsoft.com/office/drawing/2014/main" id="{00000000-0008-0000-0000-0000E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44" name="Picture 11" hidden="1">
          <a:extLst>
            <a:ext uri="{FF2B5EF4-FFF2-40B4-BE49-F238E27FC236}">
              <a16:creationId xmlns:a16="http://schemas.microsoft.com/office/drawing/2014/main" id="{00000000-0008-0000-0000-0000F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46" name="Picture 11" hidden="1">
          <a:extLst>
            <a:ext uri="{FF2B5EF4-FFF2-40B4-BE49-F238E27FC236}">
              <a16:creationId xmlns:a16="http://schemas.microsoft.com/office/drawing/2014/main" id="{00000000-0008-0000-0000-0000F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48" name="Picture 11" hidden="1">
          <a:extLst>
            <a:ext uri="{FF2B5EF4-FFF2-40B4-BE49-F238E27FC236}">
              <a16:creationId xmlns:a16="http://schemas.microsoft.com/office/drawing/2014/main" id="{00000000-0008-0000-0000-0000F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50" name="Picture 11" hidden="1">
          <a:extLst>
            <a:ext uri="{FF2B5EF4-FFF2-40B4-BE49-F238E27FC236}">
              <a16:creationId xmlns:a16="http://schemas.microsoft.com/office/drawing/2014/main" id="{00000000-0008-0000-0000-0000F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52" name="Picture 11" hidden="1">
          <a:extLst>
            <a:ext uri="{FF2B5EF4-FFF2-40B4-BE49-F238E27FC236}">
              <a16:creationId xmlns:a16="http://schemas.microsoft.com/office/drawing/2014/main" id="{00000000-0008-0000-0000-0000F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54" name="Picture 11" hidden="1">
          <a:extLst>
            <a:ext uri="{FF2B5EF4-FFF2-40B4-BE49-F238E27FC236}">
              <a16:creationId xmlns:a16="http://schemas.microsoft.com/office/drawing/2014/main" id="{00000000-0008-0000-0000-0000F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56" name="Picture 11" hidden="1">
          <a:extLst>
            <a:ext uri="{FF2B5EF4-FFF2-40B4-BE49-F238E27FC236}">
              <a16:creationId xmlns:a16="http://schemas.microsoft.com/office/drawing/2014/main" id="{00000000-0008-0000-0000-0000F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58" name="Picture 11" hidden="1">
          <a:extLst>
            <a:ext uri="{FF2B5EF4-FFF2-40B4-BE49-F238E27FC236}">
              <a16:creationId xmlns:a16="http://schemas.microsoft.com/office/drawing/2014/main" id="{00000000-0008-0000-0000-0000F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60" name="Picture 11" hidden="1">
          <a:extLst>
            <a:ext uri="{FF2B5EF4-FFF2-40B4-BE49-F238E27FC236}">
              <a16:creationId xmlns:a16="http://schemas.microsoft.com/office/drawing/2014/main" id="{00000000-0008-0000-0000-00000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62" name="Picture 11" hidden="1">
          <a:extLst>
            <a:ext uri="{FF2B5EF4-FFF2-40B4-BE49-F238E27FC236}">
              <a16:creationId xmlns:a16="http://schemas.microsoft.com/office/drawing/2014/main" id="{00000000-0008-0000-0000-00000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64" name="Picture 11" hidden="1">
          <a:extLst>
            <a:ext uri="{FF2B5EF4-FFF2-40B4-BE49-F238E27FC236}">
              <a16:creationId xmlns:a16="http://schemas.microsoft.com/office/drawing/2014/main" id="{00000000-0008-0000-0000-00000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66" name="Picture 11" hidden="1">
          <a:extLst>
            <a:ext uri="{FF2B5EF4-FFF2-40B4-BE49-F238E27FC236}">
              <a16:creationId xmlns:a16="http://schemas.microsoft.com/office/drawing/2014/main" id="{00000000-0008-0000-0000-00000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68" name="Picture 11" hidden="1">
          <a:extLst>
            <a:ext uri="{FF2B5EF4-FFF2-40B4-BE49-F238E27FC236}">
              <a16:creationId xmlns:a16="http://schemas.microsoft.com/office/drawing/2014/main" id="{00000000-0008-0000-0000-00000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70" name="Picture 11" hidden="1">
          <a:extLst>
            <a:ext uri="{FF2B5EF4-FFF2-40B4-BE49-F238E27FC236}">
              <a16:creationId xmlns:a16="http://schemas.microsoft.com/office/drawing/2014/main" id="{00000000-0008-0000-0000-00000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72" name="Picture 11" hidden="1">
          <a:extLst>
            <a:ext uri="{FF2B5EF4-FFF2-40B4-BE49-F238E27FC236}">
              <a16:creationId xmlns:a16="http://schemas.microsoft.com/office/drawing/2014/main" id="{00000000-0008-0000-0000-00000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74" name="Picture 11" hidden="1">
          <a:extLst>
            <a:ext uri="{FF2B5EF4-FFF2-40B4-BE49-F238E27FC236}">
              <a16:creationId xmlns:a16="http://schemas.microsoft.com/office/drawing/2014/main" id="{00000000-0008-0000-0000-00000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76" name="Picture 11" hidden="1">
          <a:extLst>
            <a:ext uri="{FF2B5EF4-FFF2-40B4-BE49-F238E27FC236}">
              <a16:creationId xmlns:a16="http://schemas.microsoft.com/office/drawing/2014/main" id="{00000000-0008-0000-0000-00001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78" name="Picture 11" hidden="1">
          <a:extLst>
            <a:ext uri="{FF2B5EF4-FFF2-40B4-BE49-F238E27FC236}">
              <a16:creationId xmlns:a16="http://schemas.microsoft.com/office/drawing/2014/main" id="{00000000-0008-0000-0000-00001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80" name="Picture 11" hidden="1">
          <a:extLst>
            <a:ext uri="{FF2B5EF4-FFF2-40B4-BE49-F238E27FC236}">
              <a16:creationId xmlns:a16="http://schemas.microsoft.com/office/drawing/2014/main" id="{00000000-0008-0000-0000-00001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82" name="Picture 11" hidden="1">
          <a:extLst>
            <a:ext uri="{FF2B5EF4-FFF2-40B4-BE49-F238E27FC236}">
              <a16:creationId xmlns:a16="http://schemas.microsoft.com/office/drawing/2014/main" id="{00000000-0008-0000-0000-00001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84" name="Picture 11" hidden="1">
          <a:extLst>
            <a:ext uri="{FF2B5EF4-FFF2-40B4-BE49-F238E27FC236}">
              <a16:creationId xmlns:a16="http://schemas.microsoft.com/office/drawing/2014/main" id="{00000000-0008-0000-0000-00001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86" name="Picture 11" hidden="1">
          <a:extLst>
            <a:ext uri="{FF2B5EF4-FFF2-40B4-BE49-F238E27FC236}">
              <a16:creationId xmlns:a16="http://schemas.microsoft.com/office/drawing/2014/main" id="{00000000-0008-0000-0000-00001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88" name="Picture 11" hidden="1">
          <a:extLst>
            <a:ext uri="{FF2B5EF4-FFF2-40B4-BE49-F238E27FC236}">
              <a16:creationId xmlns:a16="http://schemas.microsoft.com/office/drawing/2014/main" id="{00000000-0008-0000-0000-00001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90" name="Picture 11" hidden="1">
          <a:extLst>
            <a:ext uri="{FF2B5EF4-FFF2-40B4-BE49-F238E27FC236}">
              <a16:creationId xmlns:a16="http://schemas.microsoft.com/office/drawing/2014/main" id="{00000000-0008-0000-0000-00001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92" name="Picture 11" hidden="1">
          <a:extLst>
            <a:ext uri="{FF2B5EF4-FFF2-40B4-BE49-F238E27FC236}">
              <a16:creationId xmlns:a16="http://schemas.microsoft.com/office/drawing/2014/main" id="{00000000-0008-0000-0000-00002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94" name="Picture 11" hidden="1">
          <a:extLst>
            <a:ext uri="{FF2B5EF4-FFF2-40B4-BE49-F238E27FC236}">
              <a16:creationId xmlns:a16="http://schemas.microsoft.com/office/drawing/2014/main" id="{00000000-0008-0000-0000-00002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96" name="Picture 11" hidden="1">
          <a:extLst>
            <a:ext uri="{FF2B5EF4-FFF2-40B4-BE49-F238E27FC236}">
              <a16:creationId xmlns:a16="http://schemas.microsoft.com/office/drawing/2014/main" id="{00000000-0008-0000-0000-00002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98" name="Picture 11" hidden="1">
          <a:extLst>
            <a:ext uri="{FF2B5EF4-FFF2-40B4-BE49-F238E27FC236}">
              <a16:creationId xmlns:a16="http://schemas.microsoft.com/office/drawing/2014/main" id="{00000000-0008-0000-0000-00002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00" name="Picture 11" hidden="1">
          <a:extLst>
            <a:ext uri="{FF2B5EF4-FFF2-40B4-BE49-F238E27FC236}">
              <a16:creationId xmlns:a16="http://schemas.microsoft.com/office/drawing/2014/main" id="{00000000-0008-0000-0000-00002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02" name="Picture 11" hidden="1">
          <a:extLst>
            <a:ext uri="{FF2B5EF4-FFF2-40B4-BE49-F238E27FC236}">
              <a16:creationId xmlns:a16="http://schemas.microsoft.com/office/drawing/2014/main" id="{00000000-0008-0000-0000-00002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04" name="Picture 11" hidden="1">
          <a:extLst>
            <a:ext uri="{FF2B5EF4-FFF2-40B4-BE49-F238E27FC236}">
              <a16:creationId xmlns:a16="http://schemas.microsoft.com/office/drawing/2014/main" id="{00000000-0008-0000-0000-00002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06" name="Picture 2605" hidden="1">
          <a:extLst>
            <a:ext uri="{FF2B5EF4-FFF2-40B4-BE49-F238E27FC236}">
              <a16:creationId xmlns:a16="http://schemas.microsoft.com/office/drawing/2014/main" id="{00000000-0008-0000-0000-00002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08" name="Picture 11" hidden="1">
          <a:extLst>
            <a:ext uri="{FF2B5EF4-FFF2-40B4-BE49-F238E27FC236}">
              <a16:creationId xmlns:a16="http://schemas.microsoft.com/office/drawing/2014/main" id="{00000000-0008-0000-0000-00003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10" name="Picture 11" hidden="1">
          <a:extLst>
            <a:ext uri="{FF2B5EF4-FFF2-40B4-BE49-F238E27FC236}">
              <a16:creationId xmlns:a16="http://schemas.microsoft.com/office/drawing/2014/main" id="{00000000-0008-0000-0000-00003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12" name="Picture 11" hidden="1">
          <a:extLst>
            <a:ext uri="{FF2B5EF4-FFF2-40B4-BE49-F238E27FC236}">
              <a16:creationId xmlns:a16="http://schemas.microsoft.com/office/drawing/2014/main" id="{00000000-0008-0000-0000-00003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14" name="Picture 11" hidden="1">
          <a:extLst>
            <a:ext uri="{FF2B5EF4-FFF2-40B4-BE49-F238E27FC236}">
              <a16:creationId xmlns:a16="http://schemas.microsoft.com/office/drawing/2014/main" id="{00000000-0008-0000-0000-00003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16" name="Picture 11" hidden="1">
          <a:extLst>
            <a:ext uri="{FF2B5EF4-FFF2-40B4-BE49-F238E27FC236}">
              <a16:creationId xmlns:a16="http://schemas.microsoft.com/office/drawing/2014/main" id="{00000000-0008-0000-0000-00003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18" name="Picture 11" hidden="1">
          <a:extLst>
            <a:ext uri="{FF2B5EF4-FFF2-40B4-BE49-F238E27FC236}">
              <a16:creationId xmlns:a16="http://schemas.microsoft.com/office/drawing/2014/main" id="{00000000-0008-0000-0000-00003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20" name="Picture 11" hidden="1">
          <a:extLst>
            <a:ext uri="{FF2B5EF4-FFF2-40B4-BE49-F238E27FC236}">
              <a16:creationId xmlns:a16="http://schemas.microsoft.com/office/drawing/2014/main" id="{00000000-0008-0000-0000-00003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22" name="Picture 11" hidden="1">
          <a:extLst>
            <a:ext uri="{FF2B5EF4-FFF2-40B4-BE49-F238E27FC236}">
              <a16:creationId xmlns:a16="http://schemas.microsoft.com/office/drawing/2014/main" id="{00000000-0008-0000-0000-00003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24" name="Picture 11" hidden="1">
          <a:extLst>
            <a:ext uri="{FF2B5EF4-FFF2-40B4-BE49-F238E27FC236}">
              <a16:creationId xmlns:a16="http://schemas.microsoft.com/office/drawing/2014/main" id="{00000000-0008-0000-0000-00004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26" name="Picture 11" hidden="1">
          <a:extLst>
            <a:ext uri="{FF2B5EF4-FFF2-40B4-BE49-F238E27FC236}">
              <a16:creationId xmlns:a16="http://schemas.microsoft.com/office/drawing/2014/main" id="{00000000-0008-0000-0000-00004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28" name="Picture 11" hidden="1">
          <a:extLst>
            <a:ext uri="{FF2B5EF4-FFF2-40B4-BE49-F238E27FC236}">
              <a16:creationId xmlns:a16="http://schemas.microsoft.com/office/drawing/2014/main" id="{00000000-0008-0000-0000-00004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30" name="Picture 11" hidden="1">
          <a:extLst>
            <a:ext uri="{FF2B5EF4-FFF2-40B4-BE49-F238E27FC236}">
              <a16:creationId xmlns:a16="http://schemas.microsoft.com/office/drawing/2014/main" id="{00000000-0008-0000-0000-00004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32" name="Picture 11" hidden="1">
          <a:extLst>
            <a:ext uri="{FF2B5EF4-FFF2-40B4-BE49-F238E27FC236}">
              <a16:creationId xmlns:a16="http://schemas.microsoft.com/office/drawing/2014/main" id="{00000000-0008-0000-0000-00004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34" name="Picture 11" hidden="1">
          <a:extLst>
            <a:ext uri="{FF2B5EF4-FFF2-40B4-BE49-F238E27FC236}">
              <a16:creationId xmlns:a16="http://schemas.microsoft.com/office/drawing/2014/main" id="{00000000-0008-0000-0000-00004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36" name="Picture 11" hidden="1">
          <a:extLst>
            <a:ext uri="{FF2B5EF4-FFF2-40B4-BE49-F238E27FC236}">
              <a16:creationId xmlns:a16="http://schemas.microsoft.com/office/drawing/2014/main" id="{00000000-0008-0000-0000-00004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38" name="Picture 11" hidden="1">
          <a:extLst>
            <a:ext uri="{FF2B5EF4-FFF2-40B4-BE49-F238E27FC236}">
              <a16:creationId xmlns:a16="http://schemas.microsoft.com/office/drawing/2014/main" id="{00000000-0008-0000-0000-00004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40" name="Picture 11" hidden="1">
          <a:extLst>
            <a:ext uri="{FF2B5EF4-FFF2-40B4-BE49-F238E27FC236}">
              <a16:creationId xmlns:a16="http://schemas.microsoft.com/office/drawing/2014/main" id="{00000000-0008-0000-0000-00005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42" name="Picture 11" hidden="1">
          <a:extLst>
            <a:ext uri="{FF2B5EF4-FFF2-40B4-BE49-F238E27FC236}">
              <a16:creationId xmlns:a16="http://schemas.microsoft.com/office/drawing/2014/main" id="{00000000-0008-0000-0000-00005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44" name="Picture 11" hidden="1">
          <a:extLst>
            <a:ext uri="{FF2B5EF4-FFF2-40B4-BE49-F238E27FC236}">
              <a16:creationId xmlns:a16="http://schemas.microsoft.com/office/drawing/2014/main" id="{00000000-0008-0000-0000-00005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46" name="Picture 11" hidden="1">
          <a:extLst>
            <a:ext uri="{FF2B5EF4-FFF2-40B4-BE49-F238E27FC236}">
              <a16:creationId xmlns:a16="http://schemas.microsoft.com/office/drawing/2014/main" id="{00000000-0008-0000-0000-00005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48" name="Picture 11" hidden="1">
          <a:extLst>
            <a:ext uri="{FF2B5EF4-FFF2-40B4-BE49-F238E27FC236}">
              <a16:creationId xmlns:a16="http://schemas.microsoft.com/office/drawing/2014/main" id="{00000000-0008-0000-0000-00005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50" name="Picture 11" hidden="1">
          <a:extLst>
            <a:ext uri="{FF2B5EF4-FFF2-40B4-BE49-F238E27FC236}">
              <a16:creationId xmlns:a16="http://schemas.microsoft.com/office/drawing/2014/main" id="{00000000-0008-0000-0000-00005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52" name="Picture 11" hidden="1">
          <a:extLst>
            <a:ext uri="{FF2B5EF4-FFF2-40B4-BE49-F238E27FC236}">
              <a16:creationId xmlns:a16="http://schemas.microsoft.com/office/drawing/2014/main" id="{00000000-0008-0000-0000-00005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54" name="Picture 11" hidden="1">
          <a:extLst>
            <a:ext uri="{FF2B5EF4-FFF2-40B4-BE49-F238E27FC236}">
              <a16:creationId xmlns:a16="http://schemas.microsoft.com/office/drawing/2014/main" id="{00000000-0008-0000-0000-00005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56" name="Picture 11" hidden="1">
          <a:extLst>
            <a:ext uri="{FF2B5EF4-FFF2-40B4-BE49-F238E27FC236}">
              <a16:creationId xmlns:a16="http://schemas.microsoft.com/office/drawing/2014/main" id="{00000000-0008-0000-0000-00006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58" name="Picture 11" hidden="1">
          <a:extLst>
            <a:ext uri="{FF2B5EF4-FFF2-40B4-BE49-F238E27FC236}">
              <a16:creationId xmlns:a16="http://schemas.microsoft.com/office/drawing/2014/main" id="{00000000-0008-0000-0000-00006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60" name="Picture 11" hidden="1">
          <a:extLst>
            <a:ext uri="{FF2B5EF4-FFF2-40B4-BE49-F238E27FC236}">
              <a16:creationId xmlns:a16="http://schemas.microsoft.com/office/drawing/2014/main" id="{00000000-0008-0000-0000-00006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62" name="Picture 11" hidden="1">
          <a:extLst>
            <a:ext uri="{FF2B5EF4-FFF2-40B4-BE49-F238E27FC236}">
              <a16:creationId xmlns:a16="http://schemas.microsoft.com/office/drawing/2014/main" id="{00000000-0008-0000-0000-00006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64" name="Picture 11" hidden="1">
          <a:extLst>
            <a:ext uri="{FF2B5EF4-FFF2-40B4-BE49-F238E27FC236}">
              <a16:creationId xmlns:a16="http://schemas.microsoft.com/office/drawing/2014/main" id="{00000000-0008-0000-0000-00006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66" name="Picture 11" hidden="1">
          <a:extLst>
            <a:ext uri="{FF2B5EF4-FFF2-40B4-BE49-F238E27FC236}">
              <a16:creationId xmlns:a16="http://schemas.microsoft.com/office/drawing/2014/main" id="{00000000-0008-0000-0000-00006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68" name="Picture 11" hidden="1">
          <a:extLst>
            <a:ext uri="{FF2B5EF4-FFF2-40B4-BE49-F238E27FC236}">
              <a16:creationId xmlns:a16="http://schemas.microsoft.com/office/drawing/2014/main" id="{00000000-0008-0000-0000-00006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70" name="Picture 11" hidden="1">
          <a:extLst>
            <a:ext uri="{FF2B5EF4-FFF2-40B4-BE49-F238E27FC236}">
              <a16:creationId xmlns:a16="http://schemas.microsoft.com/office/drawing/2014/main" id="{00000000-0008-0000-0000-00006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72" name="Picture 11" hidden="1">
          <a:extLst>
            <a:ext uri="{FF2B5EF4-FFF2-40B4-BE49-F238E27FC236}">
              <a16:creationId xmlns:a16="http://schemas.microsoft.com/office/drawing/2014/main" id="{00000000-0008-0000-0000-00007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74" name="Picture 11" hidden="1">
          <a:extLst>
            <a:ext uri="{FF2B5EF4-FFF2-40B4-BE49-F238E27FC236}">
              <a16:creationId xmlns:a16="http://schemas.microsoft.com/office/drawing/2014/main" id="{00000000-0008-0000-0000-00007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76" name="Picture 11" hidden="1">
          <a:extLst>
            <a:ext uri="{FF2B5EF4-FFF2-40B4-BE49-F238E27FC236}">
              <a16:creationId xmlns:a16="http://schemas.microsoft.com/office/drawing/2014/main" id="{00000000-0008-0000-0000-00007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78" name="Picture 11" hidden="1">
          <a:extLst>
            <a:ext uri="{FF2B5EF4-FFF2-40B4-BE49-F238E27FC236}">
              <a16:creationId xmlns:a16="http://schemas.microsoft.com/office/drawing/2014/main" id="{00000000-0008-0000-0000-00007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80" name="Picture 11" hidden="1">
          <a:extLst>
            <a:ext uri="{FF2B5EF4-FFF2-40B4-BE49-F238E27FC236}">
              <a16:creationId xmlns:a16="http://schemas.microsoft.com/office/drawing/2014/main" id="{00000000-0008-0000-0000-00007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82" name="Picture 11" hidden="1">
          <a:extLst>
            <a:ext uri="{FF2B5EF4-FFF2-40B4-BE49-F238E27FC236}">
              <a16:creationId xmlns:a16="http://schemas.microsoft.com/office/drawing/2014/main" id="{00000000-0008-0000-0000-00007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84" name="Picture 11" hidden="1">
          <a:extLst>
            <a:ext uri="{FF2B5EF4-FFF2-40B4-BE49-F238E27FC236}">
              <a16:creationId xmlns:a16="http://schemas.microsoft.com/office/drawing/2014/main" id="{00000000-0008-0000-0000-00007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86" name="Picture 11" hidden="1">
          <a:extLst>
            <a:ext uri="{FF2B5EF4-FFF2-40B4-BE49-F238E27FC236}">
              <a16:creationId xmlns:a16="http://schemas.microsoft.com/office/drawing/2014/main" id="{00000000-0008-0000-0000-00007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88" name="Picture 11" hidden="1">
          <a:extLst>
            <a:ext uri="{FF2B5EF4-FFF2-40B4-BE49-F238E27FC236}">
              <a16:creationId xmlns:a16="http://schemas.microsoft.com/office/drawing/2014/main" id="{00000000-0008-0000-0000-00008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90" name="Picture 11" hidden="1">
          <a:extLst>
            <a:ext uri="{FF2B5EF4-FFF2-40B4-BE49-F238E27FC236}">
              <a16:creationId xmlns:a16="http://schemas.microsoft.com/office/drawing/2014/main" id="{00000000-0008-0000-0000-00008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92" name="Picture 11" hidden="1">
          <a:extLst>
            <a:ext uri="{FF2B5EF4-FFF2-40B4-BE49-F238E27FC236}">
              <a16:creationId xmlns:a16="http://schemas.microsoft.com/office/drawing/2014/main" id="{00000000-0008-0000-0000-00008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94" name="Picture 11" hidden="1">
          <a:extLst>
            <a:ext uri="{FF2B5EF4-FFF2-40B4-BE49-F238E27FC236}">
              <a16:creationId xmlns:a16="http://schemas.microsoft.com/office/drawing/2014/main" id="{00000000-0008-0000-0000-00008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96" name="Picture 11" hidden="1">
          <a:extLst>
            <a:ext uri="{FF2B5EF4-FFF2-40B4-BE49-F238E27FC236}">
              <a16:creationId xmlns:a16="http://schemas.microsoft.com/office/drawing/2014/main" id="{00000000-0008-0000-0000-00008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98" name="Picture 11" hidden="1">
          <a:extLst>
            <a:ext uri="{FF2B5EF4-FFF2-40B4-BE49-F238E27FC236}">
              <a16:creationId xmlns:a16="http://schemas.microsoft.com/office/drawing/2014/main" id="{00000000-0008-0000-0000-00008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00" name="Picture 11" hidden="1">
          <a:extLst>
            <a:ext uri="{FF2B5EF4-FFF2-40B4-BE49-F238E27FC236}">
              <a16:creationId xmlns:a16="http://schemas.microsoft.com/office/drawing/2014/main" id="{00000000-0008-0000-0000-00008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02" name="Picture 11" hidden="1">
          <a:extLst>
            <a:ext uri="{FF2B5EF4-FFF2-40B4-BE49-F238E27FC236}">
              <a16:creationId xmlns:a16="http://schemas.microsoft.com/office/drawing/2014/main" id="{00000000-0008-0000-0000-00008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04" name="Picture 11" hidden="1">
          <a:extLst>
            <a:ext uri="{FF2B5EF4-FFF2-40B4-BE49-F238E27FC236}">
              <a16:creationId xmlns:a16="http://schemas.microsoft.com/office/drawing/2014/main" id="{00000000-0008-0000-0000-00009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06" name="Picture 11" hidden="1">
          <a:extLst>
            <a:ext uri="{FF2B5EF4-FFF2-40B4-BE49-F238E27FC236}">
              <a16:creationId xmlns:a16="http://schemas.microsoft.com/office/drawing/2014/main" id="{00000000-0008-0000-0000-00009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08" name="Picture 11" hidden="1">
          <a:extLst>
            <a:ext uri="{FF2B5EF4-FFF2-40B4-BE49-F238E27FC236}">
              <a16:creationId xmlns:a16="http://schemas.microsoft.com/office/drawing/2014/main" id="{00000000-0008-0000-0000-00009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10" name="Picture 11" hidden="1">
          <a:extLst>
            <a:ext uri="{FF2B5EF4-FFF2-40B4-BE49-F238E27FC236}">
              <a16:creationId xmlns:a16="http://schemas.microsoft.com/office/drawing/2014/main" id="{00000000-0008-0000-0000-00009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12" name="Picture 11" hidden="1">
          <a:extLst>
            <a:ext uri="{FF2B5EF4-FFF2-40B4-BE49-F238E27FC236}">
              <a16:creationId xmlns:a16="http://schemas.microsoft.com/office/drawing/2014/main" id="{00000000-0008-0000-0000-00009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14" name="Picture 2713" hidden="1">
          <a:extLst>
            <a:ext uri="{FF2B5EF4-FFF2-40B4-BE49-F238E27FC236}">
              <a16:creationId xmlns:a16="http://schemas.microsoft.com/office/drawing/2014/main" id="{00000000-0008-0000-0000-00009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16" name="Picture 11" hidden="1">
          <a:extLst>
            <a:ext uri="{FF2B5EF4-FFF2-40B4-BE49-F238E27FC236}">
              <a16:creationId xmlns:a16="http://schemas.microsoft.com/office/drawing/2014/main" id="{00000000-0008-0000-0000-00009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18" name="Picture 11" hidden="1">
          <a:extLst>
            <a:ext uri="{FF2B5EF4-FFF2-40B4-BE49-F238E27FC236}">
              <a16:creationId xmlns:a16="http://schemas.microsoft.com/office/drawing/2014/main" id="{00000000-0008-0000-0000-00009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20" name="Picture 11" hidden="1">
          <a:extLst>
            <a:ext uri="{FF2B5EF4-FFF2-40B4-BE49-F238E27FC236}">
              <a16:creationId xmlns:a16="http://schemas.microsoft.com/office/drawing/2014/main" id="{00000000-0008-0000-0000-0000A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22" name="Picture 11" hidden="1">
          <a:extLst>
            <a:ext uri="{FF2B5EF4-FFF2-40B4-BE49-F238E27FC236}">
              <a16:creationId xmlns:a16="http://schemas.microsoft.com/office/drawing/2014/main" id="{00000000-0008-0000-0000-0000A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24" name="Picture 11" hidden="1">
          <a:extLst>
            <a:ext uri="{FF2B5EF4-FFF2-40B4-BE49-F238E27FC236}">
              <a16:creationId xmlns:a16="http://schemas.microsoft.com/office/drawing/2014/main" id="{00000000-0008-0000-0000-0000A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26" name="Picture 11" hidden="1">
          <a:extLst>
            <a:ext uri="{FF2B5EF4-FFF2-40B4-BE49-F238E27FC236}">
              <a16:creationId xmlns:a16="http://schemas.microsoft.com/office/drawing/2014/main" id="{00000000-0008-0000-0000-0000A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28" name="Picture 11" hidden="1">
          <a:extLst>
            <a:ext uri="{FF2B5EF4-FFF2-40B4-BE49-F238E27FC236}">
              <a16:creationId xmlns:a16="http://schemas.microsoft.com/office/drawing/2014/main" id="{00000000-0008-0000-0000-0000A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30" name="Picture 11" hidden="1">
          <a:extLst>
            <a:ext uri="{FF2B5EF4-FFF2-40B4-BE49-F238E27FC236}">
              <a16:creationId xmlns:a16="http://schemas.microsoft.com/office/drawing/2014/main" id="{00000000-0008-0000-0000-0000A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32" name="Picture 11" hidden="1">
          <a:extLst>
            <a:ext uri="{FF2B5EF4-FFF2-40B4-BE49-F238E27FC236}">
              <a16:creationId xmlns:a16="http://schemas.microsoft.com/office/drawing/2014/main" id="{00000000-0008-0000-0000-0000A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34" name="Picture 11" hidden="1">
          <a:extLst>
            <a:ext uri="{FF2B5EF4-FFF2-40B4-BE49-F238E27FC236}">
              <a16:creationId xmlns:a16="http://schemas.microsoft.com/office/drawing/2014/main" id="{00000000-0008-0000-0000-0000A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36" name="Picture 11" hidden="1">
          <a:extLst>
            <a:ext uri="{FF2B5EF4-FFF2-40B4-BE49-F238E27FC236}">
              <a16:creationId xmlns:a16="http://schemas.microsoft.com/office/drawing/2014/main" id="{00000000-0008-0000-0000-0000B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38" name="Picture 11" hidden="1">
          <a:extLst>
            <a:ext uri="{FF2B5EF4-FFF2-40B4-BE49-F238E27FC236}">
              <a16:creationId xmlns:a16="http://schemas.microsoft.com/office/drawing/2014/main" id="{00000000-0008-0000-0000-0000B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40" name="Picture 11" hidden="1">
          <a:extLst>
            <a:ext uri="{FF2B5EF4-FFF2-40B4-BE49-F238E27FC236}">
              <a16:creationId xmlns:a16="http://schemas.microsoft.com/office/drawing/2014/main" id="{00000000-0008-0000-0000-0000B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42" name="Picture 11" hidden="1">
          <a:extLst>
            <a:ext uri="{FF2B5EF4-FFF2-40B4-BE49-F238E27FC236}">
              <a16:creationId xmlns:a16="http://schemas.microsoft.com/office/drawing/2014/main" id="{00000000-0008-0000-0000-0000B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44" name="Picture 11" hidden="1">
          <a:extLst>
            <a:ext uri="{FF2B5EF4-FFF2-40B4-BE49-F238E27FC236}">
              <a16:creationId xmlns:a16="http://schemas.microsoft.com/office/drawing/2014/main" id="{00000000-0008-0000-0000-0000B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46" name="Picture 11" hidden="1">
          <a:extLst>
            <a:ext uri="{FF2B5EF4-FFF2-40B4-BE49-F238E27FC236}">
              <a16:creationId xmlns:a16="http://schemas.microsoft.com/office/drawing/2014/main" id="{00000000-0008-0000-0000-0000B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48" name="Picture 11" hidden="1">
          <a:extLst>
            <a:ext uri="{FF2B5EF4-FFF2-40B4-BE49-F238E27FC236}">
              <a16:creationId xmlns:a16="http://schemas.microsoft.com/office/drawing/2014/main" id="{00000000-0008-0000-0000-0000B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50" name="Picture 11" hidden="1">
          <a:extLst>
            <a:ext uri="{FF2B5EF4-FFF2-40B4-BE49-F238E27FC236}">
              <a16:creationId xmlns:a16="http://schemas.microsoft.com/office/drawing/2014/main" id="{00000000-0008-0000-0000-0000B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52" name="Picture 11" hidden="1">
          <a:extLst>
            <a:ext uri="{FF2B5EF4-FFF2-40B4-BE49-F238E27FC236}">
              <a16:creationId xmlns:a16="http://schemas.microsoft.com/office/drawing/2014/main" id="{00000000-0008-0000-0000-0000C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54" name="Picture 11" hidden="1">
          <a:extLst>
            <a:ext uri="{FF2B5EF4-FFF2-40B4-BE49-F238E27FC236}">
              <a16:creationId xmlns:a16="http://schemas.microsoft.com/office/drawing/2014/main" id="{00000000-0008-0000-0000-0000C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56" name="Picture 11" hidden="1">
          <a:extLst>
            <a:ext uri="{FF2B5EF4-FFF2-40B4-BE49-F238E27FC236}">
              <a16:creationId xmlns:a16="http://schemas.microsoft.com/office/drawing/2014/main" id="{00000000-0008-0000-0000-0000C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58" name="Picture 11" hidden="1">
          <a:extLst>
            <a:ext uri="{FF2B5EF4-FFF2-40B4-BE49-F238E27FC236}">
              <a16:creationId xmlns:a16="http://schemas.microsoft.com/office/drawing/2014/main" id="{00000000-0008-0000-0000-0000C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60" name="Picture 11" hidden="1">
          <a:extLst>
            <a:ext uri="{FF2B5EF4-FFF2-40B4-BE49-F238E27FC236}">
              <a16:creationId xmlns:a16="http://schemas.microsoft.com/office/drawing/2014/main" id="{00000000-0008-0000-0000-0000C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62" name="Picture 11" hidden="1">
          <a:extLst>
            <a:ext uri="{FF2B5EF4-FFF2-40B4-BE49-F238E27FC236}">
              <a16:creationId xmlns:a16="http://schemas.microsoft.com/office/drawing/2014/main" id="{00000000-0008-0000-0000-0000C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64" name="Picture 11" hidden="1">
          <a:extLst>
            <a:ext uri="{FF2B5EF4-FFF2-40B4-BE49-F238E27FC236}">
              <a16:creationId xmlns:a16="http://schemas.microsoft.com/office/drawing/2014/main" id="{00000000-0008-0000-0000-0000C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66" name="Picture 11" hidden="1">
          <a:extLst>
            <a:ext uri="{FF2B5EF4-FFF2-40B4-BE49-F238E27FC236}">
              <a16:creationId xmlns:a16="http://schemas.microsoft.com/office/drawing/2014/main" id="{00000000-0008-0000-0000-0000C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68" name="Picture 11" hidden="1">
          <a:extLst>
            <a:ext uri="{FF2B5EF4-FFF2-40B4-BE49-F238E27FC236}">
              <a16:creationId xmlns:a16="http://schemas.microsoft.com/office/drawing/2014/main" id="{00000000-0008-0000-0000-0000D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70" name="Picture 11" hidden="1">
          <a:extLst>
            <a:ext uri="{FF2B5EF4-FFF2-40B4-BE49-F238E27FC236}">
              <a16:creationId xmlns:a16="http://schemas.microsoft.com/office/drawing/2014/main" id="{00000000-0008-0000-0000-0000D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72" name="Picture 11" hidden="1">
          <a:extLst>
            <a:ext uri="{FF2B5EF4-FFF2-40B4-BE49-F238E27FC236}">
              <a16:creationId xmlns:a16="http://schemas.microsoft.com/office/drawing/2014/main" id="{00000000-0008-0000-0000-0000D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74" name="Picture 11" hidden="1">
          <a:extLst>
            <a:ext uri="{FF2B5EF4-FFF2-40B4-BE49-F238E27FC236}">
              <a16:creationId xmlns:a16="http://schemas.microsoft.com/office/drawing/2014/main" id="{00000000-0008-0000-0000-0000D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76" name="Picture 11" hidden="1">
          <a:extLst>
            <a:ext uri="{FF2B5EF4-FFF2-40B4-BE49-F238E27FC236}">
              <a16:creationId xmlns:a16="http://schemas.microsoft.com/office/drawing/2014/main" id="{00000000-0008-0000-0000-0000D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78" name="Picture 11" hidden="1">
          <a:extLst>
            <a:ext uri="{FF2B5EF4-FFF2-40B4-BE49-F238E27FC236}">
              <a16:creationId xmlns:a16="http://schemas.microsoft.com/office/drawing/2014/main" id="{00000000-0008-0000-0000-0000D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80" name="Picture 11" hidden="1">
          <a:extLst>
            <a:ext uri="{FF2B5EF4-FFF2-40B4-BE49-F238E27FC236}">
              <a16:creationId xmlns:a16="http://schemas.microsoft.com/office/drawing/2014/main" id="{00000000-0008-0000-0000-0000D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82" name="Picture 11" hidden="1">
          <a:extLst>
            <a:ext uri="{FF2B5EF4-FFF2-40B4-BE49-F238E27FC236}">
              <a16:creationId xmlns:a16="http://schemas.microsoft.com/office/drawing/2014/main" id="{00000000-0008-0000-0000-0000D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84" name="Picture 11" hidden="1">
          <a:extLst>
            <a:ext uri="{FF2B5EF4-FFF2-40B4-BE49-F238E27FC236}">
              <a16:creationId xmlns:a16="http://schemas.microsoft.com/office/drawing/2014/main" id="{00000000-0008-0000-0000-0000E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86" name="Picture 11" hidden="1">
          <a:extLst>
            <a:ext uri="{FF2B5EF4-FFF2-40B4-BE49-F238E27FC236}">
              <a16:creationId xmlns:a16="http://schemas.microsoft.com/office/drawing/2014/main" id="{00000000-0008-0000-0000-0000E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88" name="Picture 11" hidden="1">
          <a:extLst>
            <a:ext uri="{FF2B5EF4-FFF2-40B4-BE49-F238E27FC236}">
              <a16:creationId xmlns:a16="http://schemas.microsoft.com/office/drawing/2014/main" id="{00000000-0008-0000-0000-0000E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90" name="Picture 11" hidden="1">
          <a:extLst>
            <a:ext uri="{FF2B5EF4-FFF2-40B4-BE49-F238E27FC236}">
              <a16:creationId xmlns:a16="http://schemas.microsoft.com/office/drawing/2014/main" id="{00000000-0008-0000-0000-0000E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92" name="Picture 11" hidden="1">
          <a:extLst>
            <a:ext uri="{FF2B5EF4-FFF2-40B4-BE49-F238E27FC236}">
              <a16:creationId xmlns:a16="http://schemas.microsoft.com/office/drawing/2014/main" id="{00000000-0008-0000-0000-0000E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94" name="Picture 11" hidden="1">
          <a:extLst>
            <a:ext uri="{FF2B5EF4-FFF2-40B4-BE49-F238E27FC236}">
              <a16:creationId xmlns:a16="http://schemas.microsoft.com/office/drawing/2014/main" id="{00000000-0008-0000-0000-0000E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96" name="Picture 11" hidden="1">
          <a:extLst>
            <a:ext uri="{FF2B5EF4-FFF2-40B4-BE49-F238E27FC236}">
              <a16:creationId xmlns:a16="http://schemas.microsoft.com/office/drawing/2014/main" id="{00000000-0008-0000-0000-0000E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98" name="Picture 11" hidden="1">
          <a:extLst>
            <a:ext uri="{FF2B5EF4-FFF2-40B4-BE49-F238E27FC236}">
              <a16:creationId xmlns:a16="http://schemas.microsoft.com/office/drawing/2014/main" id="{00000000-0008-0000-0000-0000E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00" name="Picture 11" hidden="1">
          <a:extLst>
            <a:ext uri="{FF2B5EF4-FFF2-40B4-BE49-F238E27FC236}">
              <a16:creationId xmlns:a16="http://schemas.microsoft.com/office/drawing/2014/main" id="{00000000-0008-0000-0000-0000F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02" name="Picture 11" hidden="1">
          <a:extLst>
            <a:ext uri="{FF2B5EF4-FFF2-40B4-BE49-F238E27FC236}">
              <a16:creationId xmlns:a16="http://schemas.microsoft.com/office/drawing/2014/main" id="{00000000-0008-0000-0000-0000F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04" name="Picture 11" hidden="1">
          <a:extLst>
            <a:ext uri="{FF2B5EF4-FFF2-40B4-BE49-F238E27FC236}">
              <a16:creationId xmlns:a16="http://schemas.microsoft.com/office/drawing/2014/main" id="{00000000-0008-0000-0000-0000F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06" name="Picture 11" hidden="1">
          <a:extLst>
            <a:ext uri="{FF2B5EF4-FFF2-40B4-BE49-F238E27FC236}">
              <a16:creationId xmlns:a16="http://schemas.microsoft.com/office/drawing/2014/main" id="{00000000-0008-0000-0000-0000F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08" name="Picture 11" hidden="1">
          <a:extLst>
            <a:ext uri="{FF2B5EF4-FFF2-40B4-BE49-F238E27FC236}">
              <a16:creationId xmlns:a16="http://schemas.microsoft.com/office/drawing/2014/main" id="{00000000-0008-0000-0000-0000F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10" name="Picture 11" hidden="1">
          <a:extLst>
            <a:ext uri="{FF2B5EF4-FFF2-40B4-BE49-F238E27FC236}">
              <a16:creationId xmlns:a16="http://schemas.microsoft.com/office/drawing/2014/main" id="{00000000-0008-0000-0000-0000F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12" name="Picture 11" hidden="1">
          <a:extLst>
            <a:ext uri="{FF2B5EF4-FFF2-40B4-BE49-F238E27FC236}">
              <a16:creationId xmlns:a16="http://schemas.microsoft.com/office/drawing/2014/main" id="{00000000-0008-0000-0000-0000F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2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A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2814" name="Picture 11" hidden="1">
          <a:extLst>
            <a:ext uri="{FF2B5EF4-FFF2-40B4-BE49-F238E27FC236}">
              <a16:creationId xmlns:a16="http://schemas.microsoft.com/office/drawing/2014/main" id="{00000000-0008-0000-0000-0000F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16" name="Picture 11" hidden="1">
          <a:extLst>
            <a:ext uri="{FF2B5EF4-FFF2-40B4-BE49-F238E27FC236}">
              <a16:creationId xmlns:a16="http://schemas.microsoft.com/office/drawing/2014/main" id="{00000000-0008-0000-0000-00000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18" name="Picture 11" hidden="1">
          <a:extLst>
            <a:ext uri="{FF2B5EF4-FFF2-40B4-BE49-F238E27FC236}">
              <a16:creationId xmlns:a16="http://schemas.microsoft.com/office/drawing/2014/main" id="{00000000-0008-0000-0000-00000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20" name="Picture 11" hidden="1">
          <a:extLst>
            <a:ext uri="{FF2B5EF4-FFF2-40B4-BE49-F238E27FC236}">
              <a16:creationId xmlns:a16="http://schemas.microsoft.com/office/drawing/2014/main" id="{00000000-0008-0000-0000-00000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22" name="Picture 2821" hidden="1">
          <a:extLst>
            <a:ext uri="{FF2B5EF4-FFF2-40B4-BE49-F238E27FC236}">
              <a16:creationId xmlns:a16="http://schemas.microsoft.com/office/drawing/2014/main" id="{00000000-0008-0000-0000-00000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24" name="Picture 11" hidden="1">
          <a:extLst>
            <a:ext uri="{FF2B5EF4-FFF2-40B4-BE49-F238E27FC236}">
              <a16:creationId xmlns:a16="http://schemas.microsoft.com/office/drawing/2014/main" id="{00000000-0008-0000-0000-00000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26" name="Picture 11" hidden="1">
          <a:extLst>
            <a:ext uri="{FF2B5EF4-FFF2-40B4-BE49-F238E27FC236}">
              <a16:creationId xmlns:a16="http://schemas.microsoft.com/office/drawing/2014/main" id="{00000000-0008-0000-0000-00000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28" name="Picture 11" hidden="1">
          <a:extLst>
            <a:ext uri="{FF2B5EF4-FFF2-40B4-BE49-F238E27FC236}">
              <a16:creationId xmlns:a16="http://schemas.microsoft.com/office/drawing/2014/main" id="{00000000-0008-0000-0000-00000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30" name="Picture 11" hidden="1">
          <a:extLst>
            <a:ext uri="{FF2B5EF4-FFF2-40B4-BE49-F238E27FC236}">
              <a16:creationId xmlns:a16="http://schemas.microsoft.com/office/drawing/2014/main" id="{00000000-0008-0000-0000-00000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32" name="Picture 11" hidden="1">
          <a:extLst>
            <a:ext uri="{FF2B5EF4-FFF2-40B4-BE49-F238E27FC236}">
              <a16:creationId xmlns:a16="http://schemas.microsoft.com/office/drawing/2014/main" id="{00000000-0008-0000-0000-00001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34" name="Picture 11" hidden="1">
          <a:extLst>
            <a:ext uri="{FF2B5EF4-FFF2-40B4-BE49-F238E27FC236}">
              <a16:creationId xmlns:a16="http://schemas.microsoft.com/office/drawing/2014/main" id="{00000000-0008-0000-0000-00001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36" name="Picture 11" hidden="1">
          <a:extLst>
            <a:ext uri="{FF2B5EF4-FFF2-40B4-BE49-F238E27FC236}">
              <a16:creationId xmlns:a16="http://schemas.microsoft.com/office/drawing/2014/main" id="{00000000-0008-0000-0000-00001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38" name="Picture 11" hidden="1">
          <a:extLst>
            <a:ext uri="{FF2B5EF4-FFF2-40B4-BE49-F238E27FC236}">
              <a16:creationId xmlns:a16="http://schemas.microsoft.com/office/drawing/2014/main" id="{00000000-0008-0000-0000-00001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40" name="Picture 11" hidden="1">
          <a:extLst>
            <a:ext uri="{FF2B5EF4-FFF2-40B4-BE49-F238E27FC236}">
              <a16:creationId xmlns:a16="http://schemas.microsoft.com/office/drawing/2014/main" id="{00000000-0008-0000-0000-00001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42" name="Picture 11" hidden="1">
          <a:extLst>
            <a:ext uri="{FF2B5EF4-FFF2-40B4-BE49-F238E27FC236}">
              <a16:creationId xmlns:a16="http://schemas.microsoft.com/office/drawing/2014/main" id="{00000000-0008-0000-0000-00001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44" name="Picture 11" hidden="1">
          <a:extLst>
            <a:ext uri="{FF2B5EF4-FFF2-40B4-BE49-F238E27FC236}">
              <a16:creationId xmlns:a16="http://schemas.microsoft.com/office/drawing/2014/main" id="{00000000-0008-0000-0000-00001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46" name="Picture 11" hidden="1">
          <a:extLst>
            <a:ext uri="{FF2B5EF4-FFF2-40B4-BE49-F238E27FC236}">
              <a16:creationId xmlns:a16="http://schemas.microsoft.com/office/drawing/2014/main" id="{00000000-0008-0000-0000-00001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48" name="Picture 11" hidden="1">
          <a:extLst>
            <a:ext uri="{FF2B5EF4-FFF2-40B4-BE49-F238E27FC236}">
              <a16:creationId xmlns:a16="http://schemas.microsoft.com/office/drawing/2014/main" id="{00000000-0008-0000-0000-00002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50" name="Picture 11" hidden="1">
          <a:extLst>
            <a:ext uri="{FF2B5EF4-FFF2-40B4-BE49-F238E27FC236}">
              <a16:creationId xmlns:a16="http://schemas.microsoft.com/office/drawing/2014/main" id="{00000000-0008-0000-0000-00002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52" name="Picture 11" hidden="1">
          <a:extLst>
            <a:ext uri="{FF2B5EF4-FFF2-40B4-BE49-F238E27FC236}">
              <a16:creationId xmlns:a16="http://schemas.microsoft.com/office/drawing/2014/main" id="{00000000-0008-0000-0000-00002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54" name="Picture 11" hidden="1">
          <a:extLst>
            <a:ext uri="{FF2B5EF4-FFF2-40B4-BE49-F238E27FC236}">
              <a16:creationId xmlns:a16="http://schemas.microsoft.com/office/drawing/2014/main" id="{00000000-0008-0000-0000-00002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56" name="Picture 11" hidden="1">
          <a:extLst>
            <a:ext uri="{FF2B5EF4-FFF2-40B4-BE49-F238E27FC236}">
              <a16:creationId xmlns:a16="http://schemas.microsoft.com/office/drawing/2014/main" id="{00000000-0008-0000-0000-00002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58" name="Picture 11" hidden="1">
          <a:extLst>
            <a:ext uri="{FF2B5EF4-FFF2-40B4-BE49-F238E27FC236}">
              <a16:creationId xmlns:a16="http://schemas.microsoft.com/office/drawing/2014/main" id="{00000000-0008-0000-0000-00002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60" name="Picture 11" hidden="1">
          <a:extLst>
            <a:ext uri="{FF2B5EF4-FFF2-40B4-BE49-F238E27FC236}">
              <a16:creationId xmlns:a16="http://schemas.microsoft.com/office/drawing/2014/main" id="{00000000-0008-0000-0000-00002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62" name="Picture 11" hidden="1">
          <a:extLst>
            <a:ext uri="{FF2B5EF4-FFF2-40B4-BE49-F238E27FC236}">
              <a16:creationId xmlns:a16="http://schemas.microsoft.com/office/drawing/2014/main" id="{00000000-0008-0000-0000-00002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64" name="Picture 11" hidden="1">
          <a:extLst>
            <a:ext uri="{FF2B5EF4-FFF2-40B4-BE49-F238E27FC236}">
              <a16:creationId xmlns:a16="http://schemas.microsoft.com/office/drawing/2014/main" id="{00000000-0008-0000-0000-00003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66" name="Picture 11" hidden="1">
          <a:extLst>
            <a:ext uri="{FF2B5EF4-FFF2-40B4-BE49-F238E27FC236}">
              <a16:creationId xmlns:a16="http://schemas.microsoft.com/office/drawing/2014/main" id="{00000000-0008-0000-0000-00003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68" name="Picture 11" hidden="1">
          <a:extLst>
            <a:ext uri="{FF2B5EF4-FFF2-40B4-BE49-F238E27FC236}">
              <a16:creationId xmlns:a16="http://schemas.microsoft.com/office/drawing/2014/main" id="{00000000-0008-0000-0000-00003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70" name="Picture 11" hidden="1">
          <a:extLst>
            <a:ext uri="{FF2B5EF4-FFF2-40B4-BE49-F238E27FC236}">
              <a16:creationId xmlns:a16="http://schemas.microsoft.com/office/drawing/2014/main" id="{00000000-0008-0000-0000-00003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72" name="Picture 11" hidden="1">
          <a:extLst>
            <a:ext uri="{FF2B5EF4-FFF2-40B4-BE49-F238E27FC236}">
              <a16:creationId xmlns:a16="http://schemas.microsoft.com/office/drawing/2014/main" id="{00000000-0008-0000-0000-00003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74" name="Picture 11" hidden="1">
          <a:extLst>
            <a:ext uri="{FF2B5EF4-FFF2-40B4-BE49-F238E27FC236}">
              <a16:creationId xmlns:a16="http://schemas.microsoft.com/office/drawing/2014/main" id="{00000000-0008-0000-0000-00003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76" name="Picture 11" hidden="1">
          <a:extLst>
            <a:ext uri="{FF2B5EF4-FFF2-40B4-BE49-F238E27FC236}">
              <a16:creationId xmlns:a16="http://schemas.microsoft.com/office/drawing/2014/main" id="{00000000-0008-0000-0000-00003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78" name="Picture 11" hidden="1">
          <a:extLst>
            <a:ext uri="{FF2B5EF4-FFF2-40B4-BE49-F238E27FC236}">
              <a16:creationId xmlns:a16="http://schemas.microsoft.com/office/drawing/2014/main" id="{00000000-0008-0000-0000-00003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80" name="Picture 11" hidden="1">
          <a:extLst>
            <a:ext uri="{FF2B5EF4-FFF2-40B4-BE49-F238E27FC236}">
              <a16:creationId xmlns:a16="http://schemas.microsoft.com/office/drawing/2014/main" id="{00000000-0008-0000-0000-00004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82" name="Picture 11" hidden="1">
          <a:extLst>
            <a:ext uri="{FF2B5EF4-FFF2-40B4-BE49-F238E27FC236}">
              <a16:creationId xmlns:a16="http://schemas.microsoft.com/office/drawing/2014/main" id="{00000000-0008-0000-0000-00004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84" name="Picture 11" hidden="1">
          <a:extLst>
            <a:ext uri="{FF2B5EF4-FFF2-40B4-BE49-F238E27FC236}">
              <a16:creationId xmlns:a16="http://schemas.microsoft.com/office/drawing/2014/main" id="{00000000-0008-0000-0000-00004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86" name="Picture 11" hidden="1">
          <a:extLst>
            <a:ext uri="{FF2B5EF4-FFF2-40B4-BE49-F238E27FC236}">
              <a16:creationId xmlns:a16="http://schemas.microsoft.com/office/drawing/2014/main" id="{00000000-0008-0000-0000-00004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88" name="Picture 11" hidden="1">
          <a:extLst>
            <a:ext uri="{FF2B5EF4-FFF2-40B4-BE49-F238E27FC236}">
              <a16:creationId xmlns:a16="http://schemas.microsoft.com/office/drawing/2014/main" id="{00000000-0008-0000-0000-00004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90" name="Picture 11" hidden="1">
          <a:extLst>
            <a:ext uri="{FF2B5EF4-FFF2-40B4-BE49-F238E27FC236}">
              <a16:creationId xmlns:a16="http://schemas.microsoft.com/office/drawing/2014/main" id="{00000000-0008-0000-0000-00004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92" name="Picture 11" hidden="1">
          <a:extLst>
            <a:ext uri="{FF2B5EF4-FFF2-40B4-BE49-F238E27FC236}">
              <a16:creationId xmlns:a16="http://schemas.microsoft.com/office/drawing/2014/main" id="{00000000-0008-0000-0000-00004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94" name="Picture 11" hidden="1">
          <a:extLst>
            <a:ext uri="{FF2B5EF4-FFF2-40B4-BE49-F238E27FC236}">
              <a16:creationId xmlns:a16="http://schemas.microsoft.com/office/drawing/2014/main" id="{00000000-0008-0000-0000-00004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96" name="Picture 11" hidden="1">
          <a:extLst>
            <a:ext uri="{FF2B5EF4-FFF2-40B4-BE49-F238E27FC236}">
              <a16:creationId xmlns:a16="http://schemas.microsoft.com/office/drawing/2014/main" id="{00000000-0008-0000-0000-00005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98" name="Picture 11" hidden="1">
          <a:extLst>
            <a:ext uri="{FF2B5EF4-FFF2-40B4-BE49-F238E27FC236}">
              <a16:creationId xmlns:a16="http://schemas.microsoft.com/office/drawing/2014/main" id="{00000000-0008-0000-0000-00005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00" name="Picture 11" hidden="1">
          <a:extLst>
            <a:ext uri="{FF2B5EF4-FFF2-40B4-BE49-F238E27FC236}">
              <a16:creationId xmlns:a16="http://schemas.microsoft.com/office/drawing/2014/main" id="{00000000-0008-0000-0000-00005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02" name="Picture 11" hidden="1">
          <a:extLst>
            <a:ext uri="{FF2B5EF4-FFF2-40B4-BE49-F238E27FC236}">
              <a16:creationId xmlns:a16="http://schemas.microsoft.com/office/drawing/2014/main" id="{00000000-0008-0000-0000-00005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04" name="Picture 11" hidden="1">
          <a:extLst>
            <a:ext uri="{FF2B5EF4-FFF2-40B4-BE49-F238E27FC236}">
              <a16:creationId xmlns:a16="http://schemas.microsoft.com/office/drawing/2014/main" id="{00000000-0008-0000-0000-00005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06" name="Picture 11" hidden="1">
          <a:extLst>
            <a:ext uri="{FF2B5EF4-FFF2-40B4-BE49-F238E27FC236}">
              <a16:creationId xmlns:a16="http://schemas.microsoft.com/office/drawing/2014/main" id="{00000000-0008-0000-0000-00005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08" name="Picture 11" hidden="1">
          <a:extLst>
            <a:ext uri="{FF2B5EF4-FFF2-40B4-BE49-F238E27FC236}">
              <a16:creationId xmlns:a16="http://schemas.microsoft.com/office/drawing/2014/main" id="{00000000-0008-0000-0000-00005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10" name="Picture 11" hidden="1">
          <a:extLst>
            <a:ext uri="{FF2B5EF4-FFF2-40B4-BE49-F238E27FC236}">
              <a16:creationId xmlns:a16="http://schemas.microsoft.com/office/drawing/2014/main" id="{00000000-0008-0000-0000-00005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12" name="Picture 11" hidden="1">
          <a:extLst>
            <a:ext uri="{FF2B5EF4-FFF2-40B4-BE49-F238E27FC236}">
              <a16:creationId xmlns:a16="http://schemas.microsoft.com/office/drawing/2014/main" id="{00000000-0008-0000-0000-00006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14" name="Picture 11" hidden="1">
          <a:extLst>
            <a:ext uri="{FF2B5EF4-FFF2-40B4-BE49-F238E27FC236}">
              <a16:creationId xmlns:a16="http://schemas.microsoft.com/office/drawing/2014/main" id="{00000000-0008-0000-0000-00006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16" name="Picture 11" hidden="1">
          <a:extLst>
            <a:ext uri="{FF2B5EF4-FFF2-40B4-BE49-F238E27FC236}">
              <a16:creationId xmlns:a16="http://schemas.microsoft.com/office/drawing/2014/main" id="{00000000-0008-0000-0000-00006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18" name="Picture 11" hidden="1">
          <a:extLst>
            <a:ext uri="{FF2B5EF4-FFF2-40B4-BE49-F238E27FC236}">
              <a16:creationId xmlns:a16="http://schemas.microsoft.com/office/drawing/2014/main" id="{00000000-0008-0000-0000-00006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20" name="Picture 11" hidden="1">
          <a:extLst>
            <a:ext uri="{FF2B5EF4-FFF2-40B4-BE49-F238E27FC236}">
              <a16:creationId xmlns:a16="http://schemas.microsoft.com/office/drawing/2014/main" id="{00000000-0008-0000-0000-00006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22" name="Picture 11" hidden="1">
          <a:extLst>
            <a:ext uri="{FF2B5EF4-FFF2-40B4-BE49-F238E27FC236}">
              <a16:creationId xmlns:a16="http://schemas.microsoft.com/office/drawing/2014/main" id="{00000000-0008-0000-0000-00006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24" name="Picture 11" hidden="1">
          <a:extLst>
            <a:ext uri="{FF2B5EF4-FFF2-40B4-BE49-F238E27FC236}">
              <a16:creationId xmlns:a16="http://schemas.microsoft.com/office/drawing/2014/main" id="{00000000-0008-0000-0000-00006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26" name="Picture 11" hidden="1">
          <a:extLst>
            <a:ext uri="{FF2B5EF4-FFF2-40B4-BE49-F238E27FC236}">
              <a16:creationId xmlns:a16="http://schemas.microsoft.com/office/drawing/2014/main" id="{00000000-0008-0000-0000-00006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28" name="Picture 11" hidden="1">
          <a:extLst>
            <a:ext uri="{FF2B5EF4-FFF2-40B4-BE49-F238E27FC236}">
              <a16:creationId xmlns:a16="http://schemas.microsoft.com/office/drawing/2014/main" id="{00000000-0008-0000-0000-00007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30" name="Picture 2929" hidden="1">
          <a:extLst>
            <a:ext uri="{FF2B5EF4-FFF2-40B4-BE49-F238E27FC236}">
              <a16:creationId xmlns:a16="http://schemas.microsoft.com/office/drawing/2014/main" id="{00000000-0008-0000-0000-00007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32" name="Picture 11" hidden="1">
          <a:extLst>
            <a:ext uri="{FF2B5EF4-FFF2-40B4-BE49-F238E27FC236}">
              <a16:creationId xmlns:a16="http://schemas.microsoft.com/office/drawing/2014/main" id="{00000000-0008-0000-0000-00007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34" name="Picture 11" hidden="1">
          <a:extLst>
            <a:ext uri="{FF2B5EF4-FFF2-40B4-BE49-F238E27FC236}">
              <a16:creationId xmlns:a16="http://schemas.microsoft.com/office/drawing/2014/main" id="{00000000-0008-0000-0000-00007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36" name="Picture 11" hidden="1">
          <a:extLst>
            <a:ext uri="{FF2B5EF4-FFF2-40B4-BE49-F238E27FC236}">
              <a16:creationId xmlns:a16="http://schemas.microsoft.com/office/drawing/2014/main" id="{00000000-0008-0000-0000-00007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38" name="Picture 11" hidden="1">
          <a:extLst>
            <a:ext uri="{FF2B5EF4-FFF2-40B4-BE49-F238E27FC236}">
              <a16:creationId xmlns:a16="http://schemas.microsoft.com/office/drawing/2014/main" id="{00000000-0008-0000-0000-00007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40" name="Picture 11" hidden="1">
          <a:extLst>
            <a:ext uri="{FF2B5EF4-FFF2-40B4-BE49-F238E27FC236}">
              <a16:creationId xmlns:a16="http://schemas.microsoft.com/office/drawing/2014/main" id="{00000000-0008-0000-0000-00007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42" name="Picture 11" hidden="1">
          <a:extLst>
            <a:ext uri="{FF2B5EF4-FFF2-40B4-BE49-F238E27FC236}">
              <a16:creationId xmlns:a16="http://schemas.microsoft.com/office/drawing/2014/main" id="{00000000-0008-0000-0000-00007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44" name="Picture 11" hidden="1">
          <a:extLst>
            <a:ext uri="{FF2B5EF4-FFF2-40B4-BE49-F238E27FC236}">
              <a16:creationId xmlns:a16="http://schemas.microsoft.com/office/drawing/2014/main" id="{00000000-0008-0000-0000-00008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46" name="Picture 11" hidden="1">
          <a:extLst>
            <a:ext uri="{FF2B5EF4-FFF2-40B4-BE49-F238E27FC236}">
              <a16:creationId xmlns:a16="http://schemas.microsoft.com/office/drawing/2014/main" id="{00000000-0008-0000-0000-00008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48" name="Picture 11" hidden="1">
          <a:extLst>
            <a:ext uri="{FF2B5EF4-FFF2-40B4-BE49-F238E27FC236}">
              <a16:creationId xmlns:a16="http://schemas.microsoft.com/office/drawing/2014/main" id="{00000000-0008-0000-0000-00008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50" name="Picture 11" hidden="1">
          <a:extLst>
            <a:ext uri="{FF2B5EF4-FFF2-40B4-BE49-F238E27FC236}">
              <a16:creationId xmlns:a16="http://schemas.microsoft.com/office/drawing/2014/main" id="{00000000-0008-0000-0000-00008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52" name="Picture 11" hidden="1">
          <a:extLst>
            <a:ext uri="{FF2B5EF4-FFF2-40B4-BE49-F238E27FC236}">
              <a16:creationId xmlns:a16="http://schemas.microsoft.com/office/drawing/2014/main" id="{00000000-0008-0000-0000-00008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54" name="Picture 11" hidden="1">
          <a:extLst>
            <a:ext uri="{FF2B5EF4-FFF2-40B4-BE49-F238E27FC236}">
              <a16:creationId xmlns:a16="http://schemas.microsoft.com/office/drawing/2014/main" id="{00000000-0008-0000-0000-00008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56" name="Picture 11" hidden="1">
          <a:extLst>
            <a:ext uri="{FF2B5EF4-FFF2-40B4-BE49-F238E27FC236}">
              <a16:creationId xmlns:a16="http://schemas.microsoft.com/office/drawing/2014/main" id="{00000000-0008-0000-0000-00008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58" name="Picture 11" hidden="1">
          <a:extLst>
            <a:ext uri="{FF2B5EF4-FFF2-40B4-BE49-F238E27FC236}">
              <a16:creationId xmlns:a16="http://schemas.microsoft.com/office/drawing/2014/main" id="{00000000-0008-0000-0000-00008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60" name="Picture 11" hidden="1">
          <a:extLst>
            <a:ext uri="{FF2B5EF4-FFF2-40B4-BE49-F238E27FC236}">
              <a16:creationId xmlns:a16="http://schemas.microsoft.com/office/drawing/2014/main" id="{00000000-0008-0000-0000-00009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62" name="Picture 11" hidden="1">
          <a:extLst>
            <a:ext uri="{FF2B5EF4-FFF2-40B4-BE49-F238E27FC236}">
              <a16:creationId xmlns:a16="http://schemas.microsoft.com/office/drawing/2014/main" id="{00000000-0008-0000-0000-00009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64" name="Picture 11" hidden="1">
          <a:extLst>
            <a:ext uri="{FF2B5EF4-FFF2-40B4-BE49-F238E27FC236}">
              <a16:creationId xmlns:a16="http://schemas.microsoft.com/office/drawing/2014/main" id="{00000000-0008-0000-0000-00009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66" name="Picture 11" hidden="1">
          <a:extLst>
            <a:ext uri="{FF2B5EF4-FFF2-40B4-BE49-F238E27FC236}">
              <a16:creationId xmlns:a16="http://schemas.microsoft.com/office/drawing/2014/main" id="{00000000-0008-0000-0000-00009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68" name="Picture 11" hidden="1">
          <a:extLst>
            <a:ext uri="{FF2B5EF4-FFF2-40B4-BE49-F238E27FC236}">
              <a16:creationId xmlns:a16="http://schemas.microsoft.com/office/drawing/2014/main" id="{00000000-0008-0000-0000-00009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70" name="Picture 11" hidden="1">
          <a:extLst>
            <a:ext uri="{FF2B5EF4-FFF2-40B4-BE49-F238E27FC236}">
              <a16:creationId xmlns:a16="http://schemas.microsoft.com/office/drawing/2014/main" id="{00000000-0008-0000-0000-00009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72" name="Picture 11" hidden="1">
          <a:extLst>
            <a:ext uri="{FF2B5EF4-FFF2-40B4-BE49-F238E27FC236}">
              <a16:creationId xmlns:a16="http://schemas.microsoft.com/office/drawing/2014/main" id="{00000000-0008-0000-0000-00009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74" name="Picture 11" hidden="1">
          <a:extLst>
            <a:ext uri="{FF2B5EF4-FFF2-40B4-BE49-F238E27FC236}">
              <a16:creationId xmlns:a16="http://schemas.microsoft.com/office/drawing/2014/main" id="{00000000-0008-0000-0000-00009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76" name="Picture 11" hidden="1">
          <a:extLst>
            <a:ext uri="{FF2B5EF4-FFF2-40B4-BE49-F238E27FC236}">
              <a16:creationId xmlns:a16="http://schemas.microsoft.com/office/drawing/2014/main" id="{00000000-0008-0000-0000-0000A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78" name="Picture 11" hidden="1">
          <a:extLst>
            <a:ext uri="{FF2B5EF4-FFF2-40B4-BE49-F238E27FC236}">
              <a16:creationId xmlns:a16="http://schemas.microsoft.com/office/drawing/2014/main" id="{00000000-0008-0000-0000-0000A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80" name="Picture 11" hidden="1">
          <a:extLst>
            <a:ext uri="{FF2B5EF4-FFF2-40B4-BE49-F238E27FC236}">
              <a16:creationId xmlns:a16="http://schemas.microsoft.com/office/drawing/2014/main" id="{00000000-0008-0000-0000-0000A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82" name="Picture 11" hidden="1">
          <a:extLst>
            <a:ext uri="{FF2B5EF4-FFF2-40B4-BE49-F238E27FC236}">
              <a16:creationId xmlns:a16="http://schemas.microsoft.com/office/drawing/2014/main" id="{00000000-0008-0000-0000-0000A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84" name="Picture 11" hidden="1">
          <a:extLst>
            <a:ext uri="{FF2B5EF4-FFF2-40B4-BE49-F238E27FC236}">
              <a16:creationId xmlns:a16="http://schemas.microsoft.com/office/drawing/2014/main" id="{00000000-0008-0000-0000-0000A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86" name="Picture 11" hidden="1">
          <a:extLst>
            <a:ext uri="{FF2B5EF4-FFF2-40B4-BE49-F238E27FC236}">
              <a16:creationId xmlns:a16="http://schemas.microsoft.com/office/drawing/2014/main" id="{00000000-0008-0000-0000-0000A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88" name="Picture 11" hidden="1">
          <a:extLst>
            <a:ext uri="{FF2B5EF4-FFF2-40B4-BE49-F238E27FC236}">
              <a16:creationId xmlns:a16="http://schemas.microsoft.com/office/drawing/2014/main" id="{00000000-0008-0000-0000-0000A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90" name="Picture 11" hidden="1">
          <a:extLst>
            <a:ext uri="{FF2B5EF4-FFF2-40B4-BE49-F238E27FC236}">
              <a16:creationId xmlns:a16="http://schemas.microsoft.com/office/drawing/2014/main" id="{00000000-0008-0000-0000-0000A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92" name="Picture 11" hidden="1">
          <a:extLst>
            <a:ext uri="{FF2B5EF4-FFF2-40B4-BE49-F238E27FC236}">
              <a16:creationId xmlns:a16="http://schemas.microsoft.com/office/drawing/2014/main" id="{00000000-0008-0000-0000-0000B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94" name="Picture 11" hidden="1">
          <a:extLst>
            <a:ext uri="{FF2B5EF4-FFF2-40B4-BE49-F238E27FC236}">
              <a16:creationId xmlns:a16="http://schemas.microsoft.com/office/drawing/2014/main" id="{00000000-0008-0000-0000-0000B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96" name="Picture 11" hidden="1">
          <a:extLst>
            <a:ext uri="{FF2B5EF4-FFF2-40B4-BE49-F238E27FC236}">
              <a16:creationId xmlns:a16="http://schemas.microsoft.com/office/drawing/2014/main" id="{00000000-0008-0000-0000-0000B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98" name="Picture 11" hidden="1">
          <a:extLst>
            <a:ext uri="{FF2B5EF4-FFF2-40B4-BE49-F238E27FC236}">
              <a16:creationId xmlns:a16="http://schemas.microsoft.com/office/drawing/2014/main" id="{00000000-0008-0000-0000-0000B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00" name="Picture 11" hidden="1">
          <a:extLst>
            <a:ext uri="{FF2B5EF4-FFF2-40B4-BE49-F238E27FC236}">
              <a16:creationId xmlns:a16="http://schemas.microsoft.com/office/drawing/2014/main" id="{00000000-0008-0000-0000-0000B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02" name="Picture 11" hidden="1">
          <a:extLst>
            <a:ext uri="{FF2B5EF4-FFF2-40B4-BE49-F238E27FC236}">
              <a16:creationId xmlns:a16="http://schemas.microsoft.com/office/drawing/2014/main" id="{00000000-0008-0000-0000-0000B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04" name="Picture 11" hidden="1">
          <a:extLst>
            <a:ext uri="{FF2B5EF4-FFF2-40B4-BE49-F238E27FC236}">
              <a16:creationId xmlns:a16="http://schemas.microsoft.com/office/drawing/2014/main" id="{00000000-0008-0000-0000-0000B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06" name="Picture 11" hidden="1">
          <a:extLst>
            <a:ext uri="{FF2B5EF4-FFF2-40B4-BE49-F238E27FC236}">
              <a16:creationId xmlns:a16="http://schemas.microsoft.com/office/drawing/2014/main" id="{00000000-0008-0000-0000-0000B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08" name="Picture 11" hidden="1">
          <a:extLst>
            <a:ext uri="{FF2B5EF4-FFF2-40B4-BE49-F238E27FC236}">
              <a16:creationId xmlns:a16="http://schemas.microsoft.com/office/drawing/2014/main" id="{00000000-0008-0000-0000-0000C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10" name="Picture 11" hidden="1">
          <a:extLst>
            <a:ext uri="{FF2B5EF4-FFF2-40B4-BE49-F238E27FC236}">
              <a16:creationId xmlns:a16="http://schemas.microsoft.com/office/drawing/2014/main" id="{00000000-0008-0000-0000-0000C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12" name="Picture 11" hidden="1">
          <a:extLst>
            <a:ext uri="{FF2B5EF4-FFF2-40B4-BE49-F238E27FC236}">
              <a16:creationId xmlns:a16="http://schemas.microsoft.com/office/drawing/2014/main" id="{00000000-0008-0000-0000-0000C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14" name="Picture 11" hidden="1">
          <a:extLst>
            <a:ext uri="{FF2B5EF4-FFF2-40B4-BE49-F238E27FC236}">
              <a16:creationId xmlns:a16="http://schemas.microsoft.com/office/drawing/2014/main" id="{00000000-0008-0000-0000-0000C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16" name="Picture 11" hidden="1">
          <a:extLst>
            <a:ext uri="{FF2B5EF4-FFF2-40B4-BE49-F238E27FC236}">
              <a16:creationId xmlns:a16="http://schemas.microsoft.com/office/drawing/2014/main" id="{00000000-0008-0000-0000-0000C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18" name="Picture 11" hidden="1">
          <a:extLst>
            <a:ext uri="{FF2B5EF4-FFF2-40B4-BE49-F238E27FC236}">
              <a16:creationId xmlns:a16="http://schemas.microsoft.com/office/drawing/2014/main" id="{00000000-0008-0000-0000-0000C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20" name="Picture 11" hidden="1">
          <a:extLst>
            <a:ext uri="{FF2B5EF4-FFF2-40B4-BE49-F238E27FC236}">
              <a16:creationId xmlns:a16="http://schemas.microsoft.com/office/drawing/2014/main" id="{00000000-0008-0000-0000-0000C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22" name="Picture 11" hidden="1">
          <a:extLst>
            <a:ext uri="{FF2B5EF4-FFF2-40B4-BE49-F238E27FC236}">
              <a16:creationId xmlns:a16="http://schemas.microsoft.com/office/drawing/2014/main" id="{00000000-0008-0000-0000-0000C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24" name="Picture 11" hidden="1">
          <a:extLst>
            <a:ext uri="{FF2B5EF4-FFF2-40B4-BE49-F238E27FC236}">
              <a16:creationId xmlns:a16="http://schemas.microsoft.com/office/drawing/2014/main" id="{00000000-0008-0000-0000-0000D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26" name="Picture 11" hidden="1">
          <a:extLst>
            <a:ext uri="{FF2B5EF4-FFF2-40B4-BE49-F238E27FC236}">
              <a16:creationId xmlns:a16="http://schemas.microsoft.com/office/drawing/2014/main" id="{00000000-0008-0000-0000-0000D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28" name="Picture 11" hidden="1">
          <a:extLst>
            <a:ext uri="{FF2B5EF4-FFF2-40B4-BE49-F238E27FC236}">
              <a16:creationId xmlns:a16="http://schemas.microsoft.com/office/drawing/2014/main" id="{00000000-0008-0000-0000-0000D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30" name="Picture 11" hidden="1">
          <a:extLst>
            <a:ext uri="{FF2B5EF4-FFF2-40B4-BE49-F238E27FC236}">
              <a16:creationId xmlns:a16="http://schemas.microsoft.com/office/drawing/2014/main" id="{00000000-0008-0000-0000-0000D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32" name="Picture 11" hidden="1">
          <a:extLst>
            <a:ext uri="{FF2B5EF4-FFF2-40B4-BE49-F238E27FC236}">
              <a16:creationId xmlns:a16="http://schemas.microsoft.com/office/drawing/2014/main" id="{00000000-0008-0000-0000-0000D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34" name="Picture 11" hidden="1">
          <a:extLst>
            <a:ext uri="{FF2B5EF4-FFF2-40B4-BE49-F238E27FC236}">
              <a16:creationId xmlns:a16="http://schemas.microsoft.com/office/drawing/2014/main" id="{00000000-0008-0000-0000-0000D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36" name="Picture 11" hidden="1">
          <a:extLst>
            <a:ext uri="{FF2B5EF4-FFF2-40B4-BE49-F238E27FC236}">
              <a16:creationId xmlns:a16="http://schemas.microsoft.com/office/drawing/2014/main" id="{00000000-0008-0000-0000-0000D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38" name="Picture 3037" hidden="1">
          <a:extLst>
            <a:ext uri="{FF2B5EF4-FFF2-40B4-BE49-F238E27FC236}">
              <a16:creationId xmlns:a16="http://schemas.microsoft.com/office/drawing/2014/main" id="{00000000-0008-0000-0000-0000D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40" name="Picture 11" hidden="1">
          <a:extLst>
            <a:ext uri="{FF2B5EF4-FFF2-40B4-BE49-F238E27FC236}">
              <a16:creationId xmlns:a16="http://schemas.microsoft.com/office/drawing/2014/main" id="{00000000-0008-0000-0000-0000E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42" name="Picture 11" hidden="1">
          <a:extLst>
            <a:ext uri="{FF2B5EF4-FFF2-40B4-BE49-F238E27FC236}">
              <a16:creationId xmlns:a16="http://schemas.microsoft.com/office/drawing/2014/main" id="{00000000-0008-0000-0000-0000E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44" name="Picture 11" hidden="1">
          <a:extLst>
            <a:ext uri="{FF2B5EF4-FFF2-40B4-BE49-F238E27FC236}">
              <a16:creationId xmlns:a16="http://schemas.microsoft.com/office/drawing/2014/main" id="{00000000-0008-0000-0000-0000E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46" name="Picture 11" hidden="1">
          <a:extLst>
            <a:ext uri="{FF2B5EF4-FFF2-40B4-BE49-F238E27FC236}">
              <a16:creationId xmlns:a16="http://schemas.microsoft.com/office/drawing/2014/main" id="{00000000-0008-0000-0000-0000E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48" name="Picture 11" hidden="1">
          <a:extLst>
            <a:ext uri="{FF2B5EF4-FFF2-40B4-BE49-F238E27FC236}">
              <a16:creationId xmlns:a16="http://schemas.microsoft.com/office/drawing/2014/main" id="{00000000-0008-0000-0000-0000E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50" name="Picture 11" hidden="1">
          <a:extLst>
            <a:ext uri="{FF2B5EF4-FFF2-40B4-BE49-F238E27FC236}">
              <a16:creationId xmlns:a16="http://schemas.microsoft.com/office/drawing/2014/main" id="{00000000-0008-0000-0000-0000E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52" name="Picture 11" hidden="1">
          <a:extLst>
            <a:ext uri="{FF2B5EF4-FFF2-40B4-BE49-F238E27FC236}">
              <a16:creationId xmlns:a16="http://schemas.microsoft.com/office/drawing/2014/main" id="{00000000-0008-0000-0000-0000E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54" name="Picture 11" hidden="1">
          <a:extLst>
            <a:ext uri="{FF2B5EF4-FFF2-40B4-BE49-F238E27FC236}">
              <a16:creationId xmlns:a16="http://schemas.microsoft.com/office/drawing/2014/main" id="{00000000-0008-0000-0000-0000E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56" name="Picture 11" hidden="1">
          <a:extLst>
            <a:ext uri="{FF2B5EF4-FFF2-40B4-BE49-F238E27FC236}">
              <a16:creationId xmlns:a16="http://schemas.microsoft.com/office/drawing/2014/main" id="{00000000-0008-0000-0000-0000F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58" name="Picture 11" hidden="1">
          <a:extLst>
            <a:ext uri="{FF2B5EF4-FFF2-40B4-BE49-F238E27FC236}">
              <a16:creationId xmlns:a16="http://schemas.microsoft.com/office/drawing/2014/main" id="{00000000-0008-0000-0000-0000F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60" name="Picture 11" hidden="1">
          <a:extLst>
            <a:ext uri="{FF2B5EF4-FFF2-40B4-BE49-F238E27FC236}">
              <a16:creationId xmlns:a16="http://schemas.microsoft.com/office/drawing/2014/main" id="{00000000-0008-0000-0000-0000F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62" name="Picture 11" hidden="1">
          <a:extLst>
            <a:ext uri="{FF2B5EF4-FFF2-40B4-BE49-F238E27FC236}">
              <a16:creationId xmlns:a16="http://schemas.microsoft.com/office/drawing/2014/main" id="{00000000-0008-0000-0000-0000F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64" name="Picture 11" hidden="1">
          <a:extLst>
            <a:ext uri="{FF2B5EF4-FFF2-40B4-BE49-F238E27FC236}">
              <a16:creationId xmlns:a16="http://schemas.microsoft.com/office/drawing/2014/main" id="{00000000-0008-0000-0000-0000F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66" name="Picture 11" hidden="1">
          <a:extLst>
            <a:ext uri="{FF2B5EF4-FFF2-40B4-BE49-F238E27FC236}">
              <a16:creationId xmlns:a16="http://schemas.microsoft.com/office/drawing/2014/main" id="{00000000-0008-0000-0000-0000F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68" name="Picture 11" hidden="1">
          <a:extLst>
            <a:ext uri="{FF2B5EF4-FFF2-40B4-BE49-F238E27FC236}">
              <a16:creationId xmlns:a16="http://schemas.microsoft.com/office/drawing/2014/main" id="{00000000-0008-0000-0000-0000F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70" name="Picture 11" hidden="1">
          <a:extLst>
            <a:ext uri="{FF2B5EF4-FFF2-40B4-BE49-F238E27FC236}">
              <a16:creationId xmlns:a16="http://schemas.microsoft.com/office/drawing/2014/main" id="{00000000-0008-0000-0000-0000F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72" name="Picture 11" hidden="1">
          <a:extLst>
            <a:ext uri="{FF2B5EF4-FFF2-40B4-BE49-F238E27FC236}">
              <a16:creationId xmlns:a16="http://schemas.microsoft.com/office/drawing/2014/main" id="{00000000-0008-0000-0000-00000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74" name="Picture 11" hidden="1">
          <a:extLst>
            <a:ext uri="{FF2B5EF4-FFF2-40B4-BE49-F238E27FC236}">
              <a16:creationId xmlns:a16="http://schemas.microsoft.com/office/drawing/2014/main" id="{00000000-0008-0000-0000-00000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76" name="Picture 11" hidden="1">
          <a:extLst>
            <a:ext uri="{FF2B5EF4-FFF2-40B4-BE49-F238E27FC236}">
              <a16:creationId xmlns:a16="http://schemas.microsoft.com/office/drawing/2014/main" id="{00000000-0008-0000-0000-00000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78" name="Picture 11" hidden="1">
          <a:extLst>
            <a:ext uri="{FF2B5EF4-FFF2-40B4-BE49-F238E27FC236}">
              <a16:creationId xmlns:a16="http://schemas.microsoft.com/office/drawing/2014/main" id="{00000000-0008-0000-0000-00000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80" name="Picture 11" hidden="1">
          <a:extLst>
            <a:ext uri="{FF2B5EF4-FFF2-40B4-BE49-F238E27FC236}">
              <a16:creationId xmlns:a16="http://schemas.microsoft.com/office/drawing/2014/main" id="{00000000-0008-0000-0000-00000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82" name="Picture 11" hidden="1">
          <a:extLst>
            <a:ext uri="{FF2B5EF4-FFF2-40B4-BE49-F238E27FC236}">
              <a16:creationId xmlns:a16="http://schemas.microsoft.com/office/drawing/2014/main" id="{00000000-0008-0000-0000-00000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84" name="Picture 11" hidden="1">
          <a:extLst>
            <a:ext uri="{FF2B5EF4-FFF2-40B4-BE49-F238E27FC236}">
              <a16:creationId xmlns:a16="http://schemas.microsoft.com/office/drawing/2014/main" id="{00000000-0008-0000-0000-00000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86" name="Picture 11" hidden="1">
          <a:extLst>
            <a:ext uri="{FF2B5EF4-FFF2-40B4-BE49-F238E27FC236}">
              <a16:creationId xmlns:a16="http://schemas.microsoft.com/office/drawing/2014/main" id="{00000000-0008-0000-0000-00000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88" name="Picture 11" hidden="1">
          <a:extLst>
            <a:ext uri="{FF2B5EF4-FFF2-40B4-BE49-F238E27FC236}">
              <a16:creationId xmlns:a16="http://schemas.microsoft.com/office/drawing/2014/main" id="{00000000-0008-0000-0000-00001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90" name="Picture 11" hidden="1">
          <a:extLst>
            <a:ext uri="{FF2B5EF4-FFF2-40B4-BE49-F238E27FC236}">
              <a16:creationId xmlns:a16="http://schemas.microsoft.com/office/drawing/2014/main" id="{00000000-0008-0000-0000-00001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92" name="Picture 11" hidden="1">
          <a:extLst>
            <a:ext uri="{FF2B5EF4-FFF2-40B4-BE49-F238E27FC236}">
              <a16:creationId xmlns:a16="http://schemas.microsoft.com/office/drawing/2014/main" id="{00000000-0008-0000-0000-00001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94" name="Picture 11" hidden="1">
          <a:extLst>
            <a:ext uri="{FF2B5EF4-FFF2-40B4-BE49-F238E27FC236}">
              <a16:creationId xmlns:a16="http://schemas.microsoft.com/office/drawing/2014/main" id="{00000000-0008-0000-0000-00001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96" name="Picture 11" hidden="1">
          <a:extLst>
            <a:ext uri="{FF2B5EF4-FFF2-40B4-BE49-F238E27FC236}">
              <a16:creationId xmlns:a16="http://schemas.microsoft.com/office/drawing/2014/main" id="{00000000-0008-0000-0000-00001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98" name="Picture 11" hidden="1">
          <a:extLst>
            <a:ext uri="{FF2B5EF4-FFF2-40B4-BE49-F238E27FC236}">
              <a16:creationId xmlns:a16="http://schemas.microsoft.com/office/drawing/2014/main" id="{00000000-0008-0000-0000-00001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00" name="Picture 11" hidden="1">
          <a:extLst>
            <a:ext uri="{FF2B5EF4-FFF2-40B4-BE49-F238E27FC236}">
              <a16:creationId xmlns:a16="http://schemas.microsoft.com/office/drawing/2014/main" id="{00000000-0008-0000-0000-00001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02" name="Picture 11" hidden="1">
          <a:extLst>
            <a:ext uri="{FF2B5EF4-FFF2-40B4-BE49-F238E27FC236}">
              <a16:creationId xmlns:a16="http://schemas.microsoft.com/office/drawing/2014/main" id="{00000000-0008-0000-0000-00001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04" name="Picture 11" hidden="1">
          <a:extLst>
            <a:ext uri="{FF2B5EF4-FFF2-40B4-BE49-F238E27FC236}">
              <a16:creationId xmlns:a16="http://schemas.microsoft.com/office/drawing/2014/main" id="{00000000-0008-0000-0000-00002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06" name="Picture 11" hidden="1">
          <a:extLst>
            <a:ext uri="{FF2B5EF4-FFF2-40B4-BE49-F238E27FC236}">
              <a16:creationId xmlns:a16="http://schemas.microsoft.com/office/drawing/2014/main" id="{00000000-0008-0000-0000-00002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08" name="Picture 11" hidden="1">
          <a:extLst>
            <a:ext uri="{FF2B5EF4-FFF2-40B4-BE49-F238E27FC236}">
              <a16:creationId xmlns:a16="http://schemas.microsoft.com/office/drawing/2014/main" id="{00000000-0008-0000-0000-00002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10" name="Picture 11" hidden="1">
          <a:extLst>
            <a:ext uri="{FF2B5EF4-FFF2-40B4-BE49-F238E27FC236}">
              <a16:creationId xmlns:a16="http://schemas.microsoft.com/office/drawing/2014/main" id="{00000000-0008-0000-0000-00002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12" name="Picture 11" hidden="1">
          <a:extLst>
            <a:ext uri="{FF2B5EF4-FFF2-40B4-BE49-F238E27FC236}">
              <a16:creationId xmlns:a16="http://schemas.microsoft.com/office/drawing/2014/main" id="{00000000-0008-0000-0000-00002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14" name="Picture 11" hidden="1">
          <a:extLst>
            <a:ext uri="{FF2B5EF4-FFF2-40B4-BE49-F238E27FC236}">
              <a16:creationId xmlns:a16="http://schemas.microsoft.com/office/drawing/2014/main" id="{00000000-0008-0000-0000-00002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16" name="Picture 11" hidden="1">
          <a:extLst>
            <a:ext uri="{FF2B5EF4-FFF2-40B4-BE49-F238E27FC236}">
              <a16:creationId xmlns:a16="http://schemas.microsoft.com/office/drawing/2014/main" id="{00000000-0008-0000-0000-00002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18" name="Picture 11" hidden="1">
          <a:extLst>
            <a:ext uri="{FF2B5EF4-FFF2-40B4-BE49-F238E27FC236}">
              <a16:creationId xmlns:a16="http://schemas.microsoft.com/office/drawing/2014/main" id="{00000000-0008-0000-0000-00002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20" name="Picture 11" hidden="1">
          <a:extLst>
            <a:ext uri="{FF2B5EF4-FFF2-40B4-BE49-F238E27FC236}">
              <a16:creationId xmlns:a16="http://schemas.microsoft.com/office/drawing/2014/main" id="{00000000-0008-0000-0000-00003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22" name="Picture 11" hidden="1">
          <a:extLst>
            <a:ext uri="{FF2B5EF4-FFF2-40B4-BE49-F238E27FC236}">
              <a16:creationId xmlns:a16="http://schemas.microsoft.com/office/drawing/2014/main" id="{00000000-0008-0000-0000-00003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24" name="Picture 11" hidden="1">
          <a:extLst>
            <a:ext uri="{FF2B5EF4-FFF2-40B4-BE49-F238E27FC236}">
              <a16:creationId xmlns:a16="http://schemas.microsoft.com/office/drawing/2014/main" id="{00000000-0008-0000-0000-00003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26" name="Picture 11" hidden="1">
          <a:extLst>
            <a:ext uri="{FF2B5EF4-FFF2-40B4-BE49-F238E27FC236}">
              <a16:creationId xmlns:a16="http://schemas.microsoft.com/office/drawing/2014/main" id="{00000000-0008-0000-0000-00003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28" name="Picture 11" hidden="1">
          <a:extLst>
            <a:ext uri="{FF2B5EF4-FFF2-40B4-BE49-F238E27FC236}">
              <a16:creationId xmlns:a16="http://schemas.microsoft.com/office/drawing/2014/main" id="{00000000-0008-0000-0000-00003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30" name="Picture 11" hidden="1">
          <a:extLst>
            <a:ext uri="{FF2B5EF4-FFF2-40B4-BE49-F238E27FC236}">
              <a16:creationId xmlns:a16="http://schemas.microsoft.com/office/drawing/2014/main" id="{00000000-0008-0000-0000-00003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32" name="Picture 11" hidden="1">
          <a:extLst>
            <a:ext uri="{FF2B5EF4-FFF2-40B4-BE49-F238E27FC236}">
              <a16:creationId xmlns:a16="http://schemas.microsoft.com/office/drawing/2014/main" id="{00000000-0008-0000-0000-00003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34" name="Picture 11" hidden="1">
          <a:extLst>
            <a:ext uri="{FF2B5EF4-FFF2-40B4-BE49-F238E27FC236}">
              <a16:creationId xmlns:a16="http://schemas.microsoft.com/office/drawing/2014/main" id="{00000000-0008-0000-0000-00003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36" name="Picture 11" hidden="1">
          <a:extLst>
            <a:ext uri="{FF2B5EF4-FFF2-40B4-BE49-F238E27FC236}">
              <a16:creationId xmlns:a16="http://schemas.microsoft.com/office/drawing/2014/main" id="{00000000-0008-0000-0000-00004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38" name="Picture 11" hidden="1">
          <a:extLst>
            <a:ext uri="{FF2B5EF4-FFF2-40B4-BE49-F238E27FC236}">
              <a16:creationId xmlns:a16="http://schemas.microsoft.com/office/drawing/2014/main" id="{00000000-0008-0000-0000-00004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40" name="Picture 11" hidden="1">
          <a:extLst>
            <a:ext uri="{FF2B5EF4-FFF2-40B4-BE49-F238E27FC236}">
              <a16:creationId xmlns:a16="http://schemas.microsoft.com/office/drawing/2014/main" id="{00000000-0008-0000-0000-00004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42" name="Picture 11" hidden="1">
          <a:extLst>
            <a:ext uri="{FF2B5EF4-FFF2-40B4-BE49-F238E27FC236}">
              <a16:creationId xmlns:a16="http://schemas.microsoft.com/office/drawing/2014/main" id="{00000000-0008-0000-0000-00004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44" name="Picture 11" hidden="1">
          <a:extLst>
            <a:ext uri="{FF2B5EF4-FFF2-40B4-BE49-F238E27FC236}">
              <a16:creationId xmlns:a16="http://schemas.microsoft.com/office/drawing/2014/main" id="{00000000-0008-0000-0000-00004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46" name="Picture 3145" hidden="1">
          <a:extLst>
            <a:ext uri="{FF2B5EF4-FFF2-40B4-BE49-F238E27FC236}">
              <a16:creationId xmlns:a16="http://schemas.microsoft.com/office/drawing/2014/main" id="{00000000-0008-0000-0000-00004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48" name="Picture 11" hidden="1">
          <a:extLst>
            <a:ext uri="{FF2B5EF4-FFF2-40B4-BE49-F238E27FC236}">
              <a16:creationId xmlns:a16="http://schemas.microsoft.com/office/drawing/2014/main" id="{00000000-0008-0000-0000-00004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50" name="Picture 11" hidden="1">
          <a:extLst>
            <a:ext uri="{FF2B5EF4-FFF2-40B4-BE49-F238E27FC236}">
              <a16:creationId xmlns:a16="http://schemas.microsoft.com/office/drawing/2014/main" id="{00000000-0008-0000-0000-00004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52" name="Picture 11" hidden="1">
          <a:extLst>
            <a:ext uri="{FF2B5EF4-FFF2-40B4-BE49-F238E27FC236}">
              <a16:creationId xmlns:a16="http://schemas.microsoft.com/office/drawing/2014/main" id="{00000000-0008-0000-0000-00005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54" name="Picture 11" hidden="1">
          <a:extLst>
            <a:ext uri="{FF2B5EF4-FFF2-40B4-BE49-F238E27FC236}">
              <a16:creationId xmlns:a16="http://schemas.microsoft.com/office/drawing/2014/main" id="{00000000-0008-0000-0000-00005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56" name="Picture 11" hidden="1">
          <a:extLst>
            <a:ext uri="{FF2B5EF4-FFF2-40B4-BE49-F238E27FC236}">
              <a16:creationId xmlns:a16="http://schemas.microsoft.com/office/drawing/2014/main" id="{00000000-0008-0000-0000-00005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58" name="Picture 11" hidden="1">
          <a:extLst>
            <a:ext uri="{FF2B5EF4-FFF2-40B4-BE49-F238E27FC236}">
              <a16:creationId xmlns:a16="http://schemas.microsoft.com/office/drawing/2014/main" id="{00000000-0008-0000-0000-00005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60" name="Picture 11" hidden="1">
          <a:extLst>
            <a:ext uri="{FF2B5EF4-FFF2-40B4-BE49-F238E27FC236}">
              <a16:creationId xmlns:a16="http://schemas.microsoft.com/office/drawing/2014/main" id="{00000000-0008-0000-0000-00005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62" name="Picture 11" hidden="1">
          <a:extLst>
            <a:ext uri="{FF2B5EF4-FFF2-40B4-BE49-F238E27FC236}">
              <a16:creationId xmlns:a16="http://schemas.microsoft.com/office/drawing/2014/main" id="{00000000-0008-0000-0000-00005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64" name="Picture 11" hidden="1">
          <a:extLst>
            <a:ext uri="{FF2B5EF4-FFF2-40B4-BE49-F238E27FC236}">
              <a16:creationId xmlns:a16="http://schemas.microsoft.com/office/drawing/2014/main" id="{00000000-0008-0000-0000-00005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66" name="Picture 11" hidden="1">
          <a:extLst>
            <a:ext uri="{FF2B5EF4-FFF2-40B4-BE49-F238E27FC236}">
              <a16:creationId xmlns:a16="http://schemas.microsoft.com/office/drawing/2014/main" id="{00000000-0008-0000-0000-00005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68" name="Picture 11" hidden="1">
          <a:extLst>
            <a:ext uri="{FF2B5EF4-FFF2-40B4-BE49-F238E27FC236}">
              <a16:creationId xmlns:a16="http://schemas.microsoft.com/office/drawing/2014/main" id="{00000000-0008-0000-0000-00006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70" name="Picture 11" hidden="1">
          <a:extLst>
            <a:ext uri="{FF2B5EF4-FFF2-40B4-BE49-F238E27FC236}">
              <a16:creationId xmlns:a16="http://schemas.microsoft.com/office/drawing/2014/main" id="{00000000-0008-0000-0000-00006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72" name="Picture 11" hidden="1">
          <a:extLst>
            <a:ext uri="{FF2B5EF4-FFF2-40B4-BE49-F238E27FC236}">
              <a16:creationId xmlns:a16="http://schemas.microsoft.com/office/drawing/2014/main" id="{00000000-0008-0000-0000-00006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74" name="Picture 11" hidden="1">
          <a:extLst>
            <a:ext uri="{FF2B5EF4-FFF2-40B4-BE49-F238E27FC236}">
              <a16:creationId xmlns:a16="http://schemas.microsoft.com/office/drawing/2014/main" id="{00000000-0008-0000-0000-00006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76" name="Picture 11" hidden="1">
          <a:extLst>
            <a:ext uri="{FF2B5EF4-FFF2-40B4-BE49-F238E27FC236}">
              <a16:creationId xmlns:a16="http://schemas.microsoft.com/office/drawing/2014/main" id="{00000000-0008-0000-0000-00006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78" name="Picture 11" hidden="1">
          <a:extLst>
            <a:ext uri="{FF2B5EF4-FFF2-40B4-BE49-F238E27FC236}">
              <a16:creationId xmlns:a16="http://schemas.microsoft.com/office/drawing/2014/main" id="{00000000-0008-0000-0000-00006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80" name="Picture 11" hidden="1">
          <a:extLst>
            <a:ext uri="{FF2B5EF4-FFF2-40B4-BE49-F238E27FC236}">
              <a16:creationId xmlns:a16="http://schemas.microsoft.com/office/drawing/2014/main" id="{00000000-0008-0000-0000-00006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82" name="Picture 11" hidden="1">
          <a:extLst>
            <a:ext uri="{FF2B5EF4-FFF2-40B4-BE49-F238E27FC236}">
              <a16:creationId xmlns:a16="http://schemas.microsoft.com/office/drawing/2014/main" id="{00000000-0008-0000-0000-00006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84" name="Picture 11" hidden="1">
          <a:extLst>
            <a:ext uri="{FF2B5EF4-FFF2-40B4-BE49-F238E27FC236}">
              <a16:creationId xmlns:a16="http://schemas.microsoft.com/office/drawing/2014/main" id="{00000000-0008-0000-0000-00007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86" name="Picture 11" hidden="1">
          <a:extLst>
            <a:ext uri="{FF2B5EF4-FFF2-40B4-BE49-F238E27FC236}">
              <a16:creationId xmlns:a16="http://schemas.microsoft.com/office/drawing/2014/main" id="{00000000-0008-0000-0000-00007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88" name="Picture 11" hidden="1">
          <a:extLst>
            <a:ext uri="{FF2B5EF4-FFF2-40B4-BE49-F238E27FC236}">
              <a16:creationId xmlns:a16="http://schemas.microsoft.com/office/drawing/2014/main" id="{00000000-0008-0000-0000-00007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90" name="Picture 11" hidden="1">
          <a:extLst>
            <a:ext uri="{FF2B5EF4-FFF2-40B4-BE49-F238E27FC236}">
              <a16:creationId xmlns:a16="http://schemas.microsoft.com/office/drawing/2014/main" id="{00000000-0008-0000-0000-00007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92" name="Picture 11" hidden="1">
          <a:extLst>
            <a:ext uri="{FF2B5EF4-FFF2-40B4-BE49-F238E27FC236}">
              <a16:creationId xmlns:a16="http://schemas.microsoft.com/office/drawing/2014/main" id="{00000000-0008-0000-0000-00007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94" name="Picture 11" hidden="1">
          <a:extLst>
            <a:ext uri="{FF2B5EF4-FFF2-40B4-BE49-F238E27FC236}">
              <a16:creationId xmlns:a16="http://schemas.microsoft.com/office/drawing/2014/main" id="{00000000-0008-0000-0000-00007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96" name="Picture 11" hidden="1">
          <a:extLst>
            <a:ext uri="{FF2B5EF4-FFF2-40B4-BE49-F238E27FC236}">
              <a16:creationId xmlns:a16="http://schemas.microsoft.com/office/drawing/2014/main" id="{00000000-0008-0000-0000-00007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98" name="Picture 11" hidden="1">
          <a:extLst>
            <a:ext uri="{FF2B5EF4-FFF2-40B4-BE49-F238E27FC236}">
              <a16:creationId xmlns:a16="http://schemas.microsoft.com/office/drawing/2014/main" id="{00000000-0008-0000-0000-00007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00" name="Picture 11" hidden="1">
          <a:extLst>
            <a:ext uri="{FF2B5EF4-FFF2-40B4-BE49-F238E27FC236}">
              <a16:creationId xmlns:a16="http://schemas.microsoft.com/office/drawing/2014/main" id="{00000000-0008-0000-0000-00008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02" name="Picture 11" hidden="1">
          <a:extLst>
            <a:ext uri="{FF2B5EF4-FFF2-40B4-BE49-F238E27FC236}">
              <a16:creationId xmlns:a16="http://schemas.microsoft.com/office/drawing/2014/main" id="{00000000-0008-0000-0000-00008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04" name="Picture 11" hidden="1">
          <a:extLst>
            <a:ext uri="{FF2B5EF4-FFF2-40B4-BE49-F238E27FC236}">
              <a16:creationId xmlns:a16="http://schemas.microsoft.com/office/drawing/2014/main" id="{00000000-0008-0000-0000-00008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06" name="Picture 11" hidden="1">
          <a:extLst>
            <a:ext uri="{FF2B5EF4-FFF2-40B4-BE49-F238E27FC236}">
              <a16:creationId xmlns:a16="http://schemas.microsoft.com/office/drawing/2014/main" id="{00000000-0008-0000-0000-00008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08" name="Picture 11" hidden="1">
          <a:extLst>
            <a:ext uri="{FF2B5EF4-FFF2-40B4-BE49-F238E27FC236}">
              <a16:creationId xmlns:a16="http://schemas.microsoft.com/office/drawing/2014/main" id="{00000000-0008-0000-0000-00008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10" name="Picture 11" hidden="1">
          <a:extLst>
            <a:ext uri="{FF2B5EF4-FFF2-40B4-BE49-F238E27FC236}">
              <a16:creationId xmlns:a16="http://schemas.microsoft.com/office/drawing/2014/main" id="{00000000-0008-0000-0000-00008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12" name="Picture 11" hidden="1">
          <a:extLst>
            <a:ext uri="{FF2B5EF4-FFF2-40B4-BE49-F238E27FC236}">
              <a16:creationId xmlns:a16="http://schemas.microsoft.com/office/drawing/2014/main" id="{00000000-0008-0000-0000-00008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14" name="Picture 11" hidden="1">
          <a:extLst>
            <a:ext uri="{FF2B5EF4-FFF2-40B4-BE49-F238E27FC236}">
              <a16:creationId xmlns:a16="http://schemas.microsoft.com/office/drawing/2014/main" id="{00000000-0008-0000-0000-00008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16" name="Picture 11" hidden="1">
          <a:extLst>
            <a:ext uri="{FF2B5EF4-FFF2-40B4-BE49-F238E27FC236}">
              <a16:creationId xmlns:a16="http://schemas.microsoft.com/office/drawing/2014/main" id="{00000000-0008-0000-0000-00009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18" name="Picture 11" hidden="1">
          <a:extLst>
            <a:ext uri="{FF2B5EF4-FFF2-40B4-BE49-F238E27FC236}">
              <a16:creationId xmlns:a16="http://schemas.microsoft.com/office/drawing/2014/main" id="{00000000-0008-0000-0000-00009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20" name="Picture 11" hidden="1">
          <a:extLst>
            <a:ext uri="{FF2B5EF4-FFF2-40B4-BE49-F238E27FC236}">
              <a16:creationId xmlns:a16="http://schemas.microsoft.com/office/drawing/2014/main" id="{00000000-0008-0000-0000-00009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22" name="Picture 11" hidden="1">
          <a:extLst>
            <a:ext uri="{FF2B5EF4-FFF2-40B4-BE49-F238E27FC236}">
              <a16:creationId xmlns:a16="http://schemas.microsoft.com/office/drawing/2014/main" id="{00000000-0008-0000-0000-00009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24" name="Picture 11" hidden="1">
          <a:extLst>
            <a:ext uri="{FF2B5EF4-FFF2-40B4-BE49-F238E27FC236}">
              <a16:creationId xmlns:a16="http://schemas.microsoft.com/office/drawing/2014/main" id="{00000000-0008-0000-0000-00009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26" name="Picture 11" hidden="1">
          <a:extLst>
            <a:ext uri="{FF2B5EF4-FFF2-40B4-BE49-F238E27FC236}">
              <a16:creationId xmlns:a16="http://schemas.microsoft.com/office/drawing/2014/main" id="{00000000-0008-0000-0000-00009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28" name="Picture 11" hidden="1">
          <a:extLst>
            <a:ext uri="{FF2B5EF4-FFF2-40B4-BE49-F238E27FC236}">
              <a16:creationId xmlns:a16="http://schemas.microsoft.com/office/drawing/2014/main" id="{00000000-0008-0000-0000-00009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30" name="Picture 11" hidden="1">
          <a:extLst>
            <a:ext uri="{FF2B5EF4-FFF2-40B4-BE49-F238E27FC236}">
              <a16:creationId xmlns:a16="http://schemas.microsoft.com/office/drawing/2014/main" id="{00000000-0008-0000-0000-00009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32" name="Picture 11" hidden="1">
          <a:extLst>
            <a:ext uri="{FF2B5EF4-FFF2-40B4-BE49-F238E27FC236}">
              <a16:creationId xmlns:a16="http://schemas.microsoft.com/office/drawing/2014/main" id="{00000000-0008-0000-0000-0000A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34" name="Picture 11" hidden="1">
          <a:extLst>
            <a:ext uri="{FF2B5EF4-FFF2-40B4-BE49-F238E27FC236}">
              <a16:creationId xmlns:a16="http://schemas.microsoft.com/office/drawing/2014/main" id="{00000000-0008-0000-0000-0000A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36" name="Picture 11" hidden="1">
          <a:extLst>
            <a:ext uri="{FF2B5EF4-FFF2-40B4-BE49-F238E27FC236}">
              <a16:creationId xmlns:a16="http://schemas.microsoft.com/office/drawing/2014/main" id="{00000000-0008-0000-0000-0000A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38" name="Picture 11" hidden="1">
          <a:extLst>
            <a:ext uri="{FF2B5EF4-FFF2-40B4-BE49-F238E27FC236}">
              <a16:creationId xmlns:a16="http://schemas.microsoft.com/office/drawing/2014/main" id="{00000000-0008-0000-0000-0000A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40" name="Picture 11" hidden="1">
          <a:extLst>
            <a:ext uri="{FF2B5EF4-FFF2-40B4-BE49-F238E27FC236}">
              <a16:creationId xmlns:a16="http://schemas.microsoft.com/office/drawing/2014/main" id="{00000000-0008-0000-0000-0000A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42" name="Picture 11" hidden="1">
          <a:extLst>
            <a:ext uri="{FF2B5EF4-FFF2-40B4-BE49-F238E27FC236}">
              <a16:creationId xmlns:a16="http://schemas.microsoft.com/office/drawing/2014/main" id="{00000000-0008-0000-0000-0000A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44" name="Picture 11" hidden="1">
          <a:extLst>
            <a:ext uri="{FF2B5EF4-FFF2-40B4-BE49-F238E27FC236}">
              <a16:creationId xmlns:a16="http://schemas.microsoft.com/office/drawing/2014/main" id="{00000000-0008-0000-0000-0000A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3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C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3246" name="Picture 11" hidden="1">
          <a:extLst>
            <a:ext uri="{FF2B5EF4-FFF2-40B4-BE49-F238E27FC236}">
              <a16:creationId xmlns:a16="http://schemas.microsoft.com/office/drawing/2014/main" id="{00000000-0008-0000-0000-0000A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48" name="Picture 11" hidden="1">
          <a:extLst>
            <a:ext uri="{FF2B5EF4-FFF2-40B4-BE49-F238E27FC236}">
              <a16:creationId xmlns:a16="http://schemas.microsoft.com/office/drawing/2014/main" id="{00000000-0008-0000-0000-0000B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50" name="Picture 11" hidden="1">
          <a:extLst>
            <a:ext uri="{FF2B5EF4-FFF2-40B4-BE49-F238E27FC236}">
              <a16:creationId xmlns:a16="http://schemas.microsoft.com/office/drawing/2014/main" id="{00000000-0008-0000-0000-0000B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52" name="Picture 11" hidden="1">
          <a:extLst>
            <a:ext uri="{FF2B5EF4-FFF2-40B4-BE49-F238E27FC236}">
              <a16:creationId xmlns:a16="http://schemas.microsoft.com/office/drawing/2014/main" id="{00000000-0008-0000-0000-0000B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54" name="Picture 3253" hidden="1">
          <a:extLst>
            <a:ext uri="{FF2B5EF4-FFF2-40B4-BE49-F238E27FC236}">
              <a16:creationId xmlns:a16="http://schemas.microsoft.com/office/drawing/2014/main" id="{00000000-0008-0000-0000-0000B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56" name="Picture 11" hidden="1">
          <a:extLst>
            <a:ext uri="{FF2B5EF4-FFF2-40B4-BE49-F238E27FC236}">
              <a16:creationId xmlns:a16="http://schemas.microsoft.com/office/drawing/2014/main" id="{00000000-0008-0000-0000-0000B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58" name="Picture 11" hidden="1">
          <a:extLst>
            <a:ext uri="{FF2B5EF4-FFF2-40B4-BE49-F238E27FC236}">
              <a16:creationId xmlns:a16="http://schemas.microsoft.com/office/drawing/2014/main" id="{00000000-0008-0000-0000-0000B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60" name="Picture 11" hidden="1">
          <a:extLst>
            <a:ext uri="{FF2B5EF4-FFF2-40B4-BE49-F238E27FC236}">
              <a16:creationId xmlns:a16="http://schemas.microsoft.com/office/drawing/2014/main" id="{00000000-0008-0000-0000-0000B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62" name="Picture 11" hidden="1">
          <a:extLst>
            <a:ext uri="{FF2B5EF4-FFF2-40B4-BE49-F238E27FC236}">
              <a16:creationId xmlns:a16="http://schemas.microsoft.com/office/drawing/2014/main" id="{00000000-0008-0000-0000-0000B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64" name="Picture 11" hidden="1">
          <a:extLst>
            <a:ext uri="{FF2B5EF4-FFF2-40B4-BE49-F238E27FC236}">
              <a16:creationId xmlns:a16="http://schemas.microsoft.com/office/drawing/2014/main" id="{00000000-0008-0000-0000-0000C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66" name="Picture 11" hidden="1">
          <a:extLst>
            <a:ext uri="{FF2B5EF4-FFF2-40B4-BE49-F238E27FC236}">
              <a16:creationId xmlns:a16="http://schemas.microsoft.com/office/drawing/2014/main" id="{00000000-0008-0000-0000-0000C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68" name="Picture 11" hidden="1">
          <a:extLst>
            <a:ext uri="{FF2B5EF4-FFF2-40B4-BE49-F238E27FC236}">
              <a16:creationId xmlns:a16="http://schemas.microsoft.com/office/drawing/2014/main" id="{00000000-0008-0000-0000-0000C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70" name="Picture 11" hidden="1">
          <a:extLst>
            <a:ext uri="{FF2B5EF4-FFF2-40B4-BE49-F238E27FC236}">
              <a16:creationId xmlns:a16="http://schemas.microsoft.com/office/drawing/2014/main" id="{00000000-0008-0000-0000-0000C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72" name="Picture 11" hidden="1">
          <a:extLst>
            <a:ext uri="{FF2B5EF4-FFF2-40B4-BE49-F238E27FC236}">
              <a16:creationId xmlns:a16="http://schemas.microsoft.com/office/drawing/2014/main" id="{00000000-0008-0000-0000-0000C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74" name="Picture 11" hidden="1">
          <a:extLst>
            <a:ext uri="{FF2B5EF4-FFF2-40B4-BE49-F238E27FC236}">
              <a16:creationId xmlns:a16="http://schemas.microsoft.com/office/drawing/2014/main" id="{00000000-0008-0000-0000-0000C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76" name="Picture 11" hidden="1">
          <a:extLst>
            <a:ext uri="{FF2B5EF4-FFF2-40B4-BE49-F238E27FC236}">
              <a16:creationId xmlns:a16="http://schemas.microsoft.com/office/drawing/2014/main" id="{00000000-0008-0000-0000-0000C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78" name="Picture 11" hidden="1">
          <a:extLst>
            <a:ext uri="{FF2B5EF4-FFF2-40B4-BE49-F238E27FC236}">
              <a16:creationId xmlns:a16="http://schemas.microsoft.com/office/drawing/2014/main" id="{00000000-0008-0000-0000-0000C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80" name="Picture 11" hidden="1">
          <a:extLst>
            <a:ext uri="{FF2B5EF4-FFF2-40B4-BE49-F238E27FC236}">
              <a16:creationId xmlns:a16="http://schemas.microsoft.com/office/drawing/2014/main" id="{00000000-0008-0000-0000-0000D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82" name="Picture 11" hidden="1">
          <a:extLst>
            <a:ext uri="{FF2B5EF4-FFF2-40B4-BE49-F238E27FC236}">
              <a16:creationId xmlns:a16="http://schemas.microsoft.com/office/drawing/2014/main" id="{00000000-0008-0000-0000-0000D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84" name="Picture 11" hidden="1">
          <a:extLst>
            <a:ext uri="{FF2B5EF4-FFF2-40B4-BE49-F238E27FC236}">
              <a16:creationId xmlns:a16="http://schemas.microsoft.com/office/drawing/2014/main" id="{00000000-0008-0000-0000-0000D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86" name="Picture 11" hidden="1">
          <a:extLst>
            <a:ext uri="{FF2B5EF4-FFF2-40B4-BE49-F238E27FC236}">
              <a16:creationId xmlns:a16="http://schemas.microsoft.com/office/drawing/2014/main" id="{00000000-0008-0000-0000-0000D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88" name="Picture 11" hidden="1">
          <a:extLst>
            <a:ext uri="{FF2B5EF4-FFF2-40B4-BE49-F238E27FC236}">
              <a16:creationId xmlns:a16="http://schemas.microsoft.com/office/drawing/2014/main" id="{00000000-0008-0000-0000-0000D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90" name="Picture 11" hidden="1">
          <a:extLst>
            <a:ext uri="{FF2B5EF4-FFF2-40B4-BE49-F238E27FC236}">
              <a16:creationId xmlns:a16="http://schemas.microsoft.com/office/drawing/2014/main" id="{00000000-0008-0000-0000-0000D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92" name="Picture 11" hidden="1">
          <a:extLst>
            <a:ext uri="{FF2B5EF4-FFF2-40B4-BE49-F238E27FC236}">
              <a16:creationId xmlns:a16="http://schemas.microsoft.com/office/drawing/2014/main" id="{00000000-0008-0000-0000-0000D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94" name="Picture 11" hidden="1">
          <a:extLst>
            <a:ext uri="{FF2B5EF4-FFF2-40B4-BE49-F238E27FC236}">
              <a16:creationId xmlns:a16="http://schemas.microsoft.com/office/drawing/2014/main" id="{00000000-0008-0000-0000-0000D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96" name="Picture 11" hidden="1">
          <a:extLst>
            <a:ext uri="{FF2B5EF4-FFF2-40B4-BE49-F238E27FC236}">
              <a16:creationId xmlns:a16="http://schemas.microsoft.com/office/drawing/2014/main" id="{00000000-0008-0000-0000-0000E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98" name="Picture 11" hidden="1">
          <a:extLst>
            <a:ext uri="{FF2B5EF4-FFF2-40B4-BE49-F238E27FC236}">
              <a16:creationId xmlns:a16="http://schemas.microsoft.com/office/drawing/2014/main" id="{00000000-0008-0000-0000-0000E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00" name="Picture 11" hidden="1">
          <a:extLst>
            <a:ext uri="{FF2B5EF4-FFF2-40B4-BE49-F238E27FC236}">
              <a16:creationId xmlns:a16="http://schemas.microsoft.com/office/drawing/2014/main" id="{00000000-0008-0000-0000-0000E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02" name="Picture 11" hidden="1">
          <a:extLst>
            <a:ext uri="{FF2B5EF4-FFF2-40B4-BE49-F238E27FC236}">
              <a16:creationId xmlns:a16="http://schemas.microsoft.com/office/drawing/2014/main" id="{00000000-0008-0000-0000-0000E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04" name="Picture 11" hidden="1">
          <a:extLst>
            <a:ext uri="{FF2B5EF4-FFF2-40B4-BE49-F238E27FC236}">
              <a16:creationId xmlns:a16="http://schemas.microsoft.com/office/drawing/2014/main" id="{00000000-0008-0000-0000-0000E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06" name="Picture 11" hidden="1">
          <a:extLst>
            <a:ext uri="{FF2B5EF4-FFF2-40B4-BE49-F238E27FC236}">
              <a16:creationId xmlns:a16="http://schemas.microsoft.com/office/drawing/2014/main" id="{00000000-0008-0000-0000-0000E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08" name="Picture 11" hidden="1">
          <a:extLst>
            <a:ext uri="{FF2B5EF4-FFF2-40B4-BE49-F238E27FC236}">
              <a16:creationId xmlns:a16="http://schemas.microsoft.com/office/drawing/2014/main" id="{00000000-0008-0000-0000-0000E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10" name="Picture 11" hidden="1">
          <a:extLst>
            <a:ext uri="{FF2B5EF4-FFF2-40B4-BE49-F238E27FC236}">
              <a16:creationId xmlns:a16="http://schemas.microsoft.com/office/drawing/2014/main" id="{00000000-0008-0000-0000-0000E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12" name="Picture 11" hidden="1">
          <a:extLst>
            <a:ext uri="{FF2B5EF4-FFF2-40B4-BE49-F238E27FC236}">
              <a16:creationId xmlns:a16="http://schemas.microsoft.com/office/drawing/2014/main" id="{00000000-0008-0000-0000-0000F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14" name="Picture 11" hidden="1">
          <a:extLst>
            <a:ext uri="{FF2B5EF4-FFF2-40B4-BE49-F238E27FC236}">
              <a16:creationId xmlns:a16="http://schemas.microsoft.com/office/drawing/2014/main" id="{00000000-0008-0000-0000-0000F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16" name="Picture 11" hidden="1">
          <a:extLst>
            <a:ext uri="{FF2B5EF4-FFF2-40B4-BE49-F238E27FC236}">
              <a16:creationId xmlns:a16="http://schemas.microsoft.com/office/drawing/2014/main" id="{00000000-0008-0000-0000-0000F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18" name="Picture 11" hidden="1">
          <a:extLst>
            <a:ext uri="{FF2B5EF4-FFF2-40B4-BE49-F238E27FC236}">
              <a16:creationId xmlns:a16="http://schemas.microsoft.com/office/drawing/2014/main" id="{00000000-0008-0000-0000-0000F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20" name="Picture 11" hidden="1">
          <a:extLst>
            <a:ext uri="{FF2B5EF4-FFF2-40B4-BE49-F238E27FC236}">
              <a16:creationId xmlns:a16="http://schemas.microsoft.com/office/drawing/2014/main" id="{00000000-0008-0000-0000-0000F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22" name="Picture 11" hidden="1">
          <a:extLst>
            <a:ext uri="{FF2B5EF4-FFF2-40B4-BE49-F238E27FC236}">
              <a16:creationId xmlns:a16="http://schemas.microsoft.com/office/drawing/2014/main" id="{00000000-0008-0000-0000-0000F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24" name="Picture 11" hidden="1">
          <a:extLst>
            <a:ext uri="{FF2B5EF4-FFF2-40B4-BE49-F238E27FC236}">
              <a16:creationId xmlns:a16="http://schemas.microsoft.com/office/drawing/2014/main" id="{00000000-0008-0000-0000-0000F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26" name="Picture 11" hidden="1">
          <a:extLst>
            <a:ext uri="{FF2B5EF4-FFF2-40B4-BE49-F238E27FC236}">
              <a16:creationId xmlns:a16="http://schemas.microsoft.com/office/drawing/2014/main" id="{00000000-0008-0000-0000-0000F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28" name="Picture 11" hidden="1">
          <a:extLst>
            <a:ext uri="{FF2B5EF4-FFF2-40B4-BE49-F238E27FC236}">
              <a16:creationId xmlns:a16="http://schemas.microsoft.com/office/drawing/2014/main" id="{00000000-0008-0000-0000-00000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30" name="Picture 11" hidden="1">
          <a:extLst>
            <a:ext uri="{FF2B5EF4-FFF2-40B4-BE49-F238E27FC236}">
              <a16:creationId xmlns:a16="http://schemas.microsoft.com/office/drawing/2014/main" id="{00000000-0008-0000-0000-00000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32" name="Picture 11" hidden="1">
          <a:extLst>
            <a:ext uri="{FF2B5EF4-FFF2-40B4-BE49-F238E27FC236}">
              <a16:creationId xmlns:a16="http://schemas.microsoft.com/office/drawing/2014/main" id="{00000000-0008-0000-0000-00000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34" name="Picture 11" hidden="1">
          <a:extLst>
            <a:ext uri="{FF2B5EF4-FFF2-40B4-BE49-F238E27FC236}">
              <a16:creationId xmlns:a16="http://schemas.microsoft.com/office/drawing/2014/main" id="{00000000-0008-0000-0000-00000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36" name="Picture 11" hidden="1">
          <a:extLst>
            <a:ext uri="{FF2B5EF4-FFF2-40B4-BE49-F238E27FC236}">
              <a16:creationId xmlns:a16="http://schemas.microsoft.com/office/drawing/2014/main" id="{00000000-0008-0000-0000-00000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38" name="Picture 11" hidden="1">
          <a:extLst>
            <a:ext uri="{FF2B5EF4-FFF2-40B4-BE49-F238E27FC236}">
              <a16:creationId xmlns:a16="http://schemas.microsoft.com/office/drawing/2014/main" id="{00000000-0008-0000-0000-00000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40" name="Picture 11" hidden="1">
          <a:extLst>
            <a:ext uri="{FF2B5EF4-FFF2-40B4-BE49-F238E27FC236}">
              <a16:creationId xmlns:a16="http://schemas.microsoft.com/office/drawing/2014/main" id="{00000000-0008-0000-0000-00000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42" name="Picture 11" hidden="1">
          <a:extLst>
            <a:ext uri="{FF2B5EF4-FFF2-40B4-BE49-F238E27FC236}">
              <a16:creationId xmlns:a16="http://schemas.microsoft.com/office/drawing/2014/main" id="{00000000-0008-0000-0000-00000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44" name="Picture 11" hidden="1">
          <a:extLst>
            <a:ext uri="{FF2B5EF4-FFF2-40B4-BE49-F238E27FC236}">
              <a16:creationId xmlns:a16="http://schemas.microsoft.com/office/drawing/2014/main" id="{00000000-0008-0000-0000-00001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46" name="Picture 11" hidden="1">
          <a:extLst>
            <a:ext uri="{FF2B5EF4-FFF2-40B4-BE49-F238E27FC236}">
              <a16:creationId xmlns:a16="http://schemas.microsoft.com/office/drawing/2014/main" id="{00000000-0008-0000-0000-00001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48" name="Picture 11" hidden="1">
          <a:extLst>
            <a:ext uri="{FF2B5EF4-FFF2-40B4-BE49-F238E27FC236}">
              <a16:creationId xmlns:a16="http://schemas.microsoft.com/office/drawing/2014/main" id="{00000000-0008-0000-0000-00001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50" name="Picture 11" hidden="1">
          <a:extLst>
            <a:ext uri="{FF2B5EF4-FFF2-40B4-BE49-F238E27FC236}">
              <a16:creationId xmlns:a16="http://schemas.microsoft.com/office/drawing/2014/main" id="{00000000-0008-0000-0000-00001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52" name="Picture 11" hidden="1">
          <a:extLst>
            <a:ext uri="{FF2B5EF4-FFF2-40B4-BE49-F238E27FC236}">
              <a16:creationId xmlns:a16="http://schemas.microsoft.com/office/drawing/2014/main" id="{00000000-0008-0000-0000-00001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54" name="Picture 11" hidden="1">
          <a:extLst>
            <a:ext uri="{FF2B5EF4-FFF2-40B4-BE49-F238E27FC236}">
              <a16:creationId xmlns:a16="http://schemas.microsoft.com/office/drawing/2014/main" id="{00000000-0008-0000-0000-00001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56" name="Picture 11" hidden="1">
          <a:extLst>
            <a:ext uri="{FF2B5EF4-FFF2-40B4-BE49-F238E27FC236}">
              <a16:creationId xmlns:a16="http://schemas.microsoft.com/office/drawing/2014/main" id="{00000000-0008-0000-0000-00001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58" name="Picture 11" hidden="1">
          <a:extLst>
            <a:ext uri="{FF2B5EF4-FFF2-40B4-BE49-F238E27FC236}">
              <a16:creationId xmlns:a16="http://schemas.microsoft.com/office/drawing/2014/main" id="{00000000-0008-0000-0000-00001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60" name="Picture 11" hidden="1">
          <a:extLst>
            <a:ext uri="{FF2B5EF4-FFF2-40B4-BE49-F238E27FC236}">
              <a16:creationId xmlns:a16="http://schemas.microsoft.com/office/drawing/2014/main" id="{00000000-0008-0000-0000-00002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62" name="Picture 3361" hidden="1">
          <a:extLst>
            <a:ext uri="{FF2B5EF4-FFF2-40B4-BE49-F238E27FC236}">
              <a16:creationId xmlns:a16="http://schemas.microsoft.com/office/drawing/2014/main" id="{00000000-0008-0000-0000-00002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64" name="Picture 11" hidden="1">
          <a:extLst>
            <a:ext uri="{FF2B5EF4-FFF2-40B4-BE49-F238E27FC236}">
              <a16:creationId xmlns:a16="http://schemas.microsoft.com/office/drawing/2014/main" id="{00000000-0008-0000-0000-00002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66" name="Picture 11" hidden="1">
          <a:extLst>
            <a:ext uri="{FF2B5EF4-FFF2-40B4-BE49-F238E27FC236}">
              <a16:creationId xmlns:a16="http://schemas.microsoft.com/office/drawing/2014/main" id="{00000000-0008-0000-0000-00002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68" name="Picture 11" hidden="1">
          <a:extLst>
            <a:ext uri="{FF2B5EF4-FFF2-40B4-BE49-F238E27FC236}">
              <a16:creationId xmlns:a16="http://schemas.microsoft.com/office/drawing/2014/main" id="{00000000-0008-0000-0000-00002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70" name="Picture 11" hidden="1">
          <a:extLst>
            <a:ext uri="{FF2B5EF4-FFF2-40B4-BE49-F238E27FC236}">
              <a16:creationId xmlns:a16="http://schemas.microsoft.com/office/drawing/2014/main" id="{00000000-0008-0000-0000-00002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72" name="Picture 11" hidden="1">
          <a:extLst>
            <a:ext uri="{FF2B5EF4-FFF2-40B4-BE49-F238E27FC236}">
              <a16:creationId xmlns:a16="http://schemas.microsoft.com/office/drawing/2014/main" id="{00000000-0008-0000-0000-00002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74" name="Picture 11" hidden="1">
          <a:extLst>
            <a:ext uri="{FF2B5EF4-FFF2-40B4-BE49-F238E27FC236}">
              <a16:creationId xmlns:a16="http://schemas.microsoft.com/office/drawing/2014/main" id="{00000000-0008-0000-0000-00002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76" name="Picture 11" hidden="1">
          <a:extLst>
            <a:ext uri="{FF2B5EF4-FFF2-40B4-BE49-F238E27FC236}">
              <a16:creationId xmlns:a16="http://schemas.microsoft.com/office/drawing/2014/main" id="{00000000-0008-0000-0000-00003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78" name="Picture 11" hidden="1">
          <a:extLst>
            <a:ext uri="{FF2B5EF4-FFF2-40B4-BE49-F238E27FC236}">
              <a16:creationId xmlns:a16="http://schemas.microsoft.com/office/drawing/2014/main" id="{00000000-0008-0000-0000-00003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80" name="Picture 11" hidden="1">
          <a:extLst>
            <a:ext uri="{FF2B5EF4-FFF2-40B4-BE49-F238E27FC236}">
              <a16:creationId xmlns:a16="http://schemas.microsoft.com/office/drawing/2014/main" id="{00000000-0008-0000-0000-00003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82" name="Picture 11" hidden="1">
          <a:extLst>
            <a:ext uri="{FF2B5EF4-FFF2-40B4-BE49-F238E27FC236}">
              <a16:creationId xmlns:a16="http://schemas.microsoft.com/office/drawing/2014/main" id="{00000000-0008-0000-0000-00003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84" name="Picture 11" hidden="1">
          <a:extLst>
            <a:ext uri="{FF2B5EF4-FFF2-40B4-BE49-F238E27FC236}">
              <a16:creationId xmlns:a16="http://schemas.microsoft.com/office/drawing/2014/main" id="{00000000-0008-0000-0000-00003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86" name="Picture 11" hidden="1">
          <a:extLst>
            <a:ext uri="{FF2B5EF4-FFF2-40B4-BE49-F238E27FC236}">
              <a16:creationId xmlns:a16="http://schemas.microsoft.com/office/drawing/2014/main" id="{00000000-0008-0000-0000-00003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88" name="Picture 11" hidden="1">
          <a:extLst>
            <a:ext uri="{FF2B5EF4-FFF2-40B4-BE49-F238E27FC236}">
              <a16:creationId xmlns:a16="http://schemas.microsoft.com/office/drawing/2014/main" id="{00000000-0008-0000-0000-00003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90" name="Picture 11" hidden="1">
          <a:extLst>
            <a:ext uri="{FF2B5EF4-FFF2-40B4-BE49-F238E27FC236}">
              <a16:creationId xmlns:a16="http://schemas.microsoft.com/office/drawing/2014/main" id="{00000000-0008-0000-0000-00003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92" name="Picture 11" hidden="1">
          <a:extLst>
            <a:ext uri="{FF2B5EF4-FFF2-40B4-BE49-F238E27FC236}">
              <a16:creationId xmlns:a16="http://schemas.microsoft.com/office/drawing/2014/main" id="{00000000-0008-0000-0000-00004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94" name="Picture 11" hidden="1">
          <a:extLst>
            <a:ext uri="{FF2B5EF4-FFF2-40B4-BE49-F238E27FC236}">
              <a16:creationId xmlns:a16="http://schemas.microsoft.com/office/drawing/2014/main" id="{00000000-0008-0000-0000-00004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96" name="Picture 11" hidden="1">
          <a:extLst>
            <a:ext uri="{FF2B5EF4-FFF2-40B4-BE49-F238E27FC236}">
              <a16:creationId xmlns:a16="http://schemas.microsoft.com/office/drawing/2014/main" id="{00000000-0008-0000-0000-00004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98" name="Picture 11" hidden="1">
          <a:extLst>
            <a:ext uri="{FF2B5EF4-FFF2-40B4-BE49-F238E27FC236}">
              <a16:creationId xmlns:a16="http://schemas.microsoft.com/office/drawing/2014/main" id="{00000000-0008-0000-0000-00004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00" name="Picture 11" hidden="1">
          <a:extLst>
            <a:ext uri="{FF2B5EF4-FFF2-40B4-BE49-F238E27FC236}">
              <a16:creationId xmlns:a16="http://schemas.microsoft.com/office/drawing/2014/main" id="{00000000-0008-0000-0000-00004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02" name="Picture 11" hidden="1">
          <a:extLst>
            <a:ext uri="{FF2B5EF4-FFF2-40B4-BE49-F238E27FC236}">
              <a16:creationId xmlns:a16="http://schemas.microsoft.com/office/drawing/2014/main" id="{00000000-0008-0000-0000-00004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04" name="Picture 11" hidden="1">
          <a:extLst>
            <a:ext uri="{FF2B5EF4-FFF2-40B4-BE49-F238E27FC236}">
              <a16:creationId xmlns:a16="http://schemas.microsoft.com/office/drawing/2014/main" id="{00000000-0008-0000-0000-00004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06" name="Picture 11" hidden="1">
          <a:extLst>
            <a:ext uri="{FF2B5EF4-FFF2-40B4-BE49-F238E27FC236}">
              <a16:creationId xmlns:a16="http://schemas.microsoft.com/office/drawing/2014/main" id="{00000000-0008-0000-0000-00004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08" name="Picture 11" hidden="1">
          <a:extLst>
            <a:ext uri="{FF2B5EF4-FFF2-40B4-BE49-F238E27FC236}">
              <a16:creationId xmlns:a16="http://schemas.microsoft.com/office/drawing/2014/main" id="{00000000-0008-0000-0000-00005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10" name="Picture 11" hidden="1">
          <a:extLst>
            <a:ext uri="{FF2B5EF4-FFF2-40B4-BE49-F238E27FC236}">
              <a16:creationId xmlns:a16="http://schemas.microsoft.com/office/drawing/2014/main" id="{00000000-0008-0000-0000-00005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12" name="Picture 11" hidden="1">
          <a:extLst>
            <a:ext uri="{FF2B5EF4-FFF2-40B4-BE49-F238E27FC236}">
              <a16:creationId xmlns:a16="http://schemas.microsoft.com/office/drawing/2014/main" id="{00000000-0008-0000-0000-00005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14" name="Picture 11" hidden="1">
          <a:extLst>
            <a:ext uri="{FF2B5EF4-FFF2-40B4-BE49-F238E27FC236}">
              <a16:creationId xmlns:a16="http://schemas.microsoft.com/office/drawing/2014/main" id="{00000000-0008-0000-0000-00005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16" name="Picture 11" hidden="1">
          <a:extLst>
            <a:ext uri="{FF2B5EF4-FFF2-40B4-BE49-F238E27FC236}">
              <a16:creationId xmlns:a16="http://schemas.microsoft.com/office/drawing/2014/main" id="{00000000-0008-0000-0000-00005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18" name="Picture 11" hidden="1">
          <a:extLst>
            <a:ext uri="{FF2B5EF4-FFF2-40B4-BE49-F238E27FC236}">
              <a16:creationId xmlns:a16="http://schemas.microsoft.com/office/drawing/2014/main" id="{00000000-0008-0000-0000-00005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20" name="Picture 11" hidden="1">
          <a:extLst>
            <a:ext uri="{FF2B5EF4-FFF2-40B4-BE49-F238E27FC236}">
              <a16:creationId xmlns:a16="http://schemas.microsoft.com/office/drawing/2014/main" id="{00000000-0008-0000-0000-00005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22" name="Picture 11" hidden="1">
          <a:extLst>
            <a:ext uri="{FF2B5EF4-FFF2-40B4-BE49-F238E27FC236}">
              <a16:creationId xmlns:a16="http://schemas.microsoft.com/office/drawing/2014/main" id="{00000000-0008-0000-0000-00005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24" name="Picture 11" hidden="1">
          <a:extLst>
            <a:ext uri="{FF2B5EF4-FFF2-40B4-BE49-F238E27FC236}">
              <a16:creationId xmlns:a16="http://schemas.microsoft.com/office/drawing/2014/main" id="{00000000-0008-0000-0000-00006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26" name="Picture 11" hidden="1">
          <a:extLst>
            <a:ext uri="{FF2B5EF4-FFF2-40B4-BE49-F238E27FC236}">
              <a16:creationId xmlns:a16="http://schemas.microsoft.com/office/drawing/2014/main" id="{00000000-0008-0000-0000-00006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28" name="Picture 11" hidden="1">
          <a:extLst>
            <a:ext uri="{FF2B5EF4-FFF2-40B4-BE49-F238E27FC236}">
              <a16:creationId xmlns:a16="http://schemas.microsoft.com/office/drawing/2014/main" id="{00000000-0008-0000-0000-00006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30" name="Picture 11" hidden="1">
          <a:extLst>
            <a:ext uri="{FF2B5EF4-FFF2-40B4-BE49-F238E27FC236}">
              <a16:creationId xmlns:a16="http://schemas.microsoft.com/office/drawing/2014/main" id="{00000000-0008-0000-0000-00006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32" name="Picture 11" hidden="1">
          <a:extLst>
            <a:ext uri="{FF2B5EF4-FFF2-40B4-BE49-F238E27FC236}">
              <a16:creationId xmlns:a16="http://schemas.microsoft.com/office/drawing/2014/main" id="{00000000-0008-0000-0000-00006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34" name="Picture 11" hidden="1">
          <a:extLst>
            <a:ext uri="{FF2B5EF4-FFF2-40B4-BE49-F238E27FC236}">
              <a16:creationId xmlns:a16="http://schemas.microsoft.com/office/drawing/2014/main" id="{00000000-0008-0000-0000-00006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36" name="Picture 11" hidden="1">
          <a:extLst>
            <a:ext uri="{FF2B5EF4-FFF2-40B4-BE49-F238E27FC236}">
              <a16:creationId xmlns:a16="http://schemas.microsoft.com/office/drawing/2014/main" id="{00000000-0008-0000-0000-00006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38" name="Picture 11" hidden="1">
          <a:extLst>
            <a:ext uri="{FF2B5EF4-FFF2-40B4-BE49-F238E27FC236}">
              <a16:creationId xmlns:a16="http://schemas.microsoft.com/office/drawing/2014/main" id="{00000000-0008-0000-0000-00006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40" name="Picture 11" hidden="1">
          <a:extLst>
            <a:ext uri="{FF2B5EF4-FFF2-40B4-BE49-F238E27FC236}">
              <a16:creationId xmlns:a16="http://schemas.microsoft.com/office/drawing/2014/main" id="{00000000-0008-0000-0000-00007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42" name="Picture 11" hidden="1">
          <a:extLst>
            <a:ext uri="{FF2B5EF4-FFF2-40B4-BE49-F238E27FC236}">
              <a16:creationId xmlns:a16="http://schemas.microsoft.com/office/drawing/2014/main" id="{00000000-0008-0000-0000-00007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44" name="Picture 11" hidden="1">
          <a:extLst>
            <a:ext uri="{FF2B5EF4-FFF2-40B4-BE49-F238E27FC236}">
              <a16:creationId xmlns:a16="http://schemas.microsoft.com/office/drawing/2014/main" id="{00000000-0008-0000-0000-00007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46" name="Picture 11" hidden="1">
          <a:extLst>
            <a:ext uri="{FF2B5EF4-FFF2-40B4-BE49-F238E27FC236}">
              <a16:creationId xmlns:a16="http://schemas.microsoft.com/office/drawing/2014/main" id="{00000000-0008-0000-0000-00007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48" name="Picture 11" hidden="1">
          <a:extLst>
            <a:ext uri="{FF2B5EF4-FFF2-40B4-BE49-F238E27FC236}">
              <a16:creationId xmlns:a16="http://schemas.microsoft.com/office/drawing/2014/main" id="{00000000-0008-0000-0000-00007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50" name="Picture 11" hidden="1">
          <a:extLst>
            <a:ext uri="{FF2B5EF4-FFF2-40B4-BE49-F238E27FC236}">
              <a16:creationId xmlns:a16="http://schemas.microsoft.com/office/drawing/2014/main" id="{00000000-0008-0000-0000-00007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52" name="Picture 11" hidden="1">
          <a:extLst>
            <a:ext uri="{FF2B5EF4-FFF2-40B4-BE49-F238E27FC236}">
              <a16:creationId xmlns:a16="http://schemas.microsoft.com/office/drawing/2014/main" id="{00000000-0008-0000-0000-00007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54" name="Picture 11" hidden="1">
          <a:extLst>
            <a:ext uri="{FF2B5EF4-FFF2-40B4-BE49-F238E27FC236}">
              <a16:creationId xmlns:a16="http://schemas.microsoft.com/office/drawing/2014/main" id="{00000000-0008-0000-0000-00007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56" name="Picture 11" hidden="1">
          <a:extLst>
            <a:ext uri="{FF2B5EF4-FFF2-40B4-BE49-F238E27FC236}">
              <a16:creationId xmlns:a16="http://schemas.microsoft.com/office/drawing/2014/main" id="{00000000-0008-0000-0000-00008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58" name="Picture 11" hidden="1">
          <a:extLst>
            <a:ext uri="{FF2B5EF4-FFF2-40B4-BE49-F238E27FC236}">
              <a16:creationId xmlns:a16="http://schemas.microsoft.com/office/drawing/2014/main" id="{00000000-0008-0000-0000-00008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60" name="Picture 11" hidden="1">
          <a:extLst>
            <a:ext uri="{FF2B5EF4-FFF2-40B4-BE49-F238E27FC236}">
              <a16:creationId xmlns:a16="http://schemas.microsoft.com/office/drawing/2014/main" id="{00000000-0008-0000-0000-00008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62" name="Picture 11" hidden="1">
          <a:extLst>
            <a:ext uri="{FF2B5EF4-FFF2-40B4-BE49-F238E27FC236}">
              <a16:creationId xmlns:a16="http://schemas.microsoft.com/office/drawing/2014/main" id="{00000000-0008-0000-0000-00008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64" name="Picture 11" hidden="1">
          <a:extLst>
            <a:ext uri="{FF2B5EF4-FFF2-40B4-BE49-F238E27FC236}">
              <a16:creationId xmlns:a16="http://schemas.microsoft.com/office/drawing/2014/main" id="{00000000-0008-0000-0000-00008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66" name="Picture 11" hidden="1">
          <a:extLst>
            <a:ext uri="{FF2B5EF4-FFF2-40B4-BE49-F238E27FC236}">
              <a16:creationId xmlns:a16="http://schemas.microsoft.com/office/drawing/2014/main" id="{00000000-0008-0000-0000-00008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68" name="Picture 11" hidden="1">
          <a:extLst>
            <a:ext uri="{FF2B5EF4-FFF2-40B4-BE49-F238E27FC236}">
              <a16:creationId xmlns:a16="http://schemas.microsoft.com/office/drawing/2014/main" id="{00000000-0008-0000-0000-00008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70" name="Picture 3469" hidden="1">
          <a:extLst>
            <a:ext uri="{FF2B5EF4-FFF2-40B4-BE49-F238E27FC236}">
              <a16:creationId xmlns:a16="http://schemas.microsoft.com/office/drawing/2014/main" id="{00000000-0008-0000-0000-00008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72" name="Picture 11" hidden="1">
          <a:extLst>
            <a:ext uri="{FF2B5EF4-FFF2-40B4-BE49-F238E27FC236}">
              <a16:creationId xmlns:a16="http://schemas.microsoft.com/office/drawing/2014/main" id="{00000000-0008-0000-0000-00009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74" name="Picture 11" hidden="1">
          <a:extLst>
            <a:ext uri="{FF2B5EF4-FFF2-40B4-BE49-F238E27FC236}">
              <a16:creationId xmlns:a16="http://schemas.microsoft.com/office/drawing/2014/main" id="{00000000-0008-0000-0000-00009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76" name="Picture 11" hidden="1">
          <a:extLst>
            <a:ext uri="{FF2B5EF4-FFF2-40B4-BE49-F238E27FC236}">
              <a16:creationId xmlns:a16="http://schemas.microsoft.com/office/drawing/2014/main" id="{00000000-0008-0000-0000-00009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78" name="Picture 11" hidden="1">
          <a:extLst>
            <a:ext uri="{FF2B5EF4-FFF2-40B4-BE49-F238E27FC236}">
              <a16:creationId xmlns:a16="http://schemas.microsoft.com/office/drawing/2014/main" id="{00000000-0008-0000-0000-00009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80" name="Picture 11" hidden="1">
          <a:extLst>
            <a:ext uri="{FF2B5EF4-FFF2-40B4-BE49-F238E27FC236}">
              <a16:creationId xmlns:a16="http://schemas.microsoft.com/office/drawing/2014/main" id="{00000000-0008-0000-0000-00009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82" name="Picture 11" hidden="1">
          <a:extLst>
            <a:ext uri="{FF2B5EF4-FFF2-40B4-BE49-F238E27FC236}">
              <a16:creationId xmlns:a16="http://schemas.microsoft.com/office/drawing/2014/main" id="{00000000-0008-0000-0000-00009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84" name="Picture 11" hidden="1">
          <a:extLst>
            <a:ext uri="{FF2B5EF4-FFF2-40B4-BE49-F238E27FC236}">
              <a16:creationId xmlns:a16="http://schemas.microsoft.com/office/drawing/2014/main" id="{00000000-0008-0000-0000-00009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86" name="Picture 11" hidden="1">
          <a:extLst>
            <a:ext uri="{FF2B5EF4-FFF2-40B4-BE49-F238E27FC236}">
              <a16:creationId xmlns:a16="http://schemas.microsoft.com/office/drawing/2014/main" id="{00000000-0008-0000-0000-00009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88" name="Picture 11" hidden="1">
          <a:extLst>
            <a:ext uri="{FF2B5EF4-FFF2-40B4-BE49-F238E27FC236}">
              <a16:creationId xmlns:a16="http://schemas.microsoft.com/office/drawing/2014/main" id="{00000000-0008-0000-0000-0000A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90" name="Picture 11" hidden="1">
          <a:extLst>
            <a:ext uri="{FF2B5EF4-FFF2-40B4-BE49-F238E27FC236}">
              <a16:creationId xmlns:a16="http://schemas.microsoft.com/office/drawing/2014/main" id="{00000000-0008-0000-0000-0000A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92" name="Picture 11" hidden="1">
          <a:extLst>
            <a:ext uri="{FF2B5EF4-FFF2-40B4-BE49-F238E27FC236}">
              <a16:creationId xmlns:a16="http://schemas.microsoft.com/office/drawing/2014/main" id="{00000000-0008-0000-0000-0000A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94" name="Picture 11" hidden="1">
          <a:extLst>
            <a:ext uri="{FF2B5EF4-FFF2-40B4-BE49-F238E27FC236}">
              <a16:creationId xmlns:a16="http://schemas.microsoft.com/office/drawing/2014/main" id="{00000000-0008-0000-0000-0000A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96" name="Picture 11" hidden="1">
          <a:extLst>
            <a:ext uri="{FF2B5EF4-FFF2-40B4-BE49-F238E27FC236}">
              <a16:creationId xmlns:a16="http://schemas.microsoft.com/office/drawing/2014/main" id="{00000000-0008-0000-0000-0000A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98" name="Picture 11" hidden="1">
          <a:extLst>
            <a:ext uri="{FF2B5EF4-FFF2-40B4-BE49-F238E27FC236}">
              <a16:creationId xmlns:a16="http://schemas.microsoft.com/office/drawing/2014/main" id="{00000000-0008-0000-0000-0000A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00" name="Picture 11" hidden="1">
          <a:extLst>
            <a:ext uri="{FF2B5EF4-FFF2-40B4-BE49-F238E27FC236}">
              <a16:creationId xmlns:a16="http://schemas.microsoft.com/office/drawing/2014/main" id="{00000000-0008-0000-0000-0000A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02" name="Picture 11" hidden="1">
          <a:extLst>
            <a:ext uri="{FF2B5EF4-FFF2-40B4-BE49-F238E27FC236}">
              <a16:creationId xmlns:a16="http://schemas.microsoft.com/office/drawing/2014/main" id="{00000000-0008-0000-0000-0000A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04" name="Picture 11" hidden="1">
          <a:extLst>
            <a:ext uri="{FF2B5EF4-FFF2-40B4-BE49-F238E27FC236}">
              <a16:creationId xmlns:a16="http://schemas.microsoft.com/office/drawing/2014/main" id="{00000000-0008-0000-0000-0000B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06" name="Picture 11" hidden="1">
          <a:extLst>
            <a:ext uri="{FF2B5EF4-FFF2-40B4-BE49-F238E27FC236}">
              <a16:creationId xmlns:a16="http://schemas.microsoft.com/office/drawing/2014/main" id="{00000000-0008-0000-0000-0000B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08" name="Picture 11" hidden="1">
          <a:extLst>
            <a:ext uri="{FF2B5EF4-FFF2-40B4-BE49-F238E27FC236}">
              <a16:creationId xmlns:a16="http://schemas.microsoft.com/office/drawing/2014/main" id="{00000000-0008-0000-0000-0000B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10" name="Picture 11" hidden="1">
          <a:extLst>
            <a:ext uri="{FF2B5EF4-FFF2-40B4-BE49-F238E27FC236}">
              <a16:creationId xmlns:a16="http://schemas.microsoft.com/office/drawing/2014/main" id="{00000000-0008-0000-0000-0000B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12" name="Picture 11" hidden="1">
          <a:extLst>
            <a:ext uri="{FF2B5EF4-FFF2-40B4-BE49-F238E27FC236}">
              <a16:creationId xmlns:a16="http://schemas.microsoft.com/office/drawing/2014/main" id="{00000000-0008-0000-0000-0000B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14" name="Picture 11" hidden="1">
          <a:extLst>
            <a:ext uri="{FF2B5EF4-FFF2-40B4-BE49-F238E27FC236}">
              <a16:creationId xmlns:a16="http://schemas.microsoft.com/office/drawing/2014/main" id="{00000000-0008-0000-0000-0000B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16" name="Picture 11" hidden="1">
          <a:extLst>
            <a:ext uri="{FF2B5EF4-FFF2-40B4-BE49-F238E27FC236}">
              <a16:creationId xmlns:a16="http://schemas.microsoft.com/office/drawing/2014/main" id="{00000000-0008-0000-0000-0000B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18" name="Picture 11" hidden="1">
          <a:extLst>
            <a:ext uri="{FF2B5EF4-FFF2-40B4-BE49-F238E27FC236}">
              <a16:creationId xmlns:a16="http://schemas.microsoft.com/office/drawing/2014/main" id="{00000000-0008-0000-0000-0000B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20" name="Picture 11" hidden="1">
          <a:extLst>
            <a:ext uri="{FF2B5EF4-FFF2-40B4-BE49-F238E27FC236}">
              <a16:creationId xmlns:a16="http://schemas.microsoft.com/office/drawing/2014/main" id="{00000000-0008-0000-0000-0000C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22" name="Picture 11" hidden="1">
          <a:extLst>
            <a:ext uri="{FF2B5EF4-FFF2-40B4-BE49-F238E27FC236}">
              <a16:creationId xmlns:a16="http://schemas.microsoft.com/office/drawing/2014/main" id="{00000000-0008-0000-0000-0000C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24" name="Picture 11" hidden="1">
          <a:extLst>
            <a:ext uri="{FF2B5EF4-FFF2-40B4-BE49-F238E27FC236}">
              <a16:creationId xmlns:a16="http://schemas.microsoft.com/office/drawing/2014/main" id="{00000000-0008-0000-0000-0000C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26" name="Picture 11" hidden="1">
          <a:extLst>
            <a:ext uri="{FF2B5EF4-FFF2-40B4-BE49-F238E27FC236}">
              <a16:creationId xmlns:a16="http://schemas.microsoft.com/office/drawing/2014/main" id="{00000000-0008-0000-0000-0000C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28" name="Picture 11" hidden="1">
          <a:extLst>
            <a:ext uri="{FF2B5EF4-FFF2-40B4-BE49-F238E27FC236}">
              <a16:creationId xmlns:a16="http://schemas.microsoft.com/office/drawing/2014/main" id="{00000000-0008-0000-0000-0000C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30" name="Picture 11" hidden="1">
          <a:extLst>
            <a:ext uri="{FF2B5EF4-FFF2-40B4-BE49-F238E27FC236}">
              <a16:creationId xmlns:a16="http://schemas.microsoft.com/office/drawing/2014/main" id="{00000000-0008-0000-0000-0000C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32" name="Picture 11" hidden="1">
          <a:extLst>
            <a:ext uri="{FF2B5EF4-FFF2-40B4-BE49-F238E27FC236}">
              <a16:creationId xmlns:a16="http://schemas.microsoft.com/office/drawing/2014/main" id="{00000000-0008-0000-0000-0000C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34" name="Picture 11" hidden="1">
          <a:extLst>
            <a:ext uri="{FF2B5EF4-FFF2-40B4-BE49-F238E27FC236}">
              <a16:creationId xmlns:a16="http://schemas.microsoft.com/office/drawing/2014/main" id="{00000000-0008-0000-0000-0000C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36" name="Picture 11" hidden="1">
          <a:extLst>
            <a:ext uri="{FF2B5EF4-FFF2-40B4-BE49-F238E27FC236}">
              <a16:creationId xmlns:a16="http://schemas.microsoft.com/office/drawing/2014/main" id="{00000000-0008-0000-0000-0000D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38" name="Picture 11" hidden="1">
          <a:extLst>
            <a:ext uri="{FF2B5EF4-FFF2-40B4-BE49-F238E27FC236}">
              <a16:creationId xmlns:a16="http://schemas.microsoft.com/office/drawing/2014/main" id="{00000000-0008-0000-0000-0000D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40" name="Picture 11" hidden="1">
          <a:extLst>
            <a:ext uri="{FF2B5EF4-FFF2-40B4-BE49-F238E27FC236}">
              <a16:creationId xmlns:a16="http://schemas.microsoft.com/office/drawing/2014/main" id="{00000000-0008-0000-0000-0000D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42" name="Picture 11" hidden="1">
          <a:extLst>
            <a:ext uri="{FF2B5EF4-FFF2-40B4-BE49-F238E27FC236}">
              <a16:creationId xmlns:a16="http://schemas.microsoft.com/office/drawing/2014/main" id="{00000000-0008-0000-0000-0000D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44" name="Picture 11" hidden="1">
          <a:extLst>
            <a:ext uri="{FF2B5EF4-FFF2-40B4-BE49-F238E27FC236}">
              <a16:creationId xmlns:a16="http://schemas.microsoft.com/office/drawing/2014/main" id="{00000000-0008-0000-0000-0000D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46" name="Picture 11" hidden="1">
          <a:extLst>
            <a:ext uri="{FF2B5EF4-FFF2-40B4-BE49-F238E27FC236}">
              <a16:creationId xmlns:a16="http://schemas.microsoft.com/office/drawing/2014/main" id="{00000000-0008-0000-0000-0000D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48" name="Picture 11" hidden="1">
          <a:extLst>
            <a:ext uri="{FF2B5EF4-FFF2-40B4-BE49-F238E27FC236}">
              <a16:creationId xmlns:a16="http://schemas.microsoft.com/office/drawing/2014/main" id="{00000000-0008-0000-0000-0000D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50" name="Picture 11" hidden="1">
          <a:extLst>
            <a:ext uri="{FF2B5EF4-FFF2-40B4-BE49-F238E27FC236}">
              <a16:creationId xmlns:a16="http://schemas.microsoft.com/office/drawing/2014/main" id="{00000000-0008-0000-0000-0000D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52" name="Picture 11" hidden="1">
          <a:extLst>
            <a:ext uri="{FF2B5EF4-FFF2-40B4-BE49-F238E27FC236}">
              <a16:creationId xmlns:a16="http://schemas.microsoft.com/office/drawing/2014/main" id="{00000000-0008-0000-0000-0000E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54" name="Picture 11" hidden="1">
          <a:extLst>
            <a:ext uri="{FF2B5EF4-FFF2-40B4-BE49-F238E27FC236}">
              <a16:creationId xmlns:a16="http://schemas.microsoft.com/office/drawing/2014/main" id="{00000000-0008-0000-0000-0000E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56" name="Picture 11" hidden="1">
          <a:extLst>
            <a:ext uri="{FF2B5EF4-FFF2-40B4-BE49-F238E27FC236}">
              <a16:creationId xmlns:a16="http://schemas.microsoft.com/office/drawing/2014/main" id="{00000000-0008-0000-0000-0000E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58" name="Picture 11" hidden="1">
          <a:extLst>
            <a:ext uri="{FF2B5EF4-FFF2-40B4-BE49-F238E27FC236}">
              <a16:creationId xmlns:a16="http://schemas.microsoft.com/office/drawing/2014/main" id="{00000000-0008-0000-0000-0000E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60" name="Picture 11" hidden="1">
          <a:extLst>
            <a:ext uri="{FF2B5EF4-FFF2-40B4-BE49-F238E27FC236}">
              <a16:creationId xmlns:a16="http://schemas.microsoft.com/office/drawing/2014/main" id="{00000000-0008-0000-0000-0000E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62" name="Picture 11" hidden="1">
          <a:extLst>
            <a:ext uri="{FF2B5EF4-FFF2-40B4-BE49-F238E27FC236}">
              <a16:creationId xmlns:a16="http://schemas.microsoft.com/office/drawing/2014/main" id="{00000000-0008-0000-0000-0000E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64" name="Picture 11" hidden="1">
          <a:extLst>
            <a:ext uri="{FF2B5EF4-FFF2-40B4-BE49-F238E27FC236}">
              <a16:creationId xmlns:a16="http://schemas.microsoft.com/office/drawing/2014/main" id="{00000000-0008-0000-0000-0000E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66" name="Picture 11" hidden="1">
          <a:extLst>
            <a:ext uri="{FF2B5EF4-FFF2-40B4-BE49-F238E27FC236}">
              <a16:creationId xmlns:a16="http://schemas.microsoft.com/office/drawing/2014/main" id="{00000000-0008-0000-0000-0000E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68" name="Picture 11" hidden="1">
          <a:extLst>
            <a:ext uri="{FF2B5EF4-FFF2-40B4-BE49-F238E27FC236}">
              <a16:creationId xmlns:a16="http://schemas.microsoft.com/office/drawing/2014/main" id="{00000000-0008-0000-0000-0000F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70" name="Picture 11" hidden="1">
          <a:extLst>
            <a:ext uri="{FF2B5EF4-FFF2-40B4-BE49-F238E27FC236}">
              <a16:creationId xmlns:a16="http://schemas.microsoft.com/office/drawing/2014/main" id="{00000000-0008-0000-0000-0000F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72" name="Picture 11" hidden="1">
          <a:extLst>
            <a:ext uri="{FF2B5EF4-FFF2-40B4-BE49-F238E27FC236}">
              <a16:creationId xmlns:a16="http://schemas.microsoft.com/office/drawing/2014/main" id="{00000000-0008-0000-0000-0000F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74" name="Picture 11" hidden="1">
          <a:extLst>
            <a:ext uri="{FF2B5EF4-FFF2-40B4-BE49-F238E27FC236}">
              <a16:creationId xmlns:a16="http://schemas.microsoft.com/office/drawing/2014/main" id="{00000000-0008-0000-0000-0000F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76" name="Picture 11" hidden="1">
          <a:extLst>
            <a:ext uri="{FF2B5EF4-FFF2-40B4-BE49-F238E27FC236}">
              <a16:creationId xmlns:a16="http://schemas.microsoft.com/office/drawing/2014/main" id="{00000000-0008-0000-0000-0000F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78" name="Picture 3577" hidden="1">
          <a:extLst>
            <a:ext uri="{FF2B5EF4-FFF2-40B4-BE49-F238E27FC236}">
              <a16:creationId xmlns:a16="http://schemas.microsoft.com/office/drawing/2014/main" id="{00000000-0008-0000-0000-0000F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80" name="Picture 11" hidden="1">
          <a:extLst>
            <a:ext uri="{FF2B5EF4-FFF2-40B4-BE49-F238E27FC236}">
              <a16:creationId xmlns:a16="http://schemas.microsoft.com/office/drawing/2014/main" id="{00000000-0008-0000-0000-0000F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82" name="Picture 11" hidden="1">
          <a:extLst>
            <a:ext uri="{FF2B5EF4-FFF2-40B4-BE49-F238E27FC236}">
              <a16:creationId xmlns:a16="http://schemas.microsoft.com/office/drawing/2014/main" id="{00000000-0008-0000-0000-0000F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84" name="Picture 11" hidden="1">
          <a:extLst>
            <a:ext uri="{FF2B5EF4-FFF2-40B4-BE49-F238E27FC236}">
              <a16:creationId xmlns:a16="http://schemas.microsoft.com/office/drawing/2014/main" id="{00000000-0008-0000-0000-00000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86" name="Picture 11" hidden="1">
          <a:extLst>
            <a:ext uri="{FF2B5EF4-FFF2-40B4-BE49-F238E27FC236}">
              <a16:creationId xmlns:a16="http://schemas.microsoft.com/office/drawing/2014/main" id="{00000000-0008-0000-0000-00000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88" name="Picture 11" hidden="1">
          <a:extLst>
            <a:ext uri="{FF2B5EF4-FFF2-40B4-BE49-F238E27FC236}">
              <a16:creationId xmlns:a16="http://schemas.microsoft.com/office/drawing/2014/main" id="{00000000-0008-0000-0000-00000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90" name="Picture 11" hidden="1">
          <a:extLst>
            <a:ext uri="{FF2B5EF4-FFF2-40B4-BE49-F238E27FC236}">
              <a16:creationId xmlns:a16="http://schemas.microsoft.com/office/drawing/2014/main" id="{00000000-0008-0000-0000-00000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92" name="Picture 11" hidden="1">
          <a:extLst>
            <a:ext uri="{FF2B5EF4-FFF2-40B4-BE49-F238E27FC236}">
              <a16:creationId xmlns:a16="http://schemas.microsoft.com/office/drawing/2014/main" id="{00000000-0008-0000-0000-00000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94" name="Picture 11" hidden="1">
          <a:extLst>
            <a:ext uri="{FF2B5EF4-FFF2-40B4-BE49-F238E27FC236}">
              <a16:creationId xmlns:a16="http://schemas.microsoft.com/office/drawing/2014/main" id="{00000000-0008-0000-0000-00000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96" name="Picture 11" hidden="1">
          <a:extLst>
            <a:ext uri="{FF2B5EF4-FFF2-40B4-BE49-F238E27FC236}">
              <a16:creationId xmlns:a16="http://schemas.microsoft.com/office/drawing/2014/main" id="{00000000-0008-0000-0000-00000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98" name="Picture 11" hidden="1">
          <a:extLst>
            <a:ext uri="{FF2B5EF4-FFF2-40B4-BE49-F238E27FC236}">
              <a16:creationId xmlns:a16="http://schemas.microsoft.com/office/drawing/2014/main" id="{00000000-0008-0000-0000-00000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00" name="Picture 11" hidden="1">
          <a:extLst>
            <a:ext uri="{FF2B5EF4-FFF2-40B4-BE49-F238E27FC236}">
              <a16:creationId xmlns:a16="http://schemas.microsoft.com/office/drawing/2014/main" id="{00000000-0008-0000-0000-00001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02" name="Picture 11" hidden="1">
          <a:extLst>
            <a:ext uri="{FF2B5EF4-FFF2-40B4-BE49-F238E27FC236}">
              <a16:creationId xmlns:a16="http://schemas.microsoft.com/office/drawing/2014/main" id="{00000000-0008-0000-0000-00001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04" name="Picture 11" hidden="1">
          <a:extLst>
            <a:ext uri="{FF2B5EF4-FFF2-40B4-BE49-F238E27FC236}">
              <a16:creationId xmlns:a16="http://schemas.microsoft.com/office/drawing/2014/main" id="{00000000-0008-0000-0000-00001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06" name="Picture 11" hidden="1">
          <a:extLst>
            <a:ext uri="{FF2B5EF4-FFF2-40B4-BE49-F238E27FC236}">
              <a16:creationId xmlns:a16="http://schemas.microsoft.com/office/drawing/2014/main" id="{00000000-0008-0000-0000-00001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08" name="Picture 11" hidden="1">
          <a:extLst>
            <a:ext uri="{FF2B5EF4-FFF2-40B4-BE49-F238E27FC236}">
              <a16:creationId xmlns:a16="http://schemas.microsoft.com/office/drawing/2014/main" id="{00000000-0008-0000-0000-00001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10" name="Picture 11" hidden="1">
          <a:extLst>
            <a:ext uri="{FF2B5EF4-FFF2-40B4-BE49-F238E27FC236}">
              <a16:creationId xmlns:a16="http://schemas.microsoft.com/office/drawing/2014/main" id="{00000000-0008-0000-0000-00001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12" name="Picture 11" hidden="1">
          <a:extLst>
            <a:ext uri="{FF2B5EF4-FFF2-40B4-BE49-F238E27FC236}">
              <a16:creationId xmlns:a16="http://schemas.microsoft.com/office/drawing/2014/main" id="{00000000-0008-0000-0000-00001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14" name="Picture 11" hidden="1">
          <a:extLst>
            <a:ext uri="{FF2B5EF4-FFF2-40B4-BE49-F238E27FC236}">
              <a16:creationId xmlns:a16="http://schemas.microsoft.com/office/drawing/2014/main" id="{00000000-0008-0000-0000-00001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16" name="Picture 11" hidden="1">
          <a:extLst>
            <a:ext uri="{FF2B5EF4-FFF2-40B4-BE49-F238E27FC236}">
              <a16:creationId xmlns:a16="http://schemas.microsoft.com/office/drawing/2014/main" id="{00000000-0008-0000-0000-00002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18" name="Picture 11" hidden="1">
          <a:extLst>
            <a:ext uri="{FF2B5EF4-FFF2-40B4-BE49-F238E27FC236}">
              <a16:creationId xmlns:a16="http://schemas.microsoft.com/office/drawing/2014/main" id="{00000000-0008-0000-0000-00002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20" name="Picture 11" hidden="1">
          <a:extLst>
            <a:ext uri="{FF2B5EF4-FFF2-40B4-BE49-F238E27FC236}">
              <a16:creationId xmlns:a16="http://schemas.microsoft.com/office/drawing/2014/main" id="{00000000-0008-0000-0000-00002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22" name="Picture 11" hidden="1">
          <a:extLst>
            <a:ext uri="{FF2B5EF4-FFF2-40B4-BE49-F238E27FC236}">
              <a16:creationId xmlns:a16="http://schemas.microsoft.com/office/drawing/2014/main" id="{00000000-0008-0000-0000-00002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24" name="Picture 11" hidden="1">
          <a:extLst>
            <a:ext uri="{FF2B5EF4-FFF2-40B4-BE49-F238E27FC236}">
              <a16:creationId xmlns:a16="http://schemas.microsoft.com/office/drawing/2014/main" id="{00000000-0008-0000-0000-00002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26" name="Picture 11" hidden="1">
          <a:extLst>
            <a:ext uri="{FF2B5EF4-FFF2-40B4-BE49-F238E27FC236}">
              <a16:creationId xmlns:a16="http://schemas.microsoft.com/office/drawing/2014/main" id="{00000000-0008-0000-0000-00002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28" name="Picture 11" hidden="1">
          <a:extLst>
            <a:ext uri="{FF2B5EF4-FFF2-40B4-BE49-F238E27FC236}">
              <a16:creationId xmlns:a16="http://schemas.microsoft.com/office/drawing/2014/main" id="{00000000-0008-0000-0000-00002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30" name="Picture 11" hidden="1">
          <a:extLst>
            <a:ext uri="{FF2B5EF4-FFF2-40B4-BE49-F238E27FC236}">
              <a16:creationId xmlns:a16="http://schemas.microsoft.com/office/drawing/2014/main" id="{00000000-0008-0000-0000-00002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32" name="Picture 11" hidden="1">
          <a:extLst>
            <a:ext uri="{FF2B5EF4-FFF2-40B4-BE49-F238E27FC236}">
              <a16:creationId xmlns:a16="http://schemas.microsoft.com/office/drawing/2014/main" id="{00000000-0008-0000-0000-00003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34" name="Picture 11" hidden="1">
          <a:extLst>
            <a:ext uri="{FF2B5EF4-FFF2-40B4-BE49-F238E27FC236}">
              <a16:creationId xmlns:a16="http://schemas.microsoft.com/office/drawing/2014/main" id="{00000000-0008-0000-0000-00003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36" name="Picture 11" hidden="1">
          <a:extLst>
            <a:ext uri="{FF2B5EF4-FFF2-40B4-BE49-F238E27FC236}">
              <a16:creationId xmlns:a16="http://schemas.microsoft.com/office/drawing/2014/main" id="{00000000-0008-0000-0000-00003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38" name="Picture 11" hidden="1">
          <a:extLst>
            <a:ext uri="{FF2B5EF4-FFF2-40B4-BE49-F238E27FC236}">
              <a16:creationId xmlns:a16="http://schemas.microsoft.com/office/drawing/2014/main" id="{00000000-0008-0000-0000-00003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40" name="Picture 11" hidden="1">
          <a:extLst>
            <a:ext uri="{FF2B5EF4-FFF2-40B4-BE49-F238E27FC236}">
              <a16:creationId xmlns:a16="http://schemas.microsoft.com/office/drawing/2014/main" id="{00000000-0008-0000-0000-00003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42" name="Picture 11" hidden="1">
          <a:extLst>
            <a:ext uri="{FF2B5EF4-FFF2-40B4-BE49-F238E27FC236}">
              <a16:creationId xmlns:a16="http://schemas.microsoft.com/office/drawing/2014/main" id="{00000000-0008-0000-0000-00003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44" name="Picture 11" hidden="1">
          <a:extLst>
            <a:ext uri="{FF2B5EF4-FFF2-40B4-BE49-F238E27FC236}">
              <a16:creationId xmlns:a16="http://schemas.microsoft.com/office/drawing/2014/main" id="{00000000-0008-0000-0000-00003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46" name="Picture 11" hidden="1">
          <a:extLst>
            <a:ext uri="{FF2B5EF4-FFF2-40B4-BE49-F238E27FC236}">
              <a16:creationId xmlns:a16="http://schemas.microsoft.com/office/drawing/2014/main" id="{00000000-0008-0000-0000-00003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48" name="Picture 11" hidden="1">
          <a:extLst>
            <a:ext uri="{FF2B5EF4-FFF2-40B4-BE49-F238E27FC236}">
              <a16:creationId xmlns:a16="http://schemas.microsoft.com/office/drawing/2014/main" id="{00000000-0008-0000-0000-00004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50" name="Picture 11" hidden="1">
          <a:extLst>
            <a:ext uri="{FF2B5EF4-FFF2-40B4-BE49-F238E27FC236}">
              <a16:creationId xmlns:a16="http://schemas.microsoft.com/office/drawing/2014/main" id="{00000000-0008-0000-0000-00004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52" name="Picture 11" hidden="1">
          <a:extLst>
            <a:ext uri="{FF2B5EF4-FFF2-40B4-BE49-F238E27FC236}">
              <a16:creationId xmlns:a16="http://schemas.microsoft.com/office/drawing/2014/main" id="{00000000-0008-0000-0000-00004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54" name="Picture 11" hidden="1">
          <a:extLst>
            <a:ext uri="{FF2B5EF4-FFF2-40B4-BE49-F238E27FC236}">
              <a16:creationId xmlns:a16="http://schemas.microsoft.com/office/drawing/2014/main" id="{00000000-0008-0000-0000-00004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56" name="Picture 11" hidden="1">
          <a:extLst>
            <a:ext uri="{FF2B5EF4-FFF2-40B4-BE49-F238E27FC236}">
              <a16:creationId xmlns:a16="http://schemas.microsoft.com/office/drawing/2014/main" id="{00000000-0008-0000-0000-00004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58" name="Picture 11" hidden="1">
          <a:extLst>
            <a:ext uri="{FF2B5EF4-FFF2-40B4-BE49-F238E27FC236}">
              <a16:creationId xmlns:a16="http://schemas.microsoft.com/office/drawing/2014/main" id="{00000000-0008-0000-0000-00004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60" name="Picture 11" hidden="1">
          <a:extLst>
            <a:ext uri="{FF2B5EF4-FFF2-40B4-BE49-F238E27FC236}">
              <a16:creationId xmlns:a16="http://schemas.microsoft.com/office/drawing/2014/main" id="{00000000-0008-0000-0000-00004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62" name="Picture 11" hidden="1">
          <a:extLst>
            <a:ext uri="{FF2B5EF4-FFF2-40B4-BE49-F238E27FC236}">
              <a16:creationId xmlns:a16="http://schemas.microsoft.com/office/drawing/2014/main" id="{00000000-0008-0000-0000-00004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64" name="Picture 11" hidden="1">
          <a:extLst>
            <a:ext uri="{FF2B5EF4-FFF2-40B4-BE49-F238E27FC236}">
              <a16:creationId xmlns:a16="http://schemas.microsoft.com/office/drawing/2014/main" id="{00000000-0008-0000-0000-00005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66" name="Picture 11" hidden="1">
          <a:extLst>
            <a:ext uri="{FF2B5EF4-FFF2-40B4-BE49-F238E27FC236}">
              <a16:creationId xmlns:a16="http://schemas.microsoft.com/office/drawing/2014/main" id="{00000000-0008-0000-0000-00005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68" name="Picture 11" hidden="1">
          <a:extLst>
            <a:ext uri="{FF2B5EF4-FFF2-40B4-BE49-F238E27FC236}">
              <a16:creationId xmlns:a16="http://schemas.microsoft.com/office/drawing/2014/main" id="{00000000-0008-0000-0000-00005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70" name="Picture 11" hidden="1">
          <a:extLst>
            <a:ext uri="{FF2B5EF4-FFF2-40B4-BE49-F238E27FC236}">
              <a16:creationId xmlns:a16="http://schemas.microsoft.com/office/drawing/2014/main" id="{00000000-0008-0000-0000-00005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72" name="Picture 11" hidden="1">
          <a:extLst>
            <a:ext uri="{FF2B5EF4-FFF2-40B4-BE49-F238E27FC236}">
              <a16:creationId xmlns:a16="http://schemas.microsoft.com/office/drawing/2014/main" id="{00000000-0008-0000-0000-00005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74" name="Picture 11" hidden="1">
          <a:extLst>
            <a:ext uri="{FF2B5EF4-FFF2-40B4-BE49-F238E27FC236}">
              <a16:creationId xmlns:a16="http://schemas.microsoft.com/office/drawing/2014/main" id="{00000000-0008-0000-0000-00005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76" name="Picture 11" hidden="1">
          <a:extLst>
            <a:ext uri="{FF2B5EF4-FFF2-40B4-BE49-F238E27FC236}">
              <a16:creationId xmlns:a16="http://schemas.microsoft.com/office/drawing/2014/main" id="{00000000-0008-0000-0000-00005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3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E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3678" name="Picture 11" hidden="1">
          <a:extLst>
            <a:ext uri="{FF2B5EF4-FFF2-40B4-BE49-F238E27FC236}">
              <a16:creationId xmlns:a16="http://schemas.microsoft.com/office/drawing/2014/main" id="{00000000-0008-0000-0000-00005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80" name="Picture 11" hidden="1">
          <a:extLst>
            <a:ext uri="{FF2B5EF4-FFF2-40B4-BE49-F238E27FC236}">
              <a16:creationId xmlns:a16="http://schemas.microsoft.com/office/drawing/2014/main" id="{00000000-0008-0000-0000-00006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82" name="Picture 11" hidden="1">
          <a:extLst>
            <a:ext uri="{FF2B5EF4-FFF2-40B4-BE49-F238E27FC236}">
              <a16:creationId xmlns:a16="http://schemas.microsoft.com/office/drawing/2014/main" id="{00000000-0008-0000-0000-00006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84" name="Picture 11" hidden="1">
          <a:extLst>
            <a:ext uri="{FF2B5EF4-FFF2-40B4-BE49-F238E27FC236}">
              <a16:creationId xmlns:a16="http://schemas.microsoft.com/office/drawing/2014/main" id="{00000000-0008-0000-0000-00006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86" name="Picture 3685" hidden="1">
          <a:extLst>
            <a:ext uri="{FF2B5EF4-FFF2-40B4-BE49-F238E27FC236}">
              <a16:creationId xmlns:a16="http://schemas.microsoft.com/office/drawing/2014/main" id="{00000000-0008-0000-0000-00006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88" name="Picture 11" hidden="1">
          <a:extLst>
            <a:ext uri="{FF2B5EF4-FFF2-40B4-BE49-F238E27FC236}">
              <a16:creationId xmlns:a16="http://schemas.microsoft.com/office/drawing/2014/main" id="{00000000-0008-0000-0000-00006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90" name="Picture 11" hidden="1">
          <a:extLst>
            <a:ext uri="{FF2B5EF4-FFF2-40B4-BE49-F238E27FC236}">
              <a16:creationId xmlns:a16="http://schemas.microsoft.com/office/drawing/2014/main" id="{00000000-0008-0000-0000-00006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92" name="Picture 11" hidden="1">
          <a:extLst>
            <a:ext uri="{FF2B5EF4-FFF2-40B4-BE49-F238E27FC236}">
              <a16:creationId xmlns:a16="http://schemas.microsoft.com/office/drawing/2014/main" id="{00000000-0008-0000-0000-00006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94" name="Picture 11" hidden="1">
          <a:extLst>
            <a:ext uri="{FF2B5EF4-FFF2-40B4-BE49-F238E27FC236}">
              <a16:creationId xmlns:a16="http://schemas.microsoft.com/office/drawing/2014/main" id="{00000000-0008-0000-0000-00006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96" name="Picture 11" hidden="1">
          <a:extLst>
            <a:ext uri="{FF2B5EF4-FFF2-40B4-BE49-F238E27FC236}">
              <a16:creationId xmlns:a16="http://schemas.microsoft.com/office/drawing/2014/main" id="{00000000-0008-0000-0000-00007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98" name="Picture 11" hidden="1">
          <a:extLst>
            <a:ext uri="{FF2B5EF4-FFF2-40B4-BE49-F238E27FC236}">
              <a16:creationId xmlns:a16="http://schemas.microsoft.com/office/drawing/2014/main" id="{00000000-0008-0000-0000-00007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00" name="Picture 11" hidden="1">
          <a:extLst>
            <a:ext uri="{FF2B5EF4-FFF2-40B4-BE49-F238E27FC236}">
              <a16:creationId xmlns:a16="http://schemas.microsoft.com/office/drawing/2014/main" id="{00000000-0008-0000-0000-00007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02" name="Picture 11" hidden="1">
          <a:extLst>
            <a:ext uri="{FF2B5EF4-FFF2-40B4-BE49-F238E27FC236}">
              <a16:creationId xmlns:a16="http://schemas.microsoft.com/office/drawing/2014/main" id="{00000000-0008-0000-0000-00007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04" name="Picture 11" hidden="1">
          <a:extLst>
            <a:ext uri="{FF2B5EF4-FFF2-40B4-BE49-F238E27FC236}">
              <a16:creationId xmlns:a16="http://schemas.microsoft.com/office/drawing/2014/main" id="{00000000-0008-0000-0000-00007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06" name="Picture 11" hidden="1">
          <a:extLst>
            <a:ext uri="{FF2B5EF4-FFF2-40B4-BE49-F238E27FC236}">
              <a16:creationId xmlns:a16="http://schemas.microsoft.com/office/drawing/2014/main" id="{00000000-0008-0000-0000-00007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08" name="Picture 11" hidden="1">
          <a:extLst>
            <a:ext uri="{FF2B5EF4-FFF2-40B4-BE49-F238E27FC236}">
              <a16:creationId xmlns:a16="http://schemas.microsoft.com/office/drawing/2014/main" id="{00000000-0008-0000-0000-00007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10" name="Picture 11" hidden="1">
          <a:extLst>
            <a:ext uri="{FF2B5EF4-FFF2-40B4-BE49-F238E27FC236}">
              <a16:creationId xmlns:a16="http://schemas.microsoft.com/office/drawing/2014/main" id="{00000000-0008-0000-0000-00007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12" name="Picture 11" hidden="1">
          <a:extLst>
            <a:ext uri="{FF2B5EF4-FFF2-40B4-BE49-F238E27FC236}">
              <a16:creationId xmlns:a16="http://schemas.microsoft.com/office/drawing/2014/main" id="{00000000-0008-0000-0000-00008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14" name="Picture 11" hidden="1">
          <a:extLst>
            <a:ext uri="{FF2B5EF4-FFF2-40B4-BE49-F238E27FC236}">
              <a16:creationId xmlns:a16="http://schemas.microsoft.com/office/drawing/2014/main" id="{00000000-0008-0000-0000-00008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16" name="Picture 11" hidden="1">
          <a:extLst>
            <a:ext uri="{FF2B5EF4-FFF2-40B4-BE49-F238E27FC236}">
              <a16:creationId xmlns:a16="http://schemas.microsoft.com/office/drawing/2014/main" id="{00000000-0008-0000-0000-00008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18" name="Picture 11" hidden="1">
          <a:extLst>
            <a:ext uri="{FF2B5EF4-FFF2-40B4-BE49-F238E27FC236}">
              <a16:creationId xmlns:a16="http://schemas.microsoft.com/office/drawing/2014/main" id="{00000000-0008-0000-0000-00008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20" name="Picture 11" hidden="1">
          <a:extLst>
            <a:ext uri="{FF2B5EF4-FFF2-40B4-BE49-F238E27FC236}">
              <a16:creationId xmlns:a16="http://schemas.microsoft.com/office/drawing/2014/main" id="{00000000-0008-0000-0000-00008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22" name="Picture 11" hidden="1">
          <a:extLst>
            <a:ext uri="{FF2B5EF4-FFF2-40B4-BE49-F238E27FC236}">
              <a16:creationId xmlns:a16="http://schemas.microsoft.com/office/drawing/2014/main" id="{00000000-0008-0000-0000-00008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24" name="Picture 11" hidden="1">
          <a:extLst>
            <a:ext uri="{FF2B5EF4-FFF2-40B4-BE49-F238E27FC236}">
              <a16:creationId xmlns:a16="http://schemas.microsoft.com/office/drawing/2014/main" id="{00000000-0008-0000-0000-00008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26" name="Picture 11" hidden="1">
          <a:extLst>
            <a:ext uri="{FF2B5EF4-FFF2-40B4-BE49-F238E27FC236}">
              <a16:creationId xmlns:a16="http://schemas.microsoft.com/office/drawing/2014/main" id="{00000000-0008-0000-0000-00008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28" name="Picture 11" hidden="1">
          <a:extLst>
            <a:ext uri="{FF2B5EF4-FFF2-40B4-BE49-F238E27FC236}">
              <a16:creationId xmlns:a16="http://schemas.microsoft.com/office/drawing/2014/main" id="{00000000-0008-0000-0000-00009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30" name="Picture 11" hidden="1">
          <a:extLst>
            <a:ext uri="{FF2B5EF4-FFF2-40B4-BE49-F238E27FC236}">
              <a16:creationId xmlns:a16="http://schemas.microsoft.com/office/drawing/2014/main" id="{00000000-0008-0000-0000-00009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32" name="Picture 11" hidden="1">
          <a:extLst>
            <a:ext uri="{FF2B5EF4-FFF2-40B4-BE49-F238E27FC236}">
              <a16:creationId xmlns:a16="http://schemas.microsoft.com/office/drawing/2014/main" id="{00000000-0008-0000-0000-00009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34" name="Picture 11" hidden="1">
          <a:extLst>
            <a:ext uri="{FF2B5EF4-FFF2-40B4-BE49-F238E27FC236}">
              <a16:creationId xmlns:a16="http://schemas.microsoft.com/office/drawing/2014/main" id="{00000000-0008-0000-0000-00009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36" name="Picture 11" hidden="1">
          <a:extLst>
            <a:ext uri="{FF2B5EF4-FFF2-40B4-BE49-F238E27FC236}">
              <a16:creationId xmlns:a16="http://schemas.microsoft.com/office/drawing/2014/main" id="{00000000-0008-0000-0000-00009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38" name="Picture 11" hidden="1">
          <a:extLst>
            <a:ext uri="{FF2B5EF4-FFF2-40B4-BE49-F238E27FC236}">
              <a16:creationId xmlns:a16="http://schemas.microsoft.com/office/drawing/2014/main" id="{00000000-0008-0000-0000-00009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40" name="Picture 11" hidden="1">
          <a:extLst>
            <a:ext uri="{FF2B5EF4-FFF2-40B4-BE49-F238E27FC236}">
              <a16:creationId xmlns:a16="http://schemas.microsoft.com/office/drawing/2014/main" id="{00000000-0008-0000-0000-00009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42" name="Picture 11" hidden="1">
          <a:extLst>
            <a:ext uri="{FF2B5EF4-FFF2-40B4-BE49-F238E27FC236}">
              <a16:creationId xmlns:a16="http://schemas.microsoft.com/office/drawing/2014/main" id="{00000000-0008-0000-0000-00009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44" name="Picture 11" hidden="1">
          <a:extLst>
            <a:ext uri="{FF2B5EF4-FFF2-40B4-BE49-F238E27FC236}">
              <a16:creationId xmlns:a16="http://schemas.microsoft.com/office/drawing/2014/main" id="{00000000-0008-0000-0000-0000A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46" name="Picture 11" hidden="1">
          <a:extLst>
            <a:ext uri="{FF2B5EF4-FFF2-40B4-BE49-F238E27FC236}">
              <a16:creationId xmlns:a16="http://schemas.microsoft.com/office/drawing/2014/main" id="{00000000-0008-0000-0000-0000A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48" name="Picture 11" hidden="1">
          <a:extLst>
            <a:ext uri="{FF2B5EF4-FFF2-40B4-BE49-F238E27FC236}">
              <a16:creationId xmlns:a16="http://schemas.microsoft.com/office/drawing/2014/main" id="{00000000-0008-0000-0000-0000A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50" name="Picture 11" hidden="1">
          <a:extLst>
            <a:ext uri="{FF2B5EF4-FFF2-40B4-BE49-F238E27FC236}">
              <a16:creationId xmlns:a16="http://schemas.microsoft.com/office/drawing/2014/main" id="{00000000-0008-0000-0000-0000A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52" name="Picture 11" hidden="1">
          <a:extLst>
            <a:ext uri="{FF2B5EF4-FFF2-40B4-BE49-F238E27FC236}">
              <a16:creationId xmlns:a16="http://schemas.microsoft.com/office/drawing/2014/main" id="{00000000-0008-0000-0000-0000A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54" name="Picture 11" hidden="1">
          <a:extLst>
            <a:ext uri="{FF2B5EF4-FFF2-40B4-BE49-F238E27FC236}">
              <a16:creationId xmlns:a16="http://schemas.microsoft.com/office/drawing/2014/main" id="{00000000-0008-0000-0000-0000A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56" name="Picture 11" hidden="1">
          <a:extLst>
            <a:ext uri="{FF2B5EF4-FFF2-40B4-BE49-F238E27FC236}">
              <a16:creationId xmlns:a16="http://schemas.microsoft.com/office/drawing/2014/main" id="{00000000-0008-0000-0000-0000A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58" name="Picture 11" hidden="1">
          <a:extLst>
            <a:ext uri="{FF2B5EF4-FFF2-40B4-BE49-F238E27FC236}">
              <a16:creationId xmlns:a16="http://schemas.microsoft.com/office/drawing/2014/main" id="{00000000-0008-0000-0000-0000A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60" name="Picture 11" hidden="1">
          <a:extLst>
            <a:ext uri="{FF2B5EF4-FFF2-40B4-BE49-F238E27FC236}">
              <a16:creationId xmlns:a16="http://schemas.microsoft.com/office/drawing/2014/main" id="{00000000-0008-0000-0000-0000B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62" name="Picture 11" hidden="1">
          <a:extLst>
            <a:ext uri="{FF2B5EF4-FFF2-40B4-BE49-F238E27FC236}">
              <a16:creationId xmlns:a16="http://schemas.microsoft.com/office/drawing/2014/main" id="{00000000-0008-0000-0000-0000B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64" name="Picture 11" hidden="1">
          <a:extLst>
            <a:ext uri="{FF2B5EF4-FFF2-40B4-BE49-F238E27FC236}">
              <a16:creationId xmlns:a16="http://schemas.microsoft.com/office/drawing/2014/main" id="{00000000-0008-0000-0000-0000B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66" name="Picture 11" hidden="1">
          <a:extLst>
            <a:ext uri="{FF2B5EF4-FFF2-40B4-BE49-F238E27FC236}">
              <a16:creationId xmlns:a16="http://schemas.microsoft.com/office/drawing/2014/main" id="{00000000-0008-0000-0000-0000B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68" name="Picture 11" hidden="1">
          <a:extLst>
            <a:ext uri="{FF2B5EF4-FFF2-40B4-BE49-F238E27FC236}">
              <a16:creationId xmlns:a16="http://schemas.microsoft.com/office/drawing/2014/main" id="{00000000-0008-0000-0000-0000B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70" name="Picture 11" hidden="1">
          <a:extLst>
            <a:ext uri="{FF2B5EF4-FFF2-40B4-BE49-F238E27FC236}">
              <a16:creationId xmlns:a16="http://schemas.microsoft.com/office/drawing/2014/main" id="{00000000-0008-0000-0000-0000B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72" name="Picture 11" hidden="1">
          <a:extLst>
            <a:ext uri="{FF2B5EF4-FFF2-40B4-BE49-F238E27FC236}">
              <a16:creationId xmlns:a16="http://schemas.microsoft.com/office/drawing/2014/main" id="{00000000-0008-0000-0000-0000B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74" name="Picture 11" hidden="1">
          <a:extLst>
            <a:ext uri="{FF2B5EF4-FFF2-40B4-BE49-F238E27FC236}">
              <a16:creationId xmlns:a16="http://schemas.microsoft.com/office/drawing/2014/main" id="{00000000-0008-0000-0000-0000B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76" name="Picture 11" hidden="1">
          <a:extLst>
            <a:ext uri="{FF2B5EF4-FFF2-40B4-BE49-F238E27FC236}">
              <a16:creationId xmlns:a16="http://schemas.microsoft.com/office/drawing/2014/main" id="{00000000-0008-0000-0000-0000C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78" name="Picture 11" hidden="1">
          <a:extLst>
            <a:ext uri="{FF2B5EF4-FFF2-40B4-BE49-F238E27FC236}">
              <a16:creationId xmlns:a16="http://schemas.microsoft.com/office/drawing/2014/main" id="{00000000-0008-0000-0000-0000C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80" name="Picture 11" hidden="1">
          <a:extLst>
            <a:ext uri="{FF2B5EF4-FFF2-40B4-BE49-F238E27FC236}">
              <a16:creationId xmlns:a16="http://schemas.microsoft.com/office/drawing/2014/main" id="{00000000-0008-0000-0000-0000C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82" name="Picture 11" hidden="1">
          <a:extLst>
            <a:ext uri="{FF2B5EF4-FFF2-40B4-BE49-F238E27FC236}">
              <a16:creationId xmlns:a16="http://schemas.microsoft.com/office/drawing/2014/main" id="{00000000-0008-0000-0000-0000C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84" name="Picture 11" hidden="1">
          <a:extLst>
            <a:ext uri="{FF2B5EF4-FFF2-40B4-BE49-F238E27FC236}">
              <a16:creationId xmlns:a16="http://schemas.microsoft.com/office/drawing/2014/main" id="{00000000-0008-0000-0000-0000C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86" name="Picture 11" hidden="1">
          <a:extLst>
            <a:ext uri="{FF2B5EF4-FFF2-40B4-BE49-F238E27FC236}">
              <a16:creationId xmlns:a16="http://schemas.microsoft.com/office/drawing/2014/main" id="{00000000-0008-0000-0000-0000C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88" name="Picture 11" hidden="1">
          <a:extLst>
            <a:ext uri="{FF2B5EF4-FFF2-40B4-BE49-F238E27FC236}">
              <a16:creationId xmlns:a16="http://schemas.microsoft.com/office/drawing/2014/main" id="{00000000-0008-0000-0000-0000C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90" name="Picture 11" hidden="1">
          <a:extLst>
            <a:ext uri="{FF2B5EF4-FFF2-40B4-BE49-F238E27FC236}">
              <a16:creationId xmlns:a16="http://schemas.microsoft.com/office/drawing/2014/main" id="{00000000-0008-0000-0000-0000C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92" name="Picture 11" hidden="1">
          <a:extLst>
            <a:ext uri="{FF2B5EF4-FFF2-40B4-BE49-F238E27FC236}">
              <a16:creationId xmlns:a16="http://schemas.microsoft.com/office/drawing/2014/main" id="{00000000-0008-0000-0000-0000D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94" name="Picture 3793" hidden="1">
          <a:extLst>
            <a:ext uri="{FF2B5EF4-FFF2-40B4-BE49-F238E27FC236}">
              <a16:creationId xmlns:a16="http://schemas.microsoft.com/office/drawing/2014/main" id="{00000000-0008-0000-0000-0000D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96" name="Picture 11" hidden="1">
          <a:extLst>
            <a:ext uri="{FF2B5EF4-FFF2-40B4-BE49-F238E27FC236}">
              <a16:creationId xmlns:a16="http://schemas.microsoft.com/office/drawing/2014/main" id="{00000000-0008-0000-0000-0000D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98" name="Picture 11" hidden="1">
          <a:extLst>
            <a:ext uri="{FF2B5EF4-FFF2-40B4-BE49-F238E27FC236}">
              <a16:creationId xmlns:a16="http://schemas.microsoft.com/office/drawing/2014/main" id="{00000000-0008-0000-0000-0000D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00" name="Picture 11" hidden="1">
          <a:extLst>
            <a:ext uri="{FF2B5EF4-FFF2-40B4-BE49-F238E27FC236}">
              <a16:creationId xmlns:a16="http://schemas.microsoft.com/office/drawing/2014/main" id="{00000000-0008-0000-0000-0000D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02" name="Picture 11" hidden="1">
          <a:extLst>
            <a:ext uri="{FF2B5EF4-FFF2-40B4-BE49-F238E27FC236}">
              <a16:creationId xmlns:a16="http://schemas.microsoft.com/office/drawing/2014/main" id="{00000000-0008-0000-0000-0000D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04" name="Picture 11" hidden="1">
          <a:extLst>
            <a:ext uri="{FF2B5EF4-FFF2-40B4-BE49-F238E27FC236}">
              <a16:creationId xmlns:a16="http://schemas.microsoft.com/office/drawing/2014/main" id="{00000000-0008-0000-0000-0000D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06" name="Picture 11" hidden="1">
          <a:extLst>
            <a:ext uri="{FF2B5EF4-FFF2-40B4-BE49-F238E27FC236}">
              <a16:creationId xmlns:a16="http://schemas.microsoft.com/office/drawing/2014/main" id="{00000000-0008-0000-0000-0000D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08" name="Picture 11" hidden="1">
          <a:extLst>
            <a:ext uri="{FF2B5EF4-FFF2-40B4-BE49-F238E27FC236}">
              <a16:creationId xmlns:a16="http://schemas.microsoft.com/office/drawing/2014/main" id="{00000000-0008-0000-0000-0000E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10" name="Picture 11" hidden="1">
          <a:extLst>
            <a:ext uri="{FF2B5EF4-FFF2-40B4-BE49-F238E27FC236}">
              <a16:creationId xmlns:a16="http://schemas.microsoft.com/office/drawing/2014/main" id="{00000000-0008-0000-0000-0000E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12" name="Picture 11" hidden="1">
          <a:extLst>
            <a:ext uri="{FF2B5EF4-FFF2-40B4-BE49-F238E27FC236}">
              <a16:creationId xmlns:a16="http://schemas.microsoft.com/office/drawing/2014/main" id="{00000000-0008-0000-0000-0000E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14" name="Picture 11" hidden="1">
          <a:extLst>
            <a:ext uri="{FF2B5EF4-FFF2-40B4-BE49-F238E27FC236}">
              <a16:creationId xmlns:a16="http://schemas.microsoft.com/office/drawing/2014/main" id="{00000000-0008-0000-0000-0000E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16" name="Picture 11" hidden="1">
          <a:extLst>
            <a:ext uri="{FF2B5EF4-FFF2-40B4-BE49-F238E27FC236}">
              <a16:creationId xmlns:a16="http://schemas.microsoft.com/office/drawing/2014/main" id="{00000000-0008-0000-0000-0000E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18" name="Picture 11" hidden="1">
          <a:extLst>
            <a:ext uri="{FF2B5EF4-FFF2-40B4-BE49-F238E27FC236}">
              <a16:creationId xmlns:a16="http://schemas.microsoft.com/office/drawing/2014/main" id="{00000000-0008-0000-0000-0000E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20" name="Picture 11" hidden="1">
          <a:extLst>
            <a:ext uri="{FF2B5EF4-FFF2-40B4-BE49-F238E27FC236}">
              <a16:creationId xmlns:a16="http://schemas.microsoft.com/office/drawing/2014/main" id="{00000000-0008-0000-0000-0000E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22" name="Picture 11" hidden="1">
          <a:extLst>
            <a:ext uri="{FF2B5EF4-FFF2-40B4-BE49-F238E27FC236}">
              <a16:creationId xmlns:a16="http://schemas.microsoft.com/office/drawing/2014/main" id="{00000000-0008-0000-0000-0000E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24" name="Picture 11" hidden="1">
          <a:extLst>
            <a:ext uri="{FF2B5EF4-FFF2-40B4-BE49-F238E27FC236}">
              <a16:creationId xmlns:a16="http://schemas.microsoft.com/office/drawing/2014/main" id="{00000000-0008-0000-0000-0000F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26" name="Picture 11" hidden="1">
          <a:extLst>
            <a:ext uri="{FF2B5EF4-FFF2-40B4-BE49-F238E27FC236}">
              <a16:creationId xmlns:a16="http://schemas.microsoft.com/office/drawing/2014/main" id="{00000000-0008-0000-0000-0000F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28" name="Picture 11" hidden="1">
          <a:extLst>
            <a:ext uri="{FF2B5EF4-FFF2-40B4-BE49-F238E27FC236}">
              <a16:creationId xmlns:a16="http://schemas.microsoft.com/office/drawing/2014/main" id="{00000000-0008-0000-0000-0000F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30" name="Picture 11" hidden="1">
          <a:extLst>
            <a:ext uri="{FF2B5EF4-FFF2-40B4-BE49-F238E27FC236}">
              <a16:creationId xmlns:a16="http://schemas.microsoft.com/office/drawing/2014/main" id="{00000000-0008-0000-0000-0000F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32" name="Picture 11" hidden="1">
          <a:extLst>
            <a:ext uri="{FF2B5EF4-FFF2-40B4-BE49-F238E27FC236}">
              <a16:creationId xmlns:a16="http://schemas.microsoft.com/office/drawing/2014/main" id="{00000000-0008-0000-0000-0000F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34" name="Picture 11" hidden="1">
          <a:extLst>
            <a:ext uri="{FF2B5EF4-FFF2-40B4-BE49-F238E27FC236}">
              <a16:creationId xmlns:a16="http://schemas.microsoft.com/office/drawing/2014/main" id="{00000000-0008-0000-0000-0000F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36" name="Picture 11" hidden="1">
          <a:extLst>
            <a:ext uri="{FF2B5EF4-FFF2-40B4-BE49-F238E27FC236}">
              <a16:creationId xmlns:a16="http://schemas.microsoft.com/office/drawing/2014/main" id="{00000000-0008-0000-0000-0000F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38" name="Picture 11" hidden="1">
          <a:extLst>
            <a:ext uri="{FF2B5EF4-FFF2-40B4-BE49-F238E27FC236}">
              <a16:creationId xmlns:a16="http://schemas.microsoft.com/office/drawing/2014/main" id="{00000000-0008-0000-0000-0000F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40" name="Picture 11" hidden="1">
          <a:extLst>
            <a:ext uri="{FF2B5EF4-FFF2-40B4-BE49-F238E27FC236}">
              <a16:creationId xmlns:a16="http://schemas.microsoft.com/office/drawing/2014/main" id="{00000000-0008-0000-0000-00000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42" name="Picture 11" hidden="1">
          <a:extLst>
            <a:ext uri="{FF2B5EF4-FFF2-40B4-BE49-F238E27FC236}">
              <a16:creationId xmlns:a16="http://schemas.microsoft.com/office/drawing/2014/main" id="{00000000-0008-0000-0000-00000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44" name="Picture 11" hidden="1">
          <a:extLst>
            <a:ext uri="{FF2B5EF4-FFF2-40B4-BE49-F238E27FC236}">
              <a16:creationId xmlns:a16="http://schemas.microsoft.com/office/drawing/2014/main" id="{00000000-0008-0000-0000-00000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46" name="Picture 11" hidden="1">
          <a:extLst>
            <a:ext uri="{FF2B5EF4-FFF2-40B4-BE49-F238E27FC236}">
              <a16:creationId xmlns:a16="http://schemas.microsoft.com/office/drawing/2014/main" id="{00000000-0008-0000-0000-00000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48" name="Picture 11" hidden="1">
          <a:extLst>
            <a:ext uri="{FF2B5EF4-FFF2-40B4-BE49-F238E27FC236}">
              <a16:creationId xmlns:a16="http://schemas.microsoft.com/office/drawing/2014/main" id="{00000000-0008-0000-0000-00000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50" name="Picture 11" hidden="1">
          <a:extLst>
            <a:ext uri="{FF2B5EF4-FFF2-40B4-BE49-F238E27FC236}">
              <a16:creationId xmlns:a16="http://schemas.microsoft.com/office/drawing/2014/main" id="{00000000-0008-0000-0000-00000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52" name="Picture 11" hidden="1">
          <a:extLst>
            <a:ext uri="{FF2B5EF4-FFF2-40B4-BE49-F238E27FC236}">
              <a16:creationId xmlns:a16="http://schemas.microsoft.com/office/drawing/2014/main" id="{00000000-0008-0000-0000-00000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54" name="Picture 11" hidden="1">
          <a:extLst>
            <a:ext uri="{FF2B5EF4-FFF2-40B4-BE49-F238E27FC236}">
              <a16:creationId xmlns:a16="http://schemas.microsoft.com/office/drawing/2014/main" id="{00000000-0008-0000-0000-00000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56" name="Picture 11" hidden="1">
          <a:extLst>
            <a:ext uri="{FF2B5EF4-FFF2-40B4-BE49-F238E27FC236}">
              <a16:creationId xmlns:a16="http://schemas.microsoft.com/office/drawing/2014/main" id="{00000000-0008-0000-0000-00001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58" name="Picture 11" hidden="1">
          <a:extLst>
            <a:ext uri="{FF2B5EF4-FFF2-40B4-BE49-F238E27FC236}">
              <a16:creationId xmlns:a16="http://schemas.microsoft.com/office/drawing/2014/main" id="{00000000-0008-0000-0000-00001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60" name="Picture 11" hidden="1">
          <a:extLst>
            <a:ext uri="{FF2B5EF4-FFF2-40B4-BE49-F238E27FC236}">
              <a16:creationId xmlns:a16="http://schemas.microsoft.com/office/drawing/2014/main" id="{00000000-0008-0000-0000-00001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62" name="Picture 11" hidden="1">
          <a:extLst>
            <a:ext uri="{FF2B5EF4-FFF2-40B4-BE49-F238E27FC236}">
              <a16:creationId xmlns:a16="http://schemas.microsoft.com/office/drawing/2014/main" id="{00000000-0008-0000-0000-00001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64" name="Picture 11" hidden="1">
          <a:extLst>
            <a:ext uri="{FF2B5EF4-FFF2-40B4-BE49-F238E27FC236}">
              <a16:creationId xmlns:a16="http://schemas.microsoft.com/office/drawing/2014/main" id="{00000000-0008-0000-0000-00001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66" name="Picture 11" hidden="1">
          <a:extLst>
            <a:ext uri="{FF2B5EF4-FFF2-40B4-BE49-F238E27FC236}">
              <a16:creationId xmlns:a16="http://schemas.microsoft.com/office/drawing/2014/main" id="{00000000-0008-0000-0000-00001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68" name="Picture 11" hidden="1">
          <a:extLst>
            <a:ext uri="{FF2B5EF4-FFF2-40B4-BE49-F238E27FC236}">
              <a16:creationId xmlns:a16="http://schemas.microsoft.com/office/drawing/2014/main" id="{00000000-0008-0000-0000-00001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70" name="Picture 11" hidden="1">
          <a:extLst>
            <a:ext uri="{FF2B5EF4-FFF2-40B4-BE49-F238E27FC236}">
              <a16:creationId xmlns:a16="http://schemas.microsoft.com/office/drawing/2014/main" id="{00000000-0008-0000-0000-00001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72" name="Picture 11" hidden="1">
          <a:extLst>
            <a:ext uri="{FF2B5EF4-FFF2-40B4-BE49-F238E27FC236}">
              <a16:creationId xmlns:a16="http://schemas.microsoft.com/office/drawing/2014/main" id="{00000000-0008-0000-0000-00002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74" name="Picture 11" hidden="1">
          <a:extLst>
            <a:ext uri="{FF2B5EF4-FFF2-40B4-BE49-F238E27FC236}">
              <a16:creationId xmlns:a16="http://schemas.microsoft.com/office/drawing/2014/main" id="{00000000-0008-0000-0000-00002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76" name="Picture 11" hidden="1">
          <a:extLst>
            <a:ext uri="{FF2B5EF4-FFF2-40B4-BE49-F238E27FC236}">
              <a16:creationId xmlns:a16="http://schemas.microsoft.com/office/drawing/2014/main" id="{00000000-0008-0000-0000-00002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78" name="Picture 11" hidden="1">
          <a:extLst>
            <a:ext uri="{FF2B5EF4-FFF2-40B4-BE49-F238E27FC236}">
              <a16:creationId xmlns:a16="http://schemas.microsoft.com/office/drawing/2014/main" id="{00000000-0008-0000-0000-00002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80" name="Picture 11" hidden="1">
          <a:extLst>
            <a:ext uri="{FF2B5EF4-FFF2-40B4-BE49-F238E27FC236}">
              <a16:creationId xmlns:a16="http://schemas.microsoft.com/office/drawing/2014/main" id="{00000000-0008-0000-0000-00002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82" name="Picture 11" hidden="1">
          <a:extLst>
            <a:ext uri="{FF2B5EF4-FFF2-40B4-BE49-F238E27FC236}">
              <a16:creationId xmlns:a16="http://schemas.microsoft.com/office/drawing/2014/main" id="{00000000-0008-0000-0000-00002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84" name="Picture 11" hidden="1">
          <a:extLst>
            <a:ext uri="{FF2B5EF4-FFF2-40B4-BE49-F238E27FC236}">
              <a16:creationId xmlns:a16="http://schemas.microsoft.com/office/drawing/2014/main" id="{00000000-0008-0000-0000-00002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86" name="Picture 11" hidden="1">
          <a:extLst>
            <a:ext uri="{FF2B5EF4-FFF2-40B4-BE49-F238E27FC236}">
              <a16:creationId xmlns:a16="http://schemas.microsoft.com/office/drawing/2014/main" id="{00000000-0008-0000-0000-00002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88" name="Picture 11" hidden="1">
          <a:extLst>
            <a:ext uri="{FF2B5EF4-FFF2-40B4-BE49-F238E27FC236}">
              <a16:creationId xmlns:a16="http://schemas.microsoft.com/office/drawing/2014/main" id="{00000000-0008-0000-0000-00003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90" name="Picture 11" hidden="1">
          <a:extLst>
            <a:ext uri="{FF2B5EF4-FFF2-40B4-BE49-F238E27FC236}">
              <a16:creationId xmlns:a16="http://schemas.microsoft.com/office/drawing/2014/main" id="{00000000-0008-0000-0000-00003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92" name="Picture 11" hidden="1">
          <a:extLst>
            <a:ext uri="{FF2B5EF4-FFF2-40B4-BE49-F238E27FC236}">
              <a16:creationId xmlns:a16="http://schemas.microsoft.com/office/drawing/2014/main" id="{00000000-0008-0000-0000-00003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94" name="Picture 11" hidden="1">
          <a:extLst>
            <a:ext uri="{FF2B5EF4-FFF2-40B4-BE49-F238E27FC236}">
              <a16:creationId xmlns:a16="http://schemas.microsoft.com/office/drawing/2014/main" id="{00000000-0008-0000-0000-00003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96" name="Picture 11" hidden="1">
          <a:extLst>
            <a:ext uri="{FF2B5EF4-FFF2-40B4-BE49-F238E27FC236}">
              <a16:creationId xmlns:a16="http://schemas.microsoft.com/office/drawing/2014/main" id="{00000000-0008-0000-0000-00003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98" name="Picture 11" hidden="1">
          <a:extLst>
            <a:ext uri="{FF2B5EF4-FFF2-40B4-BE49-F238E27FC236}">
              <a16:creationId xmlns:a16="http://schemas.microsoft.com/office/drawing/2014/main" id="{00000000-0008-0000-0000-00003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00" name="Picture 11" hidden="1">
          <a:extLst>
            <a:ext uri="{FF2B5EF4-FFF2-40B4-BE49-F238E27FC236}">
              <a16:creationId xmlns:a16="http://schemas.microsoft.com/office/drawing/2014/main" id="{00000000-0008-0000-0000-00003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02" name="Picture 3901" hidden="1">
          <a:extLst>
            <a:ext uri="{FF2B5EF4-FFF2-40B4-BE49-F238E27FC236}">
              <a16:creationId xmlns:a16="http://schemas.microsoft.com/office/drawing/2014/main" id="{00000000-0008-0000-0000-00003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04" name="Picture 11" hidden="1">
          <a:extLst>
            <a:ext uri="{FF2B5EF4-FFF2-40B4-BE49-F238E27FC236}">
              <a16:creationId xmlns:a16="http://schemas.microsoft.com/office/drawing/2014/main" id="{00000000-0008-0000-0000-00004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06" name="Picture 11" hidden="1">
          <a:extLst>
            <a:ext uri="{FF2B5EF4-FFF2-40B4-BE49-F238E27FC236}">
              <a16:creationId xmlns:a16="http://schemas.microsoft.com/office/drawing/2014/main" id="{00000000-0008-0000-0000-00004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08" name="Picture 11" hidden="1">
          <a:extLst>
            <a:ext uri="{FF2B5EF4-FFF2-40B4-BE49-F238E27FC236}">
              <a16:creationId xmlns:a16="http://schemas.microsoft.com/office/drawing/2014/main" id="{00000000-0008-0000-0000-00004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10" name="Picture 11" hidden="1">
          <a:extLst>
            <a:ext uri="{FF2B5EF4-FFF2-40B4-BE49-F238E27FC236}">
              <a16:creationId xmlns:a16="http://schemas.microsoft.com/office/drawing/2014/main" id="{00000000-0008-0000-0000-00004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12" name="Picture 11" hidden="1">
          <a:extLst>
            <a:ext uri="{FF2B5EF4-FFF2-40B4-BE49-F238E27FC236}">
              <a16:creationId xmlns:a16="http://schemas.microsoft.com/office/drawing/2014/main" id="{00000000-0008-0000-0000-00004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14" name="Picture 11" hidden="1">
          <a:extLst>
            <a:ext uri="{FF2B5EF4-FFF2-40B4-BE49-F238E27FC236}">
              <a16:creationId xmlns:a16="http://schemas.microsoft.com/office/drawing/2014/main" id="{00000000-0008-0000-0000-00004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16" name="Picture 11" hidden="1">
          <a:extLst>
            <a:ext uri="{FF2B5EF4-FFF2-40B4-BE49-F238E27FC236}">
              <a16:creationId xmlns:a16="http://schemas.microsoft.com/office/drawing/2014/main" id="{00000000-0008-0000-0000-00004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18" name="Picture 11" hidden="1">
          <a:extLst>
            <a:ext uri="{FF2B5EF4-FFF2-40B4-BE49-F238E27FC236}">
              <a16:creationId xmlns:a16="http://schemas.microsoft.com/office/drawing/2014/main" id="{00000000-0008-0000-0000-00004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20" name="Picture 11" hidden="1">
          <a:extLst>
            <a:ext uri="{FF2B5EF4-FFF2-40B4-BE49-F238E27FC236}">
              <a16:creationId xmlns:a16="http://schemas.microsoft.com/office/drawing/2014/main" id="{00000000-0008-0000-0000-00005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22" name="Picture 11" hidden="1">
          <a:extLst>
            <a:ext uri="{FF2B5EF4-FFF2-40B4-BE49-F238E27FC236}">
              <a16:creationId xmlns:a16="http://schemas.microsoft.com/office/drawing/2014/main" id="{00000000-0008-0000-0000-00005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24" name="Picture 11" hidden="1">
          <a:extLst>
            <a:ext uri="{FF2B5EF4-FFF2-40B4-BE49-F238E27FC236}">
              <a16:creationId xmlns:a16="http://schemas.microsoft.com/office/drawing/2014/main" id="{00000000-0008-0000-0000-00005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26" name="Picture 11" hidden="1">
          <a:extLst>
            <a:ext uri="{FF2B5EF4-FFF2-40B4-BE49-F238E27FC236}">
              <a16:creationId xmlns:a16="http://schemas.microsoft.com/office/drawing/2014/main" id="{00000000-0008-0000-0000-00005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28" name="Picture 11" hidden="1">
          <a:extLst>
            <a:ext uri="{FF2B5EF4-FFF2-40B4-BE49-F238E27FC236}">
              <a16:creationId xmlns:a16="http://schemas.microsoft.com/office/drawing/2014/main" id="{00000000-0008-0000-0000-00005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30" name="Picture 11" hidden="1">
          <a:extLst>
            <a:ext uri="{FF2B5EF4-FFF2-40B4-BE49-F238E27FC236}">
              <a16:creationId xmlns:a16="http://schemas.microsoft.com/office/drawing/2014/main" id="{00000000-0008-0000-0000-00005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32" name="Picture 11" hidden="1">
          <a:extLst>
            <a:ext uri="{FF2B5EF4-FFF2-40B4-BE49-F238E27FC236}">
              <a16:creationId xmlns:a16="http://schemas.microsoft.com/office/drawing/2014/main" id="{00000000-0008-0000-0000-00005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34" name="Picture 11" hidden="1">
          <a:extLst>
            <a:ext uri="{FF2B5EF4-FFF2-40B4-BE49-F238E27FC236}">
              <a16:creationId xmlns:a16="http://schemas.microsoft.com/office/drawing/2014/main" id="{00000000-0008-0000-0000-00005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36" name="Picture 11" hidden="1">
          <a:extLst>
            <a:ext uri="{FF2B5EF4-FFF2-40B4-BE49-F238E27FC236}">
              <a16:creationId xmlns:a16="http://schemas.microsoft.com/office/drawing/2014/main" id="{00000000-0008-0000-0000-00006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38" name="Picture 11" hidden="1">
          <a:extLst>
            <a:ext uri="{FF2B5EF4-FFF2-40B4-BE49-F238E27FC236}">
              <a16:creationId xmlns:a16="http://schemas.microsoft.com/office/drawing/2014/main" id="{00000000-0008-0000-0000-00006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40" name="Picture 11" hidden="1">
          <a:extLst>
            <a:ext uri="{FF2B5EF4-FFF2-40B4-BE49-F238E27FC236}">
              <a16:creationId xmlns:a16="http://schemas.microsoft.com/office/drawing/2014/main" id="{00000000-0008-0000-0000-00006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42" name="Picture 11" hidden="1">
          <a:extLst>
            <a:ext uri="{FF2B5EF4-FFF2-40B4-BE49-F238E27FC236}">
              <a16:creationId xmlns:a16="http://schemas.microsoft.com/office/drawing/2014/main" id="{00000000-0008-0000-0000-00006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44" name="Picture 11" hidden="1">
          <a:extLst>
            <a:ext uri="{FF2B5EF4-FFF2-40B4-BE49-F238E27FC236}">
              <a16:creationId xmlns:a16="http://schemas.microsoft.com/office/drawing/2014/main" id="{00000000-0008-0000-0000-00006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46" name="Picture 11" hidden="1">
          <a:extLst>
            <a:ext uri="{FF2B5EF4-FFF2-40B4-BE49-F238E27FC236}">
              <a16:creationId xmlns:a16="http://schemas.microsoft.com/office/drawing/2014/main" id="{00000000-0008-0000-0000-00006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48" name="Picture 11" hidden="1">
          <a:extLst>
            <a:ext uri="{FF2B5EF4-FFF2-40B4-BE49-F238E27FC236}">
              <a16:creationId xmlns:a16="http://schemas.microsoft.com/office/drawing/2014/main" id="{00000000-0008-0000-0000-00006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50" name="Picture 11" hidden="1">
          <a:extLst>
            <a:ext uri="{FF2B5EF4-FFF2-40B4-BE49-F238E27FC236}">
              <a16:creationId xmlns:a16="http://schemas.microsoft.com/office/drawing/2014/main" id="{00000000-0008-0000-0000-00006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52" name="Picture 11" hidden="1">
          <a:extLst>
            <a:ext uri="{FF2B5EF4-FFF2-40B4-BE49-F238E27FC236}">
              <a16:creationId xmlns:a16="http://schemas.microsoft.com/office/drawing/2014/main" id="{00000000-0008-0000-0000-00007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54" name="Picture 11" hidden="1">
          <a:extLst>
            <a:ext uri="{FF2B5EF4-FFF2-40B4-BE49-F238E27FC236}">
              <a16:creationId xmlns:a16="http://schemas.microsoft.com/office/drawing/2014/main" id="{00000000-0008-0000-0000-00007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56" name="Picture 11" hidden="1">
          <a:extLst>
            <a:ext uri="{FF2B5EF4-FFF2-40B4-BE49-F238E27FC236}">
              <a16:creationId xmlns:a16="http://schemas.microsoft.com/office/drawing/2014/main" id="{00000000-0008-0000-0000-00007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58" name="Picture 11" hidden="1">
          <a:extLst>
            <a:ext uri="{FF2B5EF4-FFF2-40B4-BE49-F238E27FC236}">
              <a16:creationId xmlns:a16="http://schemas.microsoft.com/office/drawing/2014/main" id="{00000000-0008-0000-0000-00007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60" name="Picture 11" hidden="1">
          <a:extLst>
            <a:ext uri="{FF2B5EF4-FFF2-40B4-BE49-F238E27FC236}">
              <a16:creationId xmlns:a16="http://schemas.microsoft.com/office/drawing/2014/main" id="{00000000-0008-0000-0000-00007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62" name="Picture 11" hidden="1">
          <a:extLst>
            <a:ext uri="{FF2B5EF4-FFF2-40B4-BE49-F238E27FC236}">
              <a16:creationId xmlns:a16="http://schemas.microsoft.com/office/drawing/2014/main" id="{00000000-0008-0000-0000-00007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64" name="Picture 11" hidden="1">
          <a:extLst>
            <a:ext uri="{FF2B5EF4-FFF2-40B4-BE49-F238E27FC236}">
              <a16:creationId xmlns:a16="http://schemas.microsoft.com/office/drawing/2014/main" id="{00000000-0008-0000-0000-00007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66" name="Picture 11" hidden="1">
          <a:extLst>
            <a:ext uri="{FF2B5EF4-FFF2-40B4-BE49-F238E27FC236}">
              <a16:creationId xmlns:a16="http://schemas.microsoft.com/office/drawing/2014/main" id="{00000000-0008-0000-0000-00007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68" name="Picture 11" hidden="1">
          <a:extLst>
            <a:ext uri="{FF2B5EF4-FFF2-40B4-BE49-F238E27FC236}">
              <a16:creationId xmlns:a16="http://schemas.microsoft.com/office/drawing/2014/main" id="{00000000-0008-0000-0000-00008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70" name="Picture 11" hidden="1">
          <a:extLst>
            <a:ext uri="{FF2B5EF4-FFF2-40B4-BE49-F238E27FC236}">
              <a16:creationId xmlns:a16="http://schemas.microsoft.com/office/drawing/2014/main" id="{00000000-0008-0000-0000-00008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72" name="Picture 11" hidden="1">
          <a:extLst>
            <a:ext uri="{FF2B5EF4-FFF2-40B4-BE49-F238E27FC236}">
              <a16:creationId xmlns:a16="http://schemas.microsoft.com/office/drawing/2014/main" id="{00000000-0008-0000-0000-00008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74" name="Picture 11" hidden="1">
          <a:extLst>
            <a:ext uri="{FF2B5EF4-FFF2-40B4-BE49-F238E27FC236}">
              <a16:creationId xmlns:a16="http://schemas.microsoft.com/office/drawing/2014/main" id="{00000000-0008-0000-0000-00008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76" name="Picture 11" hidden="1">
          <a:extLst>
            <a:ext uri="{FF2B5EF4-FFF2-40B4-BE49-F238E27FC236}">
              <a16:creationId xmlns:a16="http://schemas.microsoft.com/office/drawing/2014/main" id="{00000000-0008-0000-0000-00008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78" name="Picture 11" hidden="1">
          <a:extLst>
            <a:ext uri="{FF2B5EF4-FFF2-40B4-BE49-F238E27FC236}">
              <a16:creationId xmlns:a16="http://schemas.microsoft.com/office/drawing/2014/main" id="{00000000-0008-0000-0000-00008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80" name="Picture 11" hidden="1">
          <a:extLst>
            <a:ext uri="{FF2B5EF4-FFF2-40B4-BE49-F238E27FC236}">
              <a16:creationId xmlns:a16="http://schemas.microsoft.com/office/drawing/2014/main" id="{00000000-0008-0000-0000-00008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82" name="Picture 11" hidden="1">
          <a:extLst>
            <a:ext uri="{FF2B5EF4-FFF2-40B4-BE49-F238E27FC236}">
              <a16:creationId xmlns:a16="http://schemas.microsoft.com/office/drawing/2014/main" id="{00000000-0008-0000-0000-00008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84" name="Picture 11" hidden="1">
          <a:extLst>
            <a:ext uri="{FF2B5EF4-FFF2-40B4-BE49-F238E27FC236}">
              <a16:creationId xmlns:a16="http://schemas.microsoft.com/office/drawing/2014/main" id="{00000000-0008-0000-0000-00009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86" name="Picture 11" hidden="1">
          <a:extLst>
            <a:ext uri="{FF2B5EF4-FFF2-40B4-BE49-F238E27FC236}">
              <a16:creationId xmlns:a16="http://schemas.microsoft.com/office/drawing/2014/main" id="{00000000-0008-0000-0000-00009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88" name="Picture 11" hidden="1">
          <a:extLst>
            <a:ext uri="{FF2B5EF4-FFF2-40B4-BE49-F238E27FC236}">
              <a16:creationId xmlns:a16="http://schemas.microsoft.com/office/drawing/2014/main" id="{00000000-0008-0000-0000-00009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90" name="Picture 11" hidden="1">
          <a:extLst>
            <a:ext uri="{FF2B5EF4-FFF2-40B4-BE49-F238E27FC236}">
              <a16:creationId xmlns:a16="http://schemas.microsoft.com/office/drawing/2014/main" id="{00000000-0008-0000-0000-00009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92" name="Picture 11" hidden="1">
          <a:extLst>
            <a:ext uri="{FF2B5EF4-FFF2-40B4-BE49-F238E27FC236}">
              <a16:creationId xmlns:a16="http://schemas.microsoft.com/office/drawing/2014/main" id="{00000000-0008-0000-0000-00009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94" name="Picture 11" hidden="1">
          <a:extLst>
            <a:ext uri="{FF2B5EF4-FFF2-40B4-BE49-F238E27FC236}">
              <a16:creationId xmlns:a16="http://schemas.microsoft.com/office/drawing/2014/main" id="{00000000-0008-0000-0000-00009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96" name="Picture 11" hidden="1">
          <a:extLst>
            <a:ext uri="{FF2B5EF4-FFF2-40B4-BE49-F238E27FC236}">
              <a16:creationId xmlns:a16="http://schemas.microsoft.com/office/drawing/2014/main" id="{00000000-0008-0000-0000-00009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98" name="Picture 11" hidden="1">
          <a:extLst>
            <a:ext uri="{FF2B5EF4-FFF2-40B4-BE49-F238E27FC236}">
              <a16:creationId xmlns:a16="http://schemas.microsoft.com/office/drawing/2014/main" id="{00000000-0008-0000-0000-00009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00" name="Picture 11" hidden="1">
          <a:extLst>
            <a:ext uri="{FF2B5EF4-FFF2-40B4-BE49-F238E27FC236}">
              <a16:creationId xmlns:a16="http://schemas.microsoft.com/office/drawing/2014/main" id="{00000000-0008-0000-0000-0000A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02" name="Picture 11" hidden="1">
          <a:extLst>
            <a:ext uri="{FF2B5EF4-FFF2-40B4-BE49-F238E27FC236}">
              <a16:creationId xmlns:a16="http://schemas.microsoft.com/office/drawing/2014/main" id="{00000000-0008-0000-0000-0000A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04" name="Picture 11" hidden="1">
          <a:extLst>
            <a:ext uri="{FF2B5EF4-FFF2-40B4-BE49-F238E27FC236}">
              <a16:creationId xmlns:a16="http://schemas.microsoft.com/office/drawing/2014/main" id="{00000000-0008-0000-0000-0000A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06" name="Picture 11" hidden="1">
          <a:extLst>
            <a:ext uri="{FF2B5EF4-FFF2-40B4-BE49-F238E27FC236}">
              <a16:creationId xmlns:a16="http://schemas.microsoft.com/office/drawing/2014/main" id="{00000000-0008-0000-0000-0000A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08" name="Picture 11" hidden="1">
          <a:extLst>
            <a:ext uri="{FF2B5EF4-FFF2-40B4-BE49-F238E27FC236}">
              <a16:creationId xmlns:a16="http://schemas.microsoft.com/office/drawing/2014/main" id="{00000000-0008-0000-0000-0000A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10" name="Picture 4009" hidden="1">
          <a:extLst>
            <a:ext uri="{FF2B5EF4-FFF2-40B4-BE49-F238E27FC236}">
              <a16:creationId xmlns:a16="http://schemas.microsoft.com/office/drawing/2014/main" id="{00000000-0008-0000-0000-0000A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12" name="Picture 11" hidden="1">
          <a:extLst>
            <a:ext uri="{FF2B5EF4-FFF2-40B4-BE49-F238E27FC236}">
              <a16:creationId xmlns:a16="http://schemas.microsoft.com/office/drawing/2014/main" id="{00000000-0008-0000-0000-0000A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14" name="Picture 11" hidden="1">
          <a:extLst>
            <a:ext uri="{FF2B5EF4-FFF2-40B4-BE49-F238E27FC236}">
              <a16:creationId xmlns:a16="http://schemas.microsoft.com/office/drawing/2014/main" id="{00000000-0008-0000-0000-0000A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16" name="Picture 11" hidden="1">
          <a:extLst>
            <a:ext uri="{FF2B5EF4-FFF2-40B4-BE49-F238E27FC236}">
              <a16:creationId xmlns:a16="http://schemas.microsoft.com/office/drawing/2014/main" id="{00000000-0008-0000-0000-0000B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18" name="Picture 11" hidden="1">
          <a:extLst>
            <a:ext uri="{FF2B5EF4-FFF2-40B4-BE49-F238E27FC236}">
              <a16:creationId xmlns:a16="http://schemas.microsoft.com/office/drawing/2014/main" id="{00000000-0008-0000-0000-0000B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20" name="Picture 11" hidden="1">
          <a:extLst>
            <a:ext uri="{FF2B5EF4-FFF2-40B4-BE49-F238E27FC236}">
              <a16:creationId xmlns:a16="http://schemas.microsoft.com/office/drawing/2014/main" id="{00000000-0008-0000-0000-0000B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22" name="Picture 11" hidden="1">
          <a:extLst>
            <a:ext uri="{FF2B5EF4-FFF2-40B4-BE49-F238E27FC236}">
              <a16:creationId xmlns:a16="http://schemas.microsoft.com/office/drawing/2014/main" id="{00000000-0008-0000-0000-0000B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24" name="Picture 11" hidden="1">
          <a:extLst>
            <a:ext uri="{FF2B5EF4-FFF2-40B4-BE49-F238E27FC236}">
              <a16:creationId xmlns:a16="http://schemas.microsoft.com/office/drawing/2014/main" id="{00000000-0008-0000-0000-0000B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26" name="Picture 11" hidden="1">
          <a:extLst>
            <a:ext uri="{FF2B5EF4-FFF2-40B4-BE49-F238E27FC236}">
              <a16:creationId xmlns:a16="http://schemas.microsoft.com/office/drawing/2014/main" id="{00000000-0008-0000-0000-0000B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28" name="Picture 11" hidden="1">
          <a:extLst>
            <a:ext uri="{FF2B5EF4-FFF2-40B4-BE49-F238E27FC236}">
              <a16:creationId xmlns:a16="http://schemas.microsoft.com/office/drawing/2014/main" id="{00000000-0008-0000-0000-0000B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30" name="Picture 11" hidden="1">
          <a:extLst>
            <a:ext uri="{FF2B5EF4-FFF2-40B4-BE49-F238E27FC236}">
              <a16:creationId xmlns:a16="http://schemas.microsoft.com/office/drawing/2014/main" id="{00000000-0008-0000-0000-0000B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32" name="Picture 11" hidden="1">
          <a:extLst>
            <a:ext uri="{FF2B5EF4-FFF2-40B4-BE49-F238E27FC236}">
              <a16:creationId xmlns:a16="http://schemas.microsoft.com/office/drawing/2014/main" id="{00000000-0008-0000-0000-0000C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34" name="Picture 11" hidden="1">
          <a:extLst>
            <a:ext uri="{FF2B5EF4-FFF2-40B4-BE49-F238E27FC236}">
              <a16:creationId xmlns:a16="http://schemas.microsoft.com/office/drawing/2014/main" id="{00000000-0008-0000-0000-0000C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36" name="Picture 11" hidden="1">
          <a:extLst>
            <a:ext uri="{FF2B5EF4-FFF2-40B4-BE49-F238E27FC236}">
              <a16:creationId xmlns:a16="http://schemas.microsoft.com/office/drawing/2014/main" id="{00000000-0008-0000-0000-0000C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38" name="Picture 11" hidden="1">
          <a:extLst>
            <a:ext uri="{FF2B5EF4-FFF2-40B4-BE49-F238E27FC236}">
              <a16:creationId xmlns:a16="http://schemas.microsoft.com/office/drawing/2014/main" id="{00000000-0008-0000-0000-0000C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40" name="Picture 11" hidden="1">
          <a:extLst>
            <a:ext uri="{FF2B5EF4-FFF2-40B4-BE49-F238E27FC236}">
              <a16:creationId xmlns:a16="http://schemas.microsoft.com/office/drawing/2014/main" id="{00000000-0008-0000-0000-0000C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42" name="Picture 11" hidden="1">
          <a:extLst>
            <a:ext uri="{FF2B5EF4-FFF2-40B4-BE49-F238E27FC236}">
              <a16:creationId xmlns:a16="http://schemas.microsoft.com/office/drawing/2014/main" id="{00000000-0008-0000-0000-0000C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44" name="Picture 11" hidden="1">
          <a:extLst>
            <a:ext uri="{FF2B5EF4-FFF2-40B4-BE49-F238E27FC236}">
              <a16:creationId xmlns:a16="http://schemas.microsoft.com/office/drawing/2014/main" id="{00000000-0008-0000-0000-0000C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46" name="Picture 11" hidden="1">
          <a:extLst>
            <a:ext uri="{FF2B5EF4-FFF2-40B4-BE49-F238E27FC236}">
              <a16:creationId xmlns:a16="http://schemas.microsoft.com/office/drawing/2014/main" id="{00000000-0008-0000-0000-0000C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48" name="Picture 11" hidden="1">
          <a:extLst>
            <a:ext uri="{FF2B5EF4-FFF2-40B4-BE49-F238E27FC236}">
              <a16:creationId xmlns:a16="http://schemas.microsoft.com/office/drawing/2014/main" id="{00000000-0008-0000-0000-0000D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50" name="Picture 11" hidden="1">
          <a:extLst>
            <a:ext uri="{FF2B5EF4-FFF2-40B4-BE49-F238E27FC236}">
              <a16:creationId xmlns:a16="http://schemas.microsoft.com/office/drawing/2014/main" id="{00000000-0008-0000-0000-0000D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52" name="Picture 11" hidden="1">
          <a:extLst>
            <a:ext uri="{FF2B5EF4-FFF2-40B4-BE49-F238E27FC236}">
              <a16:creationId xmlns:a16="http://schemas.microsoft.com/office/drawing/2014/main" id="{00000000-0008-0000-0000-0000D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54" name="Picture 11" hidden="1">
          <a:extLst>
            <a:ext uri="{FF2B5EF4-FFF2-40B4-BE49-F238E27FC236}">
              <a16:creationId xmlns:a16="http://schemas.microsoft.com/office/drawing/2014/main" id="{00000000-0008-0000-0000-0000D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56" name="Picture 11" hidden="1">
          <a:extLst>
            <a:ext uri="{FF2B5EF4-FFF2-40B4-BE49-F238E27FC236}">
              <a16:creationId xmlns:a16="http://schemas.microsoft.com/office/drawing/2014/main" id="{00000000-0008-0000-0000-0000D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58" name="Picture 11" hidden="1">
          <a:extLst>
            <a:ext uri="{FF2B5EF4-FFF2-40B4-BE49-F238E27FC236}">
              <a16:creationId xmlns:a16="http://schemas.microsoft.com/office/drawing/2014/main" id="{00000000-0008-0000-0000-0000D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60" name="Picture 11" hidden="1">
          <a:extLst>
            <a:ext uri="{FF2B5EF4-FFF2-40B4-BE49-F238E27FC236}">
              <a16:creationId xmlns:a16="http://schemas.microsoft.com/office/drawing/2014/main" id="{00000000-0008-0000-0000-0000D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62" name="Picture 11" hidden="1">
          <a:extLst>
            <a:ext uri="{FF2B5EF4-FFF2-40B4-BE49-F238E27FC236}">
              <a16:creationId xmlns:a16="http://schemas.microsoft.com/office/drawing/2014/main" id="{00000000-0008-0000-0000-0000D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64" name="Picture 11" hidden="1">
          <a:extLst>
            <a:ext uri="{FF2B5EF4-FFF2-40B4-BE49-F238E27FC236}">
              <a16:creationId xmlns:a16="http://schemas.microsoft.com/office/drawing/2014/main" id="{00000000-0008-0000-0000-0000E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66" name="Picture 11" hidden="1">
          <a:extLst>
            <a:ext uri="{FF2B5EF4-FFF2-40B4-BE49-F238E27FC236}">
              <a16:creationId xmlns:a16="http://schemas.microsoft.com/office/drawing/2014/main" id="{00000000-0008-0000-0000-0000E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68" name="Picture 11" hidden="1">
          <a:extLst>
            <a:ext uri="{FF2B5EF4-FFF2-40B4-BE49-F238E27FC236}">
              <a16:creationId xmlns:a16="http://schemas.microsoft.com/office/drawing/2014/main" id="{00000000-0008-0000-0000-0000E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70" name="Picture 11" hidden="1">
          <a:extLst>
            <a:ext uri="{FF2B5EF4-FFF2-40B4-BE49-F238E27FC236}">
              <a16:creationId xmlns:a16="http://schemas.microsoft.com/office/drawing/2014/main" id="{00000000-0008-0000-0000-0000E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72" name="Picture 11" hidden="1">
          <a:extLst>
            <a:ext uri="{FF2B5EF4-FFF2-40B4-BE49-F238E27FC236}">
              <a16:creationId xmlns:a16="http://schemas.microsoft.com/office/drawing/2014/main" id="{00000000-0008-0000-0000-0000E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74" name="Picture 11" hidden="1">
          <a:extLst>
            <a:ext uri="{FF2B5EF4-FFF2-40B4-BE49-F238E27FC236}">
              <a16:creationId xmlns:a16="http://schemas.microsoft.com/office/drawing/2014/main" id="{00000000-0008-0000-0000-0000E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76" name="Picture 11" hidden="1">
          <a:extLst>
            <a:ext uri="{FF2B5EF4-FFF2-40B4-BE49-F238E27FC236}">
              <a16:creationId xmlns:a16="http://schemas.microsoft.com/office/drawing/2014/main" id="{00000000-0008-0000-0000-0000E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78" name="Picture 11" hidden="1">
          <a:extLst>
            <a:ext uri="{FF2B5EF4-FFF2-40B4-BE49-F238E27FC236}">
              <a16:creationId xmlns:a16="http://schemas.microsoft.com/office/drawing/2014/main" id="{00000000-0008-0000-0000-0000E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80" name="Picture 11" hidden="1">
          <a:extLst>
            <a:ext uri="{FF2B5EF4-FFF2-40B4-BE49-F238E27FC236}">
              <a16:creationId xmlns:a16="http://schemas.microsoft.com/office/drawing/2014/main" id="{00000000-0008-0000-0000-0000F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82" name="Picture 11" hidden="1">
          <a:extLst>
            <a:ext uri="{FF2B5EF4-FFF2-40B4-BE49-F238E27FC236}">
              <a16:creationId xmlns:a16="http://schemas.microsoft.com/office/drawing/2014/main" id="{00000000-0008-0000-0000-0000F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84" name="Picture 11" hidden="1">
          <a:extLst>
            <a:ext uri="{FF2B5EF4-FFF2-40B4-BE49-F238E27FC236}">
              <a16:creationId xmlns:a16="http://schemas.microsoft.com/office/drawing/2014/main" id="{00000000-0008-0000-0000-0000F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86" name="Picture 11" hidden="1">
          <a:extLst>
            <a:ext uri="{FF2B5EF4-FFF2-40B4-BE49-F238E27FC236}">
              <a16:creationId xmlns:a16="http://schemas.microsoft.com/office/drawing/2014/main" id="{00000000-0008-0000-0000-0000F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88" name="Picture 11" hidden="1">
          <a:extLst>
            <a:ext uri="{FF2B5EF4-FFF2-40B4-BE49-F238E27FC236}">
              <a16:creationId xmlns:a16="http://schemas.microsoft.com/office/drawing/2014/main" id="{00000000-0008-0000-0000-0000F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90" name="Picture 11" hidden="1">
          <a:extLst>
            <a:ext uri="{FF2B5EF4-FFF2-40B4-BE49-F238E27FC236}">
              <a16:creationId xmlns:a16="http://schemas.microsoft.com/office/drawing/2014/main" id="{00000000-0008-0000-0000-0000F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92" name="Picture 11" hidden="1">
          <a:extLst>
            <a:ext uri="{FF2B5EF4-FFF2-40B4-BE49-F238E27FC236}">
              <a16:creationId xmlns:a16="http://schemas.microsoft.com/office/drawing/2014/main" id="{00000000-0008-0000-0000-0000F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94" name="Picture 11" hidden="1">
          <a:extLst>
            <a:ext uri="{FF2B5EF4-FFF2-40B4-BE49-F238E27FC236}">
              <a16:creationId xmlns:a16="http://schemas.microsoft.com/office/drawing/2014/main" id="{00000000-0008-0000-0000-0000F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96" name="Picture 11" hidden="1">
          <a:extLst>
            <a:ext uri="{FF2B5EF4-FFF2-40B4-BE49-F238E27FC236}">
              <a16:creationId xmlns:a16="http://schemas.microsoft.com/office/drawing/2014/main" id="{00000000-0008-0000-0000-00000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98" name="Picture 11" hidden="1">
          <a:extLst>
            <a:ext uri="{FF2B5EF4-FFF2-40B4-BE49-F238E27FC236}">
              <a16:creationId xmlns:a16="http://schemas.microsoft.com/office/drawing/2014/main" id="{00000000-0008-0000-0000-00000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00" name="Picture 11" hidden="1">
          <a:extLst>
            <a:ext uri="{FF2B5EF4-FFF2-40B4-BE49-F238E27FC236}">
              <a16:creationId xmlns:a16="http://schemas.microsoft.com/office/drawing/2014/main" id="{00000000-0008-0000-0000-00000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02" name="Picture 11" hidden="1">
          <a:extLst>
            <a:ext uri="{FF2B5EF4-FFF2-40B4-BE49-F238E27FC236}">
              <a16:creationId xmlns:a16="http://schemas.microsoft.com/office/drawing/2014/main" id="{00000000-0008-0000-0000-00000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04" name="Picture 11" hidden="1">
          <a:extLst>
            <a:ext uri="{FF2B5EF4-FFF2-40B4-BE49-F238E27FC236}">
              <a16:creationId xmlns:a16="http://schemas.microsoft.com/office/drawing/2014/main" id="{00000000-0008-0000-0000-00000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06" name="Picture 11" hidden="1">
          <a:extLst>
            <a:ext uri="{FF2B5EF4-FFF2-40B4-BE49-F238E27FC236}">
              <a16:creationId xmlns:a16="http://schemas.microsoft.com/office/drawing/2014/main" id="{00000000-0008-0000-0000-00000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08" name="Picture 11" hidden="1">
          <a:extLst>
            <a:ext uri="{FF2B5EF4-FFF2-40B4-BE49-F238E27FC236}">
              <a16:creationId xmlns:a16="http://schemas.microsoft.com/office/drawing/2014/main" id="{00000000-0008-0000-0000-00000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4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0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4110" name="Picture 11" hidden="1">
          <a:extLst>
            <a:ext uri="{FF2B5EF4-FFF2-40B4-BE49-F238E27FC236}">
              <a16:creationId xmlns:a16="http://schemas.microsoft.com/office/drawing/2014/main" id="{00000000-0008-0000-0000-00000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12" name="Picture 11" hidden="1">
          <a:extLst>
            <a:ext uri="{FF2B5EF4-FFF2-40B4-BE49-F238E27FC236}">
              <a16:creationId xmlns:a16="http://schemas.microsoft.com/office/drawing/2014/main" id="{00000000-0008-0000-0000-00001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14" name="Picture 11" hidden="1">
          <a:extLst>
            <a:ext uri="{FF2B5EF4-FFF2-40B4-BE49-F238E27FC236}">
              <a16:creationId xmlns:a16="http://schemas.microsoft.com/office/drawing/2014/main" id="{00000000-0008-0000-0000-00001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16" name="Picture 11" hidden="1">
          <a:extLst>
            <a:ext uri="{FF2B5EF4-FFF2-40B4-BE49-F238E27FC236}">
              <a16:creationId xmlns:a16="http://schemas.microsoft.com/office/drawing/2014/main" id="{00000000-0008-0000-0000-00001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18" name="Picture 4117" hidden="1">
          <a:extLst>
            <a:ext uri="{FF2B5EF4-FFF2-40B4-BE49-F238E27FC236}">
              <a16:creationId xmlns:a16="http://schemas.microsoft.com/office/drawing/2014/main" id="{00000000-0008-0000-0000-00001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20" name="Picture 11" hidden="1">
          <a:extLst>
            <a:ext uri="{FF2B5EF4-FFF2-40B4-BE49-F238E27FC236}">
              <a16:creationId xmlns:a16="http://schemas.microsoft.com/office/drawing/2014/main" id="{00000000-0008-0000-0000-00001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22" name="Picture 11" hidden="1">
          <a:extLst>
            <a:ext uri="{FF2B5EF4-FFF2-40B4-BE49-F238E27FC236}">
              <a16:creationId xmlns:a16="http://schemas.microsoft.com/office/drawing/2014/main" id="{00000000-0008-0000-0000-00001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24" name="Picture 11" hidden="1">
          <a:extLst>
            <a:ext uri="{FF2B5EF4-FFF2-40B4-BE49-F238E27FC236}">
              <a16:creationId xmlns:a16="http://schemas.microsoft.com/office/drawing/2014/main" id="{00000000-0008-0000-0000-00001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26" name="Picture 11" hidden="1">
          <a:extLst>
            <a:ext uri="{FF2B5EF4-FFF2-40B4-BE49-F238E27FC236}">
              <a16:creationId xmlns:a16="http://schemas.microsoft.com/office/drawing/2014/main" id="{00000000-0008-0000-0000-00001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28" name="Picture 11" hidden="1">
          <a:extLst>
            <a:ext uri="{FF2B5EF4-FFF2-40B4-BE49-F238E27FC236}">
              <a16:creationId xmlns:a16="http://schemas.microsoft.com/office/drawing/2014/main" id="{00000000-0008-0000-0000-00002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30" name="Picture 11" hidden="1">
          <a:extLst>
            <a:ext uri="{FF2B5EF4-FFF2-40B4-BE49-F238E27FC236}">
              <a16:creationId xmlns:a16="http://schemas.microsoft.com/office/drawing/2014/main" id="{00000000-0008-0000-0000-00002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32" name="Picture 11" hidden="1">
          <a:extLst>
            <a:ext uri="{FF2B5EF4-FFF2-40B4-BE49-F238E27FC236}">
              <a16:creationId xmlns:a16="http://schemas.microsoft.com/office/drawing/2014/main" id="{00000000-0008-0000-0000-00002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34" name="Picture 11" hidden="1">
          <a:extLst>
            <a:ext uri="{FF2B5EF4-FFF2-40B4-BE49-F238E27FC236}">
              <a16:creationId xmlns:a16="http://schemas.microsoft.com/office/drawing/2014/main" id="{00000000-0008-0000-0000-00002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36" name="Picture 11" hidden="1">
          <a:extLst>
            <a:ext uri="{FF2B5EF4-FFF2-40B4-BE49-F238E27FC236}">
              <a16:creationId xmlns:a16="http://schemas.microsoft.com/office/drawing/2014/main" id="{00000000-0008-0000-0000-00002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38" name="Picture 11" hidden="1">
          <a:extLst>
            <a:ext uri="{FF2B5EF4-FFF2-40B4-BE49-F238E27FC236}">
              <a16:creationId xmlns:a16="http://schemas.microsoft.com/office/drawing/2014/main" id="{00000000-0008-0000-0000-00002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40" name="Picture 11" hidden="1">
          <a:extLst>
            <a:ext uri="{FF2B5EF4-FFF2-40B4-BE49-F238E27FC236}">
              <a16:creationId xmlns:a16="http://schemas.microsoft.com/office/drawing/2014/main" id="{00000000-0008-0000-0000-00002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42" name="Picture 11" hidden="1">
          <a:extLst>
            <a:ext uri="{FF2B5EF4-FFF2-40B4-BE49-F238E27FC236}">
              <a16:creationId xmlns:a16="http://schemas.microsoft.com/office/drawing/2014/main" id="{00000000-0008-0000-0000-00002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44" name="Picture 11" hidden="1">
          <a:extLst>
            <a:ext uri="{FF2B5EF4-FFF2-40B4-BE49-F238E27FC236}">
              <a16:creationId xmlns:a16="http://schemas.microsoft.com/office/drawing/2014/main" id="{00000000-0008-0000-0000-00003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46" name="Picture 11" hidden="1">
          <a:extLst>
            <a:ext uri="{FF2B5EF4-FFF2-40B4-BE49-F238E27FC236}">
              <a16:creationId xmlns:a16="http://schemas.microsoft.com/office/drawing/2014/main" id="{00000000-0008-0000-0000-00003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48" name="Picture 11" hidden="1">
          <a:extLst>
            <a:ext uri="{FF2B5EF4-FFF2-40B4-BE49-F238E27FC236}">
              <a16:creationId xmlns:a16="http://schemas.microsoft.com/office/drawing/2014/main" id="{00000000-0008-0000-0000-00003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50" name="Picture 11" hidden="1">
          <a:extLst>
            <a:ext uri="{FF2B5EF4-FFF2-40B4-BE49-F238E27FC236}">
              <a16:creationId xmlns:a16="http://schemas.microsoft.com/office/drawing/2014/main" id="{00000000-0008-0000-0000-00003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52" name="Picture 11" hidden="1">
          <a:extLst>
            <a:ext uri="{FF2B5EF4-FFF2-40B4-BE49-F238E27FC236}">
              <a16:creationId xmlns:a16="http://schemas.microsoft.com/office/drawing/2014/main" id="{00000000-0008-0000-0000-00003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54" name="Picture 11" hidden="1">
          <a:extLst>
            <a:ext uri="{FF2B5EF4-FFF2-40B4-BE49-F238E27FC236}">
              <a16:creationId xmlns:a16="http://schemas.microsoft.com/office/drawing/2014/main" id="{00000000-0008-0000-0000-00003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56" name="Picture 11" hidden="1">
          <a:extLst>
            <a:ext uri="{FF2B5EF4-FFF2-40B4-BE49-F238E27FC236}">
              <a16:creationId xmlns:a16="http://schemas.microsoft.com/office/drawing/2014/main" id="{00000000-0008-0000-0000-00003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58" name="Picture 11" hidden="1">
          <a:extLst>
            <a:ext uri="{FF2B5EF4-FFF2-40B4-BE49-F238E27FC236}">
              <a16:creationId xmlns:a16="http://schemas.microsoft.com/office/drawing/2014/main" id="{00000000-0008-0000-0000-00003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60" name="Picture 11" hidden="1">
          <a:extLst>
            <a:ext uri="{FF2B5EF4-FFF2-40B4-BE49-F238E27FC236}">
              <a16:creationId xmlns:a16="http://schemas.microsoft.com/office/drawing/2014/main" id="{00000000-0008-0000-0000-00004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62" name="Picture 11" hidden="1">
          <a:extLst>
            <a:ext uri="{FF2B5EF4-FFF2-40B4-BE49-F238E27FC236}">
              <a16:creationId xmlns:a16="http://schemas.microsoft.com/office/drawing/2014/main" id="{00000000-0008-0000-0000-00004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64" name="Picture 11" hidden="1">
          <a:extLst>
            <a:ext uri="{FF2B5EF4-FFF2-40B4-BE49-F238E27FC236}">
              <a16:creationId xmlns:a16="http://schemas.microsoft.com/office/drawing/2014/main" id="{00000000-0008-0000-0000-00004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66" name="Picture 11" hidden="1">
          <a:extLst>
            <a:ext uri="{FF2B5EF4-FFF2-40B4-BE49-F238E27FC236}">
              <a16:creationId xmlns:a16="http://schemas.microsoft.com/office/drawing/2014/main" id="{00000000-0008-0000-0000-00004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68" name="Picture 11" hidden="1">
          <a:extLst>
            <a:ext uri="{FF2B5EF4-FFF2-40B4-BE49-F238E27FC236}">
              <a16:creationId xmlns:a16="http://schemas.microsoft.com/office/drawing/2014/main" id="{00000000-0008-0000-0000-00004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70" name="Picture 11" hidden="1">
          <a:extLst>
            <a:ext uri="{FF2B5EF4-FFF2-40B4-BE49-F238E27FC236}">
              <a16:creationId xmlns:a16="http://schemas.microsoft.com/office/drawing/2014/main" id="{00000000-0008-0000-0000-00004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72" name="Picture 11" hidden="1">
          <a:extLst>
            <a:ext uri="{FF2B5EF4-FFF2-40B4-BE49-F238E27FC236}">
              <a16:creationId xmlns:a16="http://schemas.microsoft.com/office/drawing/2014/main" id="{00000000-0008-0000-0000-00004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74" name="Picture 11" hidden="1">
          <a:extLst>
            <a:ext uri="{FF2B5EF4-FFF2-40B4-BE49-F238E27FC236}">
              <a16:creationId xmlns:a16="http://schemas.microsoft.com/office/drawing/2014/main" id="{00000000-0008-0000-0000-00004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76" name="Picture 11" hidden="1">
          <a:extLst>
            <a:ext uri="{FF2B5EF4-FFF2-40B4-BE49-F238E27FC236}">
              <a16:creationId xmlns:a16="http://schemas.microsoft.com/office/drawing/2014/main" id="{00000000-0008-0000-0000-00005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78" name="Picture 11" hidden="1">
          <a:extLst>
            <a:ext uri="{FF2B5EF4-FFF2-40B4-BE49-F238E27FC236}">
              <a16:creationId xmlns:a16="http://schemas.microsoft.com/office/drawing/2014/main" id="{00000000-0008-0000-0000-00005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80" name="Picture 11" hidden="1">
          <a:extLst>
            <a:ext uri="{FF2B5EF4-FFF2-40B4-BE49-F238E27FC236}">
              <a16:creationId xmlns:a16="http://schemas.microsoft.com/office/drawing/2014/main" id="{00000000-0008-0000-0000-00005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82" name="Picture 11" hidden="1">
          <a:extLst>
            <a:ext uri="{FF2B5EF4-FFF2-40B4-BE49-F238E27FC236}">
              <a16:creationId xmlns:a16="http://schemas.microsoft.com/office/drawing/2014/main" id="{00000000-0008-0000-0000-00005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84" name="Picture 11" hidden="1">
          <a:extLst>
            <a:ext uri="{FF2B5EF4-FFF2-40B4-BE49-F238E27FC236}">
              <a16:creationId xmlns:a16="http://schemas.microsoft.com/office/drawing/2014/main" id="{00000000-0008-0000-0000-00005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86" name="Picture 11" hidden="1">
          <a:extLst>
            <a:ext uri="{FF2B5EF4-FFF2-40B4-BE49-F238E27FC236}">
              <a16:creationId xmlns:a16="http://schemas.microsoft.com/office/drawing/2014/main" id="{00000000-0008-0000-0000-00005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88" name="Picture 11" hidden="1">
          <a:extLst>
            <a:ext uri="{FF2B5EF4-FFF2-40B4-BE49-F238E27FC236}">
              <a16:creationId xmlns:a16="http://schemas.microsoft.com/office/drawing/2014/main" id="{00000000-0008-0000-0000-00005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90" name="Picture 11" hidden="1">
          <a:extLst>
            <a:ext uri="{FF2B5EF4-FFF2-40B4-BE49-F238E27FC236}">
              <a16:creationId xmlns:a16="http://schemas.microsoft.com/office/drawing/2014/main" id="{00000000-0008-0000-0000-00005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92" name="Picture 11" hidden="1">
          <a:extLst>
            <a:ext uri="{FF2B5EF4-FFF2-40B4-BE49-F238E27FC236}">
              <a16:creationId xmlns:a16="http://schemas.microsoft.com/office/drawing/2014/main" id="{00000000-0008-0000-0000-00006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94" name="Picture 11" hidden="1">
          <a:extLst>
            <a:ext uri="{FF2B5EF4-FFF2-40B4-BE49-F238E27FC236}">
              <a16:creationId xmlns:a16="http://schemas.microsoft.com/office/drawing/2014/main" id="{00000000-0008-0000-0000-00006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96" name="Picture 11" hidden="1">
          <a:extLst>
            <a:ext uri="{FF2B5EF4-FFF2-40B4-BE49-F238E27FC236}">
              <a16:creationId xmlns:a16="http://schemas.microsoft.com/office/drawing/2014/main" id="{00000000-0008-0000-0000-00006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98" name="Picture 11" hidden="1">
          <a:extLst>
            <a:ext uri="{FF2B5EF4-FFF2-40B4-BE49-F238E27FC236}">
              <a16:creationId xmlns:a16="http://schemas.microsoft.com/office/drawing/2014/main" id="{00000000-0008-0000-0000-00006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00" name="Picture 11" hidden="1">
          <a:extLst>
            <a:ext uri="{FF2B5EF4-FFF2-40B4-BE49-F238E27FC236}">
              <a16:creationId xmlns:a16="http://schemas.microsoft.com/office/drawing/2014/main" id="{00000000-0008-0000-0000-00006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02" name="Picture 11" hidden="1">
          <a:extLst>
            <a:ext uri="{FF2B5EF4-FFF2-40B4-BE49-F238E27FC236}">
              <a16:creationId xmlns:a16="http://schemas.microsoft.com/office/drawing/2014/main" id="{00000000-0008-0000-0000-00006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04" name="Picture 11" hidden="1">
          <a:extLst>
            <a:ext uri="{FF2B5EF4-FFF2-40B4-BE49-F238E27FC236}">
              <a16:creationId xmlns:a16="http://schemas.microsoft.com/office/drawing/2014/main" id="{00000000-0008-0000-0000-00006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06" name="Picture 11" hidden="1">
          <a:extLst>
            <a:ext uri="{FF2B5EF4-FFF2-40B4-BE49-F238E27FC236}">
              <a16:creationId xmlns:a16="http://schemas.microsoft.com/office/drawing/2014/main" id="{00000000-0008-0000-0000-00006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08" name="Picture 11" hidden="1">
          <a:extLst>
            <a:ext uri="{FF2B5EF4-FFF2-40B4-BE49-F238E27FC236}">
              <a16:creationId xmlns:a16="http://schemas.microsoft.com/office/drawing/2014/main" id="{00000000-0008-0000-0000-00007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10" name="Picture 11" hidden="1">
          <a:extLst>
            <a:ext uri="{FF2B5EF4-FFF2-40B4-BE49-F238E27FC236}">
              <a16:creationId xmlns:a16="http://schemas.microsoft.com/office/drawing/2014/main" id="{00000000-0008-0000-0000-00007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12" name="Picture 11" hidden="1">
          <a:extLst>
            <a:ext uri="{FF2B5EF4-FFF2-40B4-BE49-F238E27FC236}">
              <a16:creationId xmlns:a16="http://schemas.microsoft.com/office/drawing/2014/main" id="{00000000-0008-0000-0000-00007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14" name="Picture 11" hidden="1">
          <a:extLst>
            <a:ext uri="{FF2B5EF4-FFF2-40B4-BE49-F238E27FC236}">
              <a16:creationId xmlns:a16="http://schemas.microsoft.com/office/drawing/2014/main" id="{00000000-0008-0000-0000-00007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16" name="Picture 11" hidden="1">
          <a:extLst>
            <a:ext uri="{FF2B5EF4-FFF2-40B4-BE49-F238E27FC236}">
              <a16:creationId xmlns:a16="http://schemas.microsoft.com/office/drawing/2014/main" id="{00000000-0008-0000-0000-00007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18" name="Picture 11" hidden="1">
          <a:extLst>
            <a:ext uri="{FF2B5EF4-FFF2-40B4-BE49-F238E27FC236}">
              <a16:creationId xmlns:a16="http://schemas.microsoft.com/office/drawing/2014/main" id="{00000000-0008-0000-0000-00007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20" name="Picture 11" hidden="1">
          <a:extLst>
            <a:ext uri="{FF2B5EF4-FFF2-40B4-BE49-F238E27FC236}">
              <a16:creationId xmlns:a16="http://schemas.microsoft.com/office/drawing/2014/main" id="{00000000-0008-0000-0000-00007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22" name="Picture 11" hidden="1">
          <a:extLst>
            <a:ext uri="{FF2B5EF4-FFF2-40B4-BE49-F238E27FC236}">
              <a16:creationId xmlns:a16="http://schemas.microsoft.com/office/drawing/2014/main" id="{00000000-0008-0000-0000-00007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24" name="Picture 11" hidden="1">
          <a:extLst>
            <a:ext uri="{FF2B5EF4-FFF2-40B4-BE49-F238E27FC236}">
              <a16:creationId xmlns:a16="http://schemas.microsoft.com/office/drawing/2014/main" id="{00000000-0008-0000-0000-00008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26" name="Picture 4225" hidden="1">
          <a:extLst>
            <a:ext uri="{FF2B5EF4-FFF2-40B4-BE49-F238E27FC236}">
              <a16:creationId xmlns:a16="http://schemas.microsoft.com/office/drawing/2014/main" id="{00000000-0008-0000-0000-00008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28" name="Picture 11" hidden="1">
          <a:extLst>
            <a:ext uri="{FF2B5EF4-FFF2-40B4-BE49-F238E27FC236}">
              <a16:creationId xmlns:a16="http://schemas.microsoft.com/office/drawing/2014/main" id="{00000000-0008-0000-0000-00008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30" name="Picture 11" hidden="1">
          <a:extLst>
            <a:ext uri="{FF2B5EF4-FFF2-40B4-BE49-F238E27FC236}">
              <a16:creationId xmlns:a16="http://schemas.microsoft.com/office/drawing/2014/main" id="{00000000-0008-0000-0000-00008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32" name="Picture 11" hidden="1">
          <a:extLst>
            <a:ext uri="{FF2B5EF4-FFF2-40B4-BE49-F238E27FC236}">
              <a16:creationId xmlns:a16="http://schemas.microsoft.com/office/drawing/2014/main" id="{00000000-0008-0000-0000-00008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34" name="Picture 11" hidden="1">
          <a:extLst>
            <a:ext uri="{FF2B5EF4-FFF2-40B4-BE49-F238E27FC236}">
              <a16:creationId xmlns:a16="http://schemas.microsoft.com/office/drawing/2014/main" id="{00000000-0008-0000-0000-00008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36" name="Picture 11" hidden="1">
          <a:extLst>
            <a:ext uri="{FF2B5EF4-FFF2-40B4-BE49-F238E27FC236}">
              <a16:creationId xmlns:a16="http://schemas.microsoft.com/office/drawing/2014/main" id="{00000000-0008-0000-0000-00008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38" name="Picture 11" hidden="1">
          <a:extLst>
            <a:ext uri="{FF2B5EF4-FFF2-40B4-BE49-F238E27FC236}">
              <a16:creationId xmlns:a16="http://schemas.microsoft.com/office/drawing/2014/main" id="{00000000-0008-0000-0000-00008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40" name="Picture 11" hidden="1">
          <a:extLst>
            <a:ext uri="{FF2B5EF4-FFF2-40B4-BE49-F238E27FC236}">
              <a16:creationId xmlns:a16="http://schemas.microsoft.com/office/drawing/2014/main" id="{00000000-0008-0000-0000-00009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42" name="Picture 11" hidden="1">
          <a:extLst>
            <a:ext uri="{FF2B5EF4-FFF2-40B4-BE49-F238E27FC236}">
              <a16:creationId xmlns:a16="http://schemas.microsoft.com/office/drawing/2014/main" id="{00000000-0008-0000-0000-00009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44" name="Picture 11" hidden="1">
          <a:extLst>
            <a:ext uri="{FF2B5EF4-FFF2-40B4-BE49-F238E27FC236}">
              <a16:creationId xmlns:a16="http://schemas.microsoft.com/office/drawing/2014/main" id="{00000000-0008-0000-0000-00009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46" name="Picture 11" hidden="1">
          <a:extLst>
            <a:ext uri="{FF2B5EF4-FFF2-40B4-BE49-F238E27FC236}">
              <a16:creationId xmlns:a16="http://schemas.microsoft.com/office/drawing/2014/main" id="{00000000-0008-0000-0000-00009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48" name="Picture 11" hidden="1">
          <a:extLst>
            <a:ext uri="{FF2B5EF4-FFF2-40B4-BE49-F238E27FC236}">
              <a16:creationId xmlns:a16="http://schemas.microsoft.com/office/drawing/2014/main" id="{00000000-0008-0000-0000-00009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50" name="Picture 11" hidden="1">
          <a:extLst>
            <a:ext uri="{FF2B5EF4-FFF2-40B4-BE49-F238E27FC236}">
              <a16:creationId xmlns:a16="http://schemas.microsoft.com/office/drawing/2014/main" id="{00000000-0008-0000-0000-00009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52" name="Picture 11" hidden="1">
          <a:extLst>
            <a:ext uri="{FF2B5EF4-FFF2-40B4-BE49-F238E27FC236}">
              <a16:creationId xmlns:a16="http://schemas.microsoft.com/office/drawing/2014/main" id="{00000000-0008-0000-0000-00009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54" name="Picture 11" hidden="1">
          <a:extLst>
            <a:ext uri="{FF2B5EF4-FFF2-40B4-BE49-F238E27FC236}">
              <a16:creationId xmlns:a16="http://schemas.microsoft.com/office/drawing/2014/main" id="{00000000-0008-0000-0000-00009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56" name="Picture 11" hidden="1">
          <a:extLst>
            <a:ext uri="{FF2B5EF4-FFF2-40B4-BE49-F238E27FC236}">
              <a16:creationId xmlns:a16="http://schemas.microsoft.com/office/drawing/2014/main" id="{00000000-0008-0000-0000-0000A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58" name="Picture 11" hidden="1">
          <a:extLst>
            <a:ext uri="{FF2B5EF4-FFF2-40B4-BE49-F238E27FC236}">
              <a16:creationId xmlns:a16="http://schemas.microsoft.com/office/drawing/2014/main" id="{00000000-0008-0000-0000-0000A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60" name="Picture 11" hidden="1">
          <a:extLst>
            <a:ext uri="{FF2B5EF4-FFF2-40B4-BE49-F238E27FC236}">
              <a16:creationId xmlns:a16="http://schemas.microsoft.com/office/drawing/2014/main" id="{00000000-0008-0000-0000-0000A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62" name="Picture 11" hidden="1">
          <a:extLst>
            <a:ext uri="{FF2B5EF4-FFF2-40B4-BE49-F238E27FC236}">
              <a16:creationId xmlns:a16="http://schemas.microsoft.com/office/drawing/2014/main" id="{00000000-0008-0000-0000-0000A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64" name="Picture 11" hidden="1">
          <a:extLst>
            <a:ext uri="{FF2B5EF4-FFF2-40B4-BE49-F238E27FC236}">
              <a16:creationId xmlns:a16="http://schemas.microsoft.com/office/drawing/2014/main" id="{00000000-0008-0000-0000-0000A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66" name="Picture 11" hidden="1">
          <a:extLst>
            <a:ext uri="{FF2B5EF4-FFF2-40B4-BE49-F238E27FC236}">
              <a16:creationId xmlns:a16="http://schemas.microsoft.com/office/drawing/2014/main" id="{00000000-0008-0000-0000-0000A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68" name="Picture 11" hidden="1">
          <a:extLst>
            <a:ext uri="{FF2B5EF4-FFF2-40B4-BE49-F238E27FC236}">
              <a16:creationId xmlns:a16="http://schemas.microsoft.com/office/drawing/2014/main" id="{00000000-0008-0000-0000-0000A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70" name="Picture 11" hidden="1">
          <a:extLst>
            <a:ext uri="{FF2B5EF4-FFF2-40B4-BE49-F238E27FC236}">
              <a16:creationId xmlns:a16="http://schemas.microsoft.com/office/drawing/2014/main" id="{00000000-0008-0000-0000-0000A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72" name="Picture 11" hidden="1">
          <a:extLst>
            <a:ext uri="{FF2B5EF4-FFF2-40B4-BE49-F238E27FC236}">
              <a16:creationId xmlns:a16="http://schemas.microsoft.com/office/drawing/2014/main" id="{00000000-0008-0000-0000-0000B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74" name="Picture 11" hidden="1">
          <a:extLst>
            <a:ext uri="{FF2B5EF4-FFF2-40B4-BE49-F238E27FC236}">
              <a16:creationId xmlns:a16="http://schemas.microsoft.com/office/drawing/2014/main" id="{00000000-0008-0000-0000-0000B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76" name="Picture 11" hidden="1">
          <a:extLst>
            <a:ext uri="{FF2B5EF4-FFF2-40B4-BE49-F238E27FC236}">
              <a16:creationId xmlns:a16="http://schemas.microsoft.com/office/drawing/2014/main" id="{00000000-0008-0000-0000-0000B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78" name="Picture 11" hidden="1">
          <a:extLst>
            <a:ext uri="{FF2B5EF4-FFF2-40B4-BE49-F238E27FC236}">
              <a16:creationId xmlns:a16="http://schemas.microsoft.com/office/drawing/2014/main" id="{00000000-0008-0000-0000-0000B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80" name="Picture 11" hidden="1">
          <a:extLst>
            <a:ext uri="{FF2B5EF4-FFF2-40B4-BE49-F238E27FC236}">
              <a16:creationId xmlns:a16="http://schemas.microsoft.com/office/drawing/2014/main" id="{00000000-0008-0000-0000-0000B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82" name="Picture 11" hidden="1">
          <a:extLst>
            <a:ext uri="{FF2B5EF4-FFF2-40B4-BE49-F238E27FC236}">
              <a16:creationId xmlns:a16="http://schemas.microsoft.com/office/drawing/2014/main" id="{00000000-0008-0000-0000-0000B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84" name="Picture 11" hidden="1">
          <a:extLst>
            <a:ext uri="{FF2B5EF4-FFF2-40B4-BE49-F238E27FC236}">
              <a16:creationId xmlns:a16="http://schemas.microsoft.com/office/drawing/2014/main" id="{00000000-0008-0000-0000-0000B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86" name="Picture 11" hidden="1">
          <a:extLst>
            <a:ext uri="{FF2B5EF4-FFF2-40B4-BE49-F238E27FC236}">
              <a16:creationId xmlns:a16="http://schemas.microsoft.com/office/drawing/2014/main" id="{00000000-0008-0000-0000-0000B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88" name="Picture 11" hidden="1">
          <a:extLst>
            <a:ext uri="{FF2B5EF4-FFF2-40B4-BE49-F238E27FC236}">
              <a16:creationId xmlns:a16="http://schemas.microsoft.com/office/drawing/2014/main" id="{00000000-0008-0000-0000-0000C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90" name="Picture 11" hidden="1">
          <a:extLst>
            <a:ext uri="{FF2B5EF4-FFF2-40B4-BE49-F238E27FC236}">
              <a16:creationId xmlns:a16="http://schemas.microsoft.com/office/drawing/2014/main" id="{00000000-0008-0000-0000-0000C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92" name="Picture 11" hidden="1">
          <a:extLst>
            <a:ext uri="{FF2B5EF4-FFF2-40B4-BE49-F238E27FC236}">
              <a16:creationId xmlns:a16="http://schemas.microsoft.com/office/drawing/2014/main" id="{00000000-0008-0000-0000-0000C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94" name="Picture 11" hidden="1">
          <a:extLst>
            <a:ext uri="{FF2B5EF4-FFF2-40B4-BE49-F238E27FC236}">
              <a16:creationId xmlns:a16="http://schemas.microsoft.com/office/drawing/2014/main" id="{00000000-0008-0000-0000-0000C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96" name="Picture 11" hidden="1">
          <a:extLst>
            <a:ext uri="{FF2B5EF4-FFF2-40B4-BE49-F238E27FC236}">
              <a16:creationId xmlns:a16="http://schemas.microsoft.com/office/drawing/2014/main" id="{00000000-0008-0000-0000-0000C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98" name="Picture 11" hidden="1">
          <a:extLst>
            <a:ext uri="{FF2B5EF4-FFF2-40B4-BE49-F238E27FC236}">
              <a16:creationId xmlns:a16="http://schemas.microsoft.com/office/drawing/2014/main" id="{00000000-0008-0000-0000-0000C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00" name="Picture 11" hidden="1">
          <a:extLst>
            <a:ext uri="{FF2B5EF4-FFF2-40B4-BE49-F238E27FC236}">
              <a16:creationId xmlns:a16="http://schemas.microsoft.com/office/drawing/2014/main" id="{00000000-0008-0000-0000-0000C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02" name="Picture 11" hidden="1">
          <a:extLst>
            <a:ext uri="{FF2B5EF4-FFF2-40B4-BE49-F238E27FC236}">
              <a16:creationId xmlns:a16="http://schemas.microsoft.com/office/drawing/2014/main" id="{00000000-0008-0000-0000-0000C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04" name="Picture 11" hidden="1">
          <a:extLst>
            <a:ext uri="{FF2B5EF4-FFF2-40B4-BE49-F238E27FC236}">
              <a16:creationId xmlns:a16="http://schemas.microsoft.com/office/drawing/2014/main" id="{00000000-0008-0000-0000-0000D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06" name="Picture 11" hidden="1">
          <a:extLst>
            <a:ext uri="{FF2B5EF4-FFF2-40B4-BE49-F238E27FC236}">
              <a16:creationId xmlns:a16="http://schemas.microsoft.com/office/drawing/2014/main" id="{00000000-0008-0000-0000-0000D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08" name="Picture 11" hidden="1">
          <a:extLst>
            <a:ext uri="{FF2B5EF4-FFF2-40B4-BE49-F238E27FC236}">
              <a16:creationId xmlns:a16="http://schemas.microsoft.com/office/drawing/2014/main" id="{00000000-0008-0000-0000-0000D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10" name="Picture 11" hidden="1">
          <a:extLst>
            <a:ext uri="{FF2B5EF4-FFF2-40B4-BE49-F238E27FC236}">
              <a16:creationId xmlns:a16="http://schemas.microsoft.com/office/drawing/2014/main" id="{00000000-0008-0000-0000-0000D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12" name="Picture 11" hidden="1">
          <a:extLst>
            <a:ext uri="{FF2B5EF4-FFF2-40B4-BE49-F238E27FC236}">
              <a16:creationId xmlns:a16="http://schemas.microsoft.com/office/drawing/2014/main" id="{00000000-0008-0000-0000-0000D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14" name="Picture 11" hidden="1">
          <a:extLst>
            <a:ext uri="{FF2B5EF4-FFF2-40B4-BE49-F238E27FC236}">
              <a16:creationId xmlns:a16="http://schemas.microsoft.com/office/drawing/2014/main" id="{00000000-0008-0000-0000-0000D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16" name="Picture 11" hidden="1">
          <a:extLst>
            <a:ext uri="{FF2B5EF4-FFF2-40B4-BE49-F238E27FC236}">
              <a16:creationId xmlns:a16="http://schemas.microsoft.com/office/drawing/2014/main" id="{00000000-0008-0000-0000-0000D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18" name="Picture 11" hidden="1">
          <a:extLst>
            <a:ext uri="{FF2B5EF4-FFF2-40B4-BE49-F238E27FC236}">
              <a16:creationId xmlns:a16="http://schemas.microsoft.com/office/drawing/2014/main" id="{00000000-0008-0000-0000-0000D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20" name="Picture 11" hidden="1">
          <a:extLst>
            <a:ext uri="{FF2B5EF4-FFF2-40B4-BE49-F238E27FC236}">
              <a16:creationId xmlns:a16="http://schemas.microsoft.com/office/drawing/2014/main" id="{00000000-0008-0000-0000-0000E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22" name="Picture 11" hidden="1">
          <a:extLst>
            <a:ext uri="{FF2B5EF4-FFF2-40B4-BE49-F238E27FC236}">
              <a16:creationId xmlns:a16="http://schemas.microsoft.com/office/drawing/2014/main" id="{00000000-0008-0000-0000-0000E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24" name="Picture 11" hidden="1">
          <a:extLst>
            <a:ext uri="{FF2B5EF4-FFF2-40B4-BE49-F238E27FC236}">
              <a16:creationId xmlns:a16="http://schemas.microsoft.com/office/drawing/2014/main" id="{00000000-0008-0000-0000-0000E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26" name="Picture 11" hidden="1">
          <a:extLst>
            <a:ext uri="{FF2B5EF4-FFF2-40B4-BE49-F238E27FC236}">
              <a16:creationId xmlns:a16="http://schemas.microsoft.com/office/drawing/2014/main" id="{00000000-0008-0000-0000-0000E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28" name="Picture 11" hidden="1">
          <a:extLst>
            <a:ext uri="{FF2B5EF4-FFF2-40B4-BE49-F238E27FC236}">
              <a16:creationId xmlns:a16="http://schemas.microsoft.com/office/drawing/2014/main" id="{00000000-0008-0000-0000-0000E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30" name="Picture 11" hidden="1">
          <a:extLst>
            <a:ext uri="{FF2B5EF4-FFF2-40B4-BE49-F238E27FC236}">
              <a16:creationId xmlns:a16="http://schemas.microsoft.com/office/drawing/2014/main" id="{00000000-0008-0000-0000-0000E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32" name="Picture 11" hidden="1">
          <a:extLst>
            <a:ext uri="{FF2B5EF4-FFF2-40B4-BE49-F238E27FC236}">
              <a16:creationId xmlns:a16="http://schemas.microsoft.com/office/drawing/2014/main" id="{00000000-0008-0000-0000-0000E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34" name="Picture 4333" hidden="1">
          <a:extLst>
            <a:ext uri="{FF2B5EF4-FFF2-40B4-BE49-F238E27FC236}">
              <a16:creationId xmlns:a16="http://schemas.microsoft.com/office/drawing/2014/main" id="{00000000-0008-0000-0000-0000E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36" name="Picture 11" hidden="1">
          <a:extLst>
            <a:ext uri="{FF2B5EF4-FFF2-40B4-BE49-F238E27FC236}">
              <a16:creationId xmlns:a16="http://schemas.microsoft.com/office/drawing/2014/main" id="{00000000-0008-0000-0000-0000F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38" name="Picture 11" hidden="1">
          <a:extLst>
            <a:ext uri="{FF2B5EF4-FFF2-40B4-BE49-F238E27FC236}">
              <a16:creationId xmlns:a16="http://schemas.microsoft.com/office/drawing/2014/main" id="{00000000-0008-0000-0000-0000F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40" name="Picture 11" hidden="1">
          <a:extLst>
            <a:ext uri="{FF2B5EF4-FFF2-40B4-BE49-F238E27FC236}">
              <a16:creationId xmlns:a16="http://schemas.microsoft.com/office/drawing/2014/main" id="{00000000-0008-0000-0000-0000F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42" name="Picture 11" hidden="1">
          <a:extLst>
            <a:ext uri="{FF2B5EF4-FFF2-40B4-BE49-F238E27FC236}">
              <a16:creationId xmlns:a16="http://schemas.microsoft.com/office/drawing/2014/main" id="{00000000-0008-0000-0000-0000F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44" name="Picture 11" hidden="1">
          <a:extLst>
            <a:ext uri="{FF2B5EF4-FFF2-40B4-BE49-F238E27FC236}">
              <a16:creationId xmlns:a16="http://schemas.microsoft.com/office/drawing/2014/main" id="{00000000-0008-0000-0000-0000F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46" name="Picture 11" hidden="1">
          <a:extLst>
            <a:ext uri="{FF2B5EF4-FFF2-40B4-BE49-F238E27FC236}">
              <a16:creationId xmlns:a16="http://schemas.microsoft.com/office/drawing/2014/main" id="{00000000-0008-0000-0000-0000F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48" name="Picture 11" hidden="1">
          <a:extLst>
            <a:ext uri="{FF2B5EF4-FFF2-40B4-BE49-F238E27FC236}">
              <a16:creationId xmlns:a16="http://schemas.microsoft.com/office/drawing/2014/main" id="{00000000-0008-0000-0000-0000F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50" name="Picture 11" hidden="1">
          <a:extLst>
            <a:ext uri="{FF2B5EF4-FFF2-40B4-BE49-F238E27FC236}">
              <a16:creationId xmlns:a16="http://schemas.microsoft.com/office/drawing/2014/main" id="{00000000-0008-0000-0000-0000F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52" name="Picture 11" hidden="1">
          <a:extLst>
            <a:ext uri="{FF2B5EF4-FFF2-40B4-BE49-F238E27FC236}">
              <a16:creationId xmlns:a16="http://schemas.microsoft.com/office/drawing/2014/main" id="{00000000-0008-0000-0000-00000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54" name="Picture 11" hidden="1">
          <a:extLst>
            <a:ext uri="{FF2B5EF4-FFF2-40B4-BE49-F238E27FC236}">
              <a16:creationId xmlns:a16="http://schemas.microsoft.com/office/drawing/2014/main" id="{00000000-0008-0000-0000-00000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56" name="Picture 11" hidden="1">
          <a:extLst>
            <a:ext uri="{FF2B5EF4-FFF2-40B4-BE49-F238E27FC236}">
              <a16:creationId xmlns:a16="http://schemas.microsoft.com/office/drawing/2014/main" id="{00000000-0008-0000-0000-00000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58" name="Picture 11" hidden="1">
          <a:extLst>
            <a:ext uri="{FF2B5EF4-FFF2-40B4-BE49-F238E27FC236}">
              <a16:creationId xmlns:a16="http://schemas.microsoft.com/office/drawing/2014/main" id="{00000000-0008-0000-0000-00000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60" name="Picture 11" hidden="1">
          <a:extLst>
            <a:ext uri="{FF2B5EF4-FFF2-40B4-BE49-F238E27FC236}">
              <a16:creationId xmlns:a16="http://schemas.microsoft.com/office/drawing/2014/main" id="{00000000-0008-0000-0000-00000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62" name="Picture 11" hidden="1">
          <a:extLst>
            <a:ext uri="{FF2B5EF4-FFF2-40B4-BE49-F238E27FC236}">
              <a16:creationId xmlns:a16="http://schemas.microsoft.com/office/drawing/2014/main" id="{00000000-0008-0000-0000-00000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64" name="Picture 11" hidden="1">
          <a:extLst>
            <a:ext uri="{FF2B5EF4-FFF2-40B4-BE49-F238E27FC236}">
              <a16:creationId xmlns:a16="http://schemas.microsoft.com/office/drawing/2014/main" id="{00000000-0008-0000-0000-00000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66" name="Picture 11" hidden="1">
          <a:extLst>
            <a:ext uri="{FF2B5EF4-FFF2-40B4-BE49-F238E27FC236}">
              <a16:creationId xmlns:a16="http://schemas.microsoft.com/office/drawing/2014/main" id="{00000000-0008-0000-0000-00000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68" name="Picture 11" hidden="1">
          <a:extLst>
            <a:ext uri="{FF2B5EF4-FFF2-40B4-BE49-F238E27FC236}">
              <a16:creationId xmlns:a16="http://schemas.microsoft.com/office/drawing/2014/main" id="{00000000-0008-0000-0000-00001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70" name="Picture 11" hidden="1">
          <a:extLst>
            <a:ext uri="{FF2B5EF4-FFF2-40B4-BE49-F238E27FC236}">
              <a16:creationId xmlns:a16="http://schemas.microsoft.com/office/drawing/2014/main" id="{00000000-0008-0000-0000-00001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72" name="Picture 11" hidden="1">
          <a:extLst>
            <a:ext uri="{FF2B5EF4-FFF2-40B4-BE49-F238E27FC236}">
              <a16:creationId xmlns:a16="http://schemas.microsoft.com/office/drawing/2014/main" id="{00000000-0008-0000-0000-00001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74" name="Picture 11" hidden="1">
          <a:extLst>
            <a:ext uri="{FF2B5EF4-FFF2-40B4-BE49-F238E27FC236}">
              <a16:creationId xmlns:a16="http://schemas.microsoft.com/office/drawing/2014/main" id="{00000000-0008-0000-0000-00001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76" name="Picture 11" hidden="1">
          <a:extLst>
            <a:ext uri="{FF2B5EF4-FFF2-40B4-BE49-F238E27FC236}">
              <a16:creationId xmlns:a16="http://schemas.microsoft.com/office/drawing/2014/main" id="{00000000-0008-0000-0000-00001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78" name="Picture 11" hidden="1">
          <a:extLst>
            <a:ext uri="{FF2B5EF4-FFF2-40B4-BE49-F238E27FC236}">
              <a16:creationId xmlns:a16="http://schemas.microsoft.com/office/drawing/2014/main" id="{00000000-0008-0000-0000-00001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80" name="Picture 11" hidden="1">
          <a:extLst>
            <a:ext uri="{FF2B5EF4-FFF2-40B4-BE49-F238E27FC236}">
              <a16:creationId xmlns:a16="http://schemas.microsoft.com/office/drawing/2014/main" id="{00000000-0008-0000-0000-00001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82" name="Picture 11" hidden="1">
          <a:extLst>
            <a:ext uri="{FF2B5EF4-FFF2-40B4-BE49-F238E27FC236}">
              <a16:creationId xmlns:a16="http://schemas.microsoft.com/office/drawing/2014/main" id="{00000000-0008-0000-0000-00001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84" name="Picture 11" hidden="1">
          <a:extLst>
            <a:ext uri="{FF2B5EF4-FFF2-40B4-BE49-F238E27FC236}">
              <a16:creationId xmlns:a16="http://schemas.microsoft.com/office/drawing/2014/main" id="{00000000-0008-0000-0000-00002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86" name="Picture 11" hidden="1">
          <a:extLst>
            <a:ext uri="{FF2B5EF4-FFF2-40B4-BE49-F238E27FC236}">
              <a16:creationId xmlns:a16="http://schemas.microsoft.com/office/drawing/2014/main" id="{00000000-0008-0000-0000-00002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88" name="Picture 11" hidden="1">
          <a:extLst>
            <a:ext uri="{FF2B5EF4-FFF2-40B4-BE49-F238E27FC236}">
              <a16:creationId xmlns:a16="http://schemas.microsoft.com/office/drawing/2014/main" id="{00000000-0008-0000-0000-00002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90" name="Picture 11" hidden="1">
          <a:extLst>
            <a:ext uri="{FF2B5EF4-FFF2-40B4-BE49-F238E27FC236}">
              <a16:creationId xmlns:a16="http://schemas.microsoft.com/office/drawing/2014/main" id="{00000000-0008-0000-0000-00002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92" name="Picture 11" hidden="1">
          <a:extLst>
            <a:ext uri="{FF2B5EF4-FFF2-40B4-BE49-F238E27FC236}">
              <a16:creationId xmlns:a16="http://schemas.microsoft.com/office/drawing/2014/main" id="{00000000-0008-0000-0000-00002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94" name="Picture 11" hidden="1">
          <a:extLst>
            <a:ext uri="{FF2B5EF4-FFF2-40B4-BE49-F238E27FC236}">
              <a16:creationId xmlns:a16="http://schemas.microsoft.com/office/drawing/2014/main" id="{00000000-0008-0000-0000-00002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96" name="Picture 11" hidden="1">
          <a:extLst>
            <a:ext uri="{FF2B5EF4-FFF2-40B4-BE49-F238E27FC236}">
              <a16:creationId xmlns:a16="http://schemas.microsoft.com/office/drawing/2014/main" id="{00000000-0008-0000-0000-00002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98" name="Picture 11" hidden="1">
          <a:extLst>
            <a:ext uri="{FF2B5EF4-FFF2-40B4-BE49-F238E27FC236}">
              <a16:creationId xmlns:a16="http://schemas.microsoft.com/office/drawing/2014/main" id="{00000000-0008-0000-0000-00002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00" name="Picture 11" hidden="1">
          <a:extLst>
            <a:ext uri="{FF2B5EF4-FFF2-40B4-BE49-F238E27FC236}">
              <a16:creationId xmlns:a16="http://schemas.microsoft.com/office/drawing/2014/main" id="{00000000-0008-0000-0000-00003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02" name="Picture 11" hidden="1">
          <a:extLst>
            <a:ext uri="{FF2B5EF4-FFF2-40B4-BE49-F238E27FC236}">
              <a16:creationId xmlns:a16="http://schemas.microsoft.com/office/drawing/2014/main" id="{00000000-0008-0000-0000-00003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04" name="Picture 11" hidden="1">
          <a:extLst>
            <a:ext uri="{FF2B5EF4-FFF2-40B4-BE49-F238E27FC236}">
              <a16:creationId xmlns:a16="http://schemas.microsoft.com/office/drawing/2014/main" id="{00000000-0008-0000-0000-00003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06" name="Picture 11" hidden="1">
          <a:extLst>
            <a:ext uri="{FF2B5EF4-FFF2-40B4-BE49-F238E27FC236}">
              <a16:creationId xmlns:a16="http://schemas.microsoft.com/office/drawing/2014/main" id="{00000000-0008-0000-0000-00003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08" name="Picture 11" hidden="1">
          <a:extLst>
            <a:ext uri="{FF2B5EF4-FFF2-40B4-BE49-F238E27FC236}">
              <a16:creationId xmlns:a16="http://schemas.microsoft.com/office/drawing/2014/main" id="{00000000-0008-0000-0000-00003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10" name="Picture 11" hidden="1">
          <a:extLst>
            <a:ext uri="{FF2B5EF4-FFF2-40B4-BE49-F238E27FC236}">
              <a16:creationId xmlns:a16="http://schemas.microsoft.com/office/drawing/2014/main" id="{00000000-0008-0000-0000-00003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12" name="Picture 11" hidden="1">
          <a:extLst>
            <a:ext uri="{FF2B5EF4-FFF2-40B4-BE49-F238E27FC236}">
              <a16:creationId xmlns:a16="http://schemas.microsoft.com/office/drawing/2014/main" id="{00000000-0008-0000-0000-00003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14" name="Picture 11" hidden="1">
          <a:extLst>
            <a:ext uri="{FF2B5EF4-FFF2-40B4-BE49-F238E27FC236}">
              <a16:creationId xmlns:a16="http://schemas.microsoft.com/office/drawing/2014/main" id="{00000000-0008-0000-0000-00003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16" name="Picture 11" hidden="1">
          <a:extLst>
            <a:ext uri="{FF2B5EF4-FFF2-40B4-BE49-F238E27FC236}">
              <a16:creationId xmlns:a16="http://schemas.microsoft.com/office/drawing/2014/main" id="{00000000-0008-0000-0000-00004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18" name="Picture 11" hidden="1">
          <a:extLst>
            <a:ext uri="{FF2B5EF4-FFF2-40B4-BE49-F238E27FC236}">
              <a16:creationId xmlns:a16="http://schemas.microsoft.com/office/drawing/2014/main" id="{00000000-0008-0000-0000-00004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20" name="Picture 11" hidden="1">
          <a:extLst>
            <a:ext uri="{FF2B5EF4-FFF2-40B4-BE49-F238E27FC236}">
              <a16:creationId xmlns:a16="http://schemas.microsoft.com/office/drawing/2014/main" id="{00000000-0008-0000-0000-00004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22" name="Picture 11" hidden="1">
          <a:extLst>
            <a:ext uri="{FF2B5EF4-FFF2-40B4-BE49-F238E27FC236}">
              <a16:creationId xmlns:a16="http://schemas.microsoft.com/office/drawing/2014/main" id="{00000000-0008-0000-0000-00004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24" name="Picture 11" hidden="1">
          <a:extLst>
            <a:ext uri="{FF2B5EF4-FFF2-40B4-BE49-F238E27FC236}">
              <a16:creationId xmlns:a16="http://schemas.microsoft.com/office/drawing/2014/main" id="{00000000-0008-0000-0000-00004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26" name="Picture 11" hidden="1">
          <a:extLst>
            <a:ext uri="{FF2B5EF4-FFF2-40B4-BE49-F238E27FC236}">
              <a16:creationId xmlns:a16="http://schemas.microsoft.com/office/drawing/2014/main" id="{00000000-0008-0000-0000-00004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28" name="Picture 11" hidden="1">
          <a:extLst>
            <a:ext uri="{FF2B5EF4-FFF2-40B4-BE49-F238E27FC236}">
              <a16:creationId xmlns:a16="http://schemas.microsoft.com/office/drawing/2014/main" id="{00000000-0008-0000-0000-00004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30" name="Picture 11" hidden="1">
          <a:extLst>
            <a:ext uri="{FF2B5EF4-FFF2-40B4-BE49-F238E27FC236}">
              <a16:creationId xmlns:a16="http://schemas.microsoft.com/office/drawing/2014/main" id="{00000000-0008-0000-0000-00004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32" name="Picture 11" hidden="1">
          <a:extLst>
            <a:ext uri="{FF2B5EF4-FFF2-40B4-BE49-F238E27FC236}">
              <a16:creationId xmlns:a16="http://schemas.microsoft.com/office/drawing/2014/main" id="{00000000-0008-0000-0000-00005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34" name="Picture 11" hidden="1">
          <a:extLst>
            <a:ext uri="{FF2B5EF4-FFF2-40B4-BE49-F238E27FC236}">
              <a16:creationId xmlns:a16="http://schemas.microsoft.com/office/drawing/2014/main" id="{00000000-0008-0000-0000-00005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36" name="Picture 11" hidden="1">
          <a:extLst>
            <a:ext uri="{FF2B5EF4-FFF2-40B4-BE49-F238E27FC236}">
              <a16:creationId xmlns:a16="http://schemas.microsoft.com/office/drawing/2014/main" id="{00000000-0008-0000-0000-00005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38" name="Picture 11" hidden="1">
          <a:extLst>
            <a:ext uri="{FF2B5EF4-FFF2-40B4-BE49-F238E27FC236}">
              <a16:creationId xmlns:a16="http://schemas.microsoft.com/office/drawing/2014/main" id="{00000000-0008-0000-0000-00005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40" name="Picture 11" hidden="1">
          <a:extLst>
            <a:ext uri="{FF2B5EF4-FFF2-40B4-BE49-F238E27FC236}">
              <a16:creationId xmlns:a16="http://schemas.microsoft.com/office/drawing/2014/main" id="{00000000-0008-0000-0000-00005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42" name="Picture 4441" hidden="1">
          <a:extLst>
            <a:ext uri="{FF2B5EF4-FFF2-40B4-BE49-F238E27FC236}">
              <a16:creationId xmlns:a16="http://schemas.microsoft.com/office/drawing/2014/main" id="{00000000-0008-0000-0000-00005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44" name="Picture 11" hidden="1">
          <a:extLst>
            <a:ext uri="{FF2B5EF4-FFF2-40B4-BE49-F238E27FC236}">
              <a16:creationId xmlns:a16="http://schemas.microsoft.com/office/drawing/2014/main" id="{00000000-0008-0000-0000-00005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46" name="Picture 11" hidden="1">
          <a:extLst>
            <a:ext uri="{FF2B5EF4-FFF2-40B4-BE49-F238E27FC236}">
              <a16:creationId xmlns:a16="http://schemas.microsoft.com/office/drawing/2014/main" id="{00000000-0008-0000-0000-00005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48" name="Picture 11" hidden="1">
          <a:extLst>
            <a:ext uri="{FF2B5EF4-FFF2-40B4-BE49-F238E27FC236}">
              <a16:creationId xmlns:a16="http://schemas.microsoft.com/office/drawing/2014/main" id="{00000000-0008-0000-0000-00006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50" name="Picture 11" hidden="1">
          <a:extLst>
            <a:ext uri="{FF2B5EF4-FFF2-40B4-BE49-F238E27FC236}">
              <a16:creationId xmlns:a16="http://schemas.microsoft.com/office/drawing/2014/main" id="{00000000-0008-0000-0000-00006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52" name="Picture 11" hidden="1">
          <a:extLst>
            <a:ext uri="{FF2B5EF4-FFF2-40B4-BE49-F238E27FC236}">
              <a16:creationId xmlns:a16="http://schemas.microsoft.com/office/drawing/2014/main" id="{00000000-0008-0000-0000-00006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54" name="Picture 11" hidden="1">
          <a:extLst>
            <a:ext uri="{FF2B5EF4-FFF2-40B4-BE49-F238E27FC236}">
              <a16:creationId xmlns:a16="http://schemas.microsoft.com/office/drawing/2014/main" id="{00000000-0008-0000-0000-00006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56" name="Picture 11" hidden="1">
          <a:extLst>
            <a:ext uri="{FF2B5EF4-FFF2-40B4-BE49-F238E27FC236}">
              <a16:creationId xmlns:a16="http://schemas.microsoft.com/office/drawing/2014/main" id="{00000000-0008-0000-0000-00006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58" name="Picture 11" hidden="1">
          <a:extLst>
            <a:ext uri="{FF2B5EF4-FFF2-40B4-BE49-F238E27FC236}">
              <a16:creationId xmlns:a16="http://schemas.microsoft.com/office/drawing/2014/main" id="{00000000-0008-0000-0000-00006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60" name="Picture 11" hidden="1">
          <a:extLst>
            <a:ext uri="{FF2B5EF4-FFF2-40B4-BE49-F238E27FC236}">
              <a16:creationId xmlns:a16="http://schemas.microsoft.com/office/drawing/2014/main" id="{00000000-0008-0000-0000-00006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62" name="Picture 11" hidden="1">
          <a:extLst>
            <a:ext uri="{FF2B5EF4-FFF2-40B4-BE49-F238E27FC236}">
              <a16:creationId xmlns:a16="http://schemas.microsoft.com/office/drawing/2014/main" id="{00000000-0008-0000-0000-00006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64" name="Picture 11" hidden="1">
          <a:extLst>
            <a:ext uri="{FF2B5EF4-FFF2-40B4-BE49-F238E27FC236}">
              <a16:creationId xmlns:a16="http://schemas.microsoft.com/office/drawing/2014/main" id="{00000000-0008-0000-0000-00007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66" name="Picture 11" hidden="1">
          <a:extLst>
            <a:ext uri="{FF2B5EF4-FFF2-40B4-BE49-F238E27FC236}">
              <a16:creationId xmlns:a16="http://schemas.microsoft.com/office/drawing/2014/main" id="{00000000-0008-0000-0000-00007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68" name="Picture 11" hidden="1">
          <a:extLst>
            <a:ext uri="{FF2B5EF4-FFF2-40B4-BE49-F238E27FC236}">
              <a16:creationId xmlns:a16="http://schemas.microsoft.com/office/drawing/2014/main" id="{00000000-0008-0000-0000-00007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70" name="Picture 11" hidden="1">
          <a:extLst>
            <a:ext uri="{FF2B5EF4-FFF2-40B4-BE49-F238E27FC236}">
              <a16:creationId xmlns:a16="http://schemas.microsoft.com/office/drawing/2014/main" id="{00000000-0008-0000-0000-00007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72" name="Picture 11" hidden="1">
          <a:extLst>
            <a:ext uri="{FF2B5EF4-FFF2-40B4-BE49-F238E27FC236}">
              <a16:creationId xmlns:a16="http://schemas.microsoft.com/office/drawing/2014/main" id="{00000000-0008-0000-0000-00007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74" name="Picture 11" hidden="1">
          <a:extLst>
            <a:ext uri="{FF2B5EF4-FFF2-40B4-BE49-F238E27FC236}">
              <a16:creationId xmlns:a16="http://schemas.microsoft.com/office/drawing/2014/main" id="{00000000-0008-0000-0000-00007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76" name="Picture 11" hidden="1">
          <a:extLst>
            <a:ext uri="{FF2B5EF4-FFF2-40B4-BE49-F238E27FC236}">
              <a16:creationId xmlns:a16="http://schemas.microsoft.com/office/drawing/2014/main" id="{00000000-0008-0000-0000-00007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78" name="Picture 11" hidden="1">
          <a:extLst>
            <a:ext uri="{FF2B5EF4-FFF2-40B4-BE49-F238E27FC236}">
              <a16:creationId xmlns:a16="http://schemas.microsoft.com/office/drawing/2014/main" id="{00000000-0008-0000-0000-00007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80" name="Picture 11" hidden="1">
          <a:extLst>
            <a:ext uri="{FF2B5EF4-FFF2-40B4-BE49-F238E27FC236}">
              <a16:creationId xmlns:a16="http://schemas.microsoft.com/office/drawing/2014/main" id="{00000000-0008-0000-0000-00008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82" name="Picture 11" hidden="1">
          <a:extLst>
            <a:ext uri="{FF2B5EF4-FFF2-40B4-BE49-F238E27FC236}">
              <a16:creationId xmlns:a16="http://schemas.microsoft.com/office/drawing/2014/main" id="{00000000-0008-0000-0000-00008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84" name="Picture 11" hidden="1">
          <a:extLst>
            <a:ext uri="{FF2B5EF4-FFF2-40B4-BE49-F238E27FC236}">
              <a16:creationId xmlns:a16="http://schemas.microsoft.com/office/drawing/2014/main" id="{00000000-0008-0000-0000-00008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86" name="Picture 11" hidden="1">
          <a:extLst>
            <a:ext uri="{FF2B5EF4-FFF2-40B4-BE49-F238E27FC236}">
              <a16:creationId xmlns:a16="http://schemas.microsoft.com/office/drawing/2014/main" id="{00000000-0008-0000-0000-00008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88" name="Picture 11" hidden="1">
          <a:extLst>
            <a:ext uri="{FF2B5EF4-FFF2-40B4-BE49-F238E27FC236}">
              <a16:creationId xmlns:a16="http://schemas.microsoft.com/office/drawing/2014/main" id="{00000000-0008-0000-0000-00008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90" name="Picture 11" hidden="1">
          <a:extLst>
            <a:ext uri="{FF2B5EF4-FFF2-40B4-BE49-F238E27FC236}">
              <a16:creationId xmlns:a16="http://schemas.microsoft.com/office/drawing/2014/main" id="{00000000-0008-0000-0000-00008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92" name="Picture 11" hidden="1">
          <a:extLst>
            <a:ext uri="{FF2B5EF4-FFF2-40B4-BE49-F238E27FC236}">
              <a16:creationId xmlns:a16="http://schemas.microsoft.com/office/drawing/2014/main" id="{00000000-0008-0000-0000-00008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94" name="Picture 11" hidden="1">
          <a:extLst>
            <a:ext uri="{FF2B5EF4-FFF2-40B4-BE49-F238E27FC236}">
              <a16:creationId xmlns:a16="http://schemas.microsoft.com/office/drawing/2014/main" id="{00000000-0008-0000-0000-00008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96" name="Picture 11" hidden="1">
          <a:extLst>
            <a:ext uri="{FF2B5EF4-FFF2-40B4-BE49-F238E27FC236}">
              <a16:creationId xmlns:a16="http://schemas.microsoft.com/office/drawing/2014/main" id="{00000000-0008-0000-0000-00009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98" name="Picture 11" hidden="1">
          <a:extLst>
            <a:ext uri="{FF2B5EF4-FFF2-40B4-BE49-F238E27FC236}">
              <a16:creationId xmlns:a16="http://schemas.microsoft.com/office/drawing/2014/main" id="{00000000-0008-0000-0000-00009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00" name="Picture 11" hidden="1">
          <a:extLst>
            <a:ext uri="{FF2B5EF4-FFF2-40B4-BE49-F238E27FC236}">
              <a16:creationId xmlns:a16="http://schemas.microsoft.com/office/drawing/2014/main" id="{00000000-0008-0000-0000-00009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02" name="Picture 11" hidden="1">
          <a:extLst>
            <a:ext uri="{FF2B5EF4-FFF2-40B4-BE49-F238E27FC236}">
              <a16:creationId xmlns:a16="http://schemas.microsoft.com/office/drawing/2014/main" id="{00000000-0008-0000-0000-00009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04" name="Picture 11" hidden="1">
          <a:extLst>
            <a:ext uri="{FF2B5EF4-FFF2-40B4-BE49-F238E27FC236}">
              <a16:creationId xmlns:a16="http://schemas.microsoft.com/office/drawing/2014/main" id="{00000000-0008-0000-0000-00009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06" name="Picture 11" hidden="1">
          <a:extLst>
            <a:ext uri="{FF2B5EF4-FFF2-40B4-BE49-F238E27FC236}">
              <a16:creationId xmlns:a16="http://schemas.microsoft.com/office/drawing/2014/main" id="{00000000-0008-0000-0000-00009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08" name="Picture 11" hidden="1">
          <a:extLst>
            <a:ext uri="{FF2B5EF4-FFF2-40B4-BE49-F238E27FC236}">
              <a16:creationId xmlns:a16="http://schemas.microsoft.com/office/drawing/2014/main" id="{00000000-0008-0000-0000-00009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10" name="Picture 11" hidden="1">
          <a:extLst>
            <a:ext uri="{FF2B5EF4-FFF2-40B4-BE49-F238E27FC236}">
              <a16:creationId xmlns:a16="http://schemas.microsoft.com/office/drawing/2014/main" id="{00000000-0008-0000-0000-00009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12" name="Picture 11" hidden="1">
          <a:extLst>
            <a:ext uri="{FF2B5EF4-FFF2-40B4-BE49-F238E27FC236}">
              <a16:creationId xmlns:a16="http://schemas.microsoft.com/office/drawing/2014/main" id="{00000000-0008-0000-0000-0000A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14" name="Picture 11" hidden="1">
          <a:extLst>
            <a:ext uri="{FF2B5EF4-FFF2-40B4-BE49-F238E27FC236}">
              <a16:creationId xmlns:a16="http://schemas.microsoft.com/office/drawing/2014/main" id="{00000000-0008-0000-0000-0000A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16" name="Picture 11" hidden="1">
          <a:extLst>
            <a:ext uri="{FF2B5EF4-FFF2-40B4-BE49-F238E27FC236}">
              <a16:creationId xmlns:a16="http://schemas.microsoft.com/office/drawing/2014/main" id="{00000000-0008-0000-0000-0000A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18" name="Picture 11" hidden="1">
          <a:extLst>
            <a:ext uri="{FF2B5EF4-FFF2-40B4-BE49-F238E27FC236}">
              <a16:creationId xmlns:a16="http://schemas.microsoft.com/office/drawing/2014/main" id="{00000000-0008-0000-0000-0000A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20" name="Picture 11" hidden="1">
          <a:extLst>
            <a:ext uri="{FF2B5EF4-FFF2-40B4-BE49-F238E27FC236}">
              <a16:creationId xmlns:a16="http://schemas.microsoft.com/office/drawing/2014/main" id="{00000000-0008-0000-0000-0000A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22" name="Picture 11" hidden="1">
          <a:extLst>
            <a:ext uri="{FF2B5EF4-FFF2-40B4-BE49-F238E27FC236}">
              <a16:creationId xmlns:a16="http://schemas.microsoft.com/office/drawing/2014/main" id="{00000000-0008-0000-0000-0000A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24" name="Picture 11" hidden="1">
          <a:extLst>
            <a:ext uri="{FF2B5EF4-FFF2-40B4-BE49-F238E27FC236}">
              <a16:creationId xmlns:a16="http://schemas.microsoft.com/office/drawing/2014/main" id="{00000000-0008-0000-0000-0000A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26" name="Picture 11" hidden="1">
          <a:extLst>
            <a:ext uri="{FF2B5EF4-FFF2-40B4-BE49-F238E27FC236}">
              <a16:creationId xmlns:a16="http://schemas.microsoft.com/office/drawing/2014/main" id="{00000000-0008-0000-0000-0000A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28" name="Picture 11" hidden="1">
          <a:extLst>
            <a:ext uri="{FF2B5EF4-FFF2-40B4-BE49-F238E27FC236}">
              <a16:creationId xmlns:a16="http://schemas.microsoft.com/office/drawing/2014/main" id="{00000000-0008-0000-0000-0000B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30" name="Picture 11" hidden="1">
          <a:extLst>
            <a:ext uri="{FF2B5EF4-FFF2-40B4-BE49-F238E27FC236}">
              <a16:creationId xmlns:a16="http://schemas.microsoft.com/office/drawing/2014/main" id="{00000000-0008-0000-0000-0000B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32" name="Picture 11" hidden="1">
          <a:extLst>
            <a:ext uri="{FF2B5EF4-FFF2-40B4-BE49-F238E27FC236}">
              <a16:creationId xmlns:a16="http://schemas.microsoft.com/office/drawing/2014/main" id="{00000000-0008-0000-0000-0000B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34" name="Picture 11" hidden="1">
          <a:extLst>
            <a:ext uri="{FF2B5EF4-FFF2-40B4-BE49-F238E27FC236}">
              <a16:creationId xmlns:a16="http://schemas.microsoft.com/office/drawing/2014/main" id="{00000000-0008-0000-0000-0000B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36" name="Picture 11" hidden="1">
          <a:extLst>
            <a:ext uri="{FF2B5EF4-FFF2-40B4-BE49-F238E27FC236}">
              <a16:creationId xmlns:a16="http://schemas.microsoft.com/office/drawing/2014/main" id="{00000000-0008-0000-0000-0000B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38" name="Picture 11" hidden="1">
          <a:extLst>
            <a:ext uri="{FF2B5EF4-FFF2-40B4-BE49-F238E27FC236}">
              <a16:creationId xmlns:a16="http://schemas.microsoft.com/office/drawing/2014/main" id="{00000000-0008-0000-0000-0000B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40" name="Picture 11" hidden="1">
          <a:extLst>
            <a:ext uri="{FF2B5EF4-FFF2-40B4-BE49-F238E27FC236}">
              <a16:creationId xmlns:a16="http://schemas.microsoft.com/office/drawing/2014/main" id="{00000000-0008-0000-0000-0000B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4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1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4542" name="Picture 11" hidden="1">
          <a:extLst>
            <a:ext uri="{FF2B5EF4-FFF2-40B4-BE49-F238E27FC236}">
              <a16:creationId xmlns:a16="http://schemas.microsoft.com/office/drawing/2014/main" id="{00000000-0008-0000-0000-0000B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44" name="Picture 11" hidden="1">
          <a:extLst>
            <a:ext uri="{FF2B5EF4-FFF2-40B4-BE49-F238E27FC236}">
              <a16:creationId xmlns:a16="http://schemas.microsoft.com/office/drawing/2014/main" id="{00000000-0008-0000-0000-0000C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46" name="Picture 11" hidden="1">
          <a:extLst>
            <a:ext uri="{FF2B5EF4-FFF2-40B4-BE49-F238E27FC236}">
              <a16:creationId xmlns:a16="http://schemas.microsoft.com/office/drawing/2014/main" id="{00000000-0008-0000-0000-0000C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48" name="Picture 11" hidden="1">
          <a:extLst>
            <a:ext uri="{FF2B5EF4-FFF2-40B4-BE49-F238E27FC236}">
              <a16:creationId xmlns:a16="http://schemas.microsoft.com/office/drawing/2014/main" id="{00000000-0008-0000-0000-0000C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50" name="Picture 4549" hidden="1">
          <a:extLst>
            <a:ext uri="{FF2B5EF4-FFF2-40B4-BE49-F238E27FC236}">
              <a16:creationId xmlns:a16="http://schemas.microsoft.com/office/drawing/2014/main" id="{00000000-0008-0000-0000-0000C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52" name="Picture 11" hidden="1">
          <a:extLst>
            <a:ext uri="{FF2B5EF4-FFF2-40B4-BE49-F238E27FC236}">
              <a16:creationId xmlns:a16="http://schemas.microsoft.com/office/drawing/2014/main" id="{00000000-0008-0000-0000-0000C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54" name="Picture 11" hidden="1">
          <a:extLst>
            <a:ext uri="{FF2B5EF4-FFF2-40B4-BE49-F238E27FC236}">
              <a16:creationId xmlns:a16="http://schemas.microsoft.com/office/drawing/2014/main" id="{00000000-0008-0000-0000-0000C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56" name="Picture 11" hidden="1">
          <a:extLst>
            <a:ext uri="{FF2B5EF4-FFF2-40B4-BE49-F238E27FC236}">
              <a16:creationId xmlns:a16="http://schemas.microsoft.com/office/drawing/2014/main" id="{00000000-0008-0000-0000-0000C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58" name="Picture 11" hidden="1">
          <a:extLst>
            <a:ext uri="{FF2B5EF4-FFF2-40B4-BE49-F238E27FC236}">
              <a16:creationId xmlns:a16="http://schemas.microsoft.com/office/drawing/2014/main" id="{00000000-0008-0000-0000-0000C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60" name="Picture 11" hidden="1">
          <a:extLst>
            <a:ext uri="{FF2B5EF4-FFF2-40B4-BE49-F238E27FC236}">
              <a16:creationId xmlns:a16="http://schemas.microsoft.com/office/drawing/2014/main" id="{00000000-0008-0000-0000-0000D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62" name="Picture 11" hidden="1">
          <a:extLst>
            <a:ext uri="{FF2B5EF4-FFF2-40B4-BE49-F238E27FC236}">
              <a16:creationId xmlns:a16="http://schemas.microsoft.com/office/drawing/2014/main" id="{00000000-0008-0000-0000-0000D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64" name="Picture 11" hidden="1">
          <a:extLst>
            <a:ext uri="{FF2B5EF4-FFF2-40B4-BE49-F238E27FC236}">
              <a16:creationId xmlns:a16="http://schemas.microsoft.com/office/drawing/2014/main" id="{00000000-0008-0000-0000-0000D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66" name="Picture 11" hidden="1">
          <a:extLst>
            <a:ext uri="{FF2B5EF4-FFF2-40B4-BE49-F238E27FC236}">
              <a16:creationId xmlns:a16="http://schemas.microsoft.com/office/drawing/2014/main" id="{00000000-0008-0000-0000-0000D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68" name="Picture 11" hidden="1">
          <a:extLst>
            <a:ext uri="{FF2B5EF4-FFF2-40B4-BE49-F238E27FC236}">
              <a16:creationId xmlns:a16="http://schemas.microsoft.com/office/drawing/2014/main" id="{00000000-0008-0000-0000-0000D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70" name="Picture 11" hidden="1">
          <a:extLst>
            <a:ext uri="{FF2B5EF4-FFF2-40B4-BE49-F238E27FC236}">
              <a16:creationId xmlns:a16="http://schemas.microsoft.com/office/drawing/2014/main" id="{00000000-0008-0000-0000-0000D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72" name="Picture 11" hidden="1">
          <a:extLst>
            <a:ext uri="{FF2B5EF4-FFF2-40B4-BE49-F238E27FC236}">
              <a16:creationId xmlns:a16="http://schemas.microsoft.com/office/drawing/2014/main" id="{00000000-0008-0000-0000-0000D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74" name="Picture 11" hidden="1">
          <a:extLst>
            <a:ext uri="{FF2B5EF4-FFF2-40B4-BE49-F238E27FC236}">
              <a16:creationId xmlns:a16="http://schemas.microsoft.com/office/drawing/2014/main" id="{00000000-0008-0000-0000-0000D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76" name="Picture 11" hidden="1">
          <a:extLst>
            <a:ext uri="{FF2B5EF4-FFF2-40B4-BE49-F238E27FC236}">
              <a16:creationId xmlns:a16="http://schemas.microsoft.com/office/drawing/2014/main" id="{00000000-0008-0000-0000-0000E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78" name="Picture 11" hidden="1">
          <a:extLst>
            <a:ext uri="{FF2B5EF4-FFF2-40B4-BE49-F238E27FC236}">
              <a16:creationId xmlns:a16="http://schemas.microsoft.com/office/drawing/2014/main" id="{00000000-0008-0000-0000-0000E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80" name="Picture 11" hidden="1">
          <a:extLst>
            <a:ext uri="{FF2B5EF4-FFF2-40B4-BE49-F238E27FC236}">
              <a16:creationId xmlns:a16="http://schemas.microsoft.com/office/drawing/2014/main" id="{00000000-0008-0000-0000-0000E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82" name="Picture 11" hidden="1">
          <a:extLst>
            <a:ext uri="{FF2B5EF4-FFF2-40B4-BE49-F238E27FC236}">
              <a16:creationId xmlns:a16="http://schemas.microsoft.com/office/drawing/2014/main" id="{00000000-0008-0000-0000-0000E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84" name="Picture 11" hidden="1">
          <a:extLst>
            <a:ext uri="{FF2B5EF4-FFF2-40B4-BE49-F238E27FC236}">
              <a16:creationId xmlns:a16="http://schemas.microsoft.com/office/drawing/2014/main" id="{00000000-0008-0000-0000-0000E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86" name="Picture 11" hidden="1">
          <a:extLst>
            <a:ext uri="{FF2B5EF4-FFF2-40B4-BE49-F238E27FC236}">
              <a16:creationId xmlns:a16="http://schemas.microsoft.com/office/drawing/2014/main" id="{00000000-0008-0000-0000-0000E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88" name="Picture 11" hidden="1">
          <a:extLst>
            <a:ext uri="{FF2B5EF4-FFF2-40B4-BE49-F238E27FC236}">
              <a16:creationId xmlns:a16="http://schemas.microsoft.com/office/drawing/2014/main" id="{00000000-0008-0000-0000-0000E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90" name="Picture 11" hidden="1">
          <a:extLst>
            <a:ext uri="{FF2B5EF4-FFF2-40B4-BE49-F238E27FC236}">
              <a16:creationId xmlns:a16="http://schemas.microsoft.com/office/drawing/2014/main" id="{00000000-0008-0000-0000-0000E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92" name="Picture 11" hidden="1">
          <a:extLst>
            <a:ext uri="{FF2B5EF4-FFF2-40B4-BE49-F238E27FC236}">
              <a16:creationId xmlns:a16="http://schemas.microsoft.com/office/drawing/2014/main" id="{00000000-0008-0000-0000-0000F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94" name="Picture 11" hidden="1">
          <a:extLst>
            <a:ext uri="{FF2B5EF4-FFF2-40B4-BE49-F238E27FC236}">
              <a16:creationId xmlns:a16="http://schemas.microsoft.com/office/drawing/2014/main" id="{00000000-0008-0000-0000-0000F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96" name="Picture 11" hidden="1">
          <a:extLst>
            <a:ext uri="{FF2B5EF4-FFF2-40B4-BE49-F238E27FC236}">
              <a16:creationId xmlns:a16="http://schemas.microsoft.com/office/drawing/2014/main" id="{00000000-0008-0000-0000-0000F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98" name="Picture 11" hidden="1">
          <a:extLst>
            <a:ext uri="{FF2B5EF4-FFF2-40B4-BE49-F238E27FC236}">
              <a16:creationId xmlns:a16="http://schemas.microsoft.com/office/drawing/2014/main" id="{00000000-0008-0000-0000-0000F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00" name="Picture 11" hidden="1">
          <a:extLst>
            <a:ext uri="{FF2B5EF4-FFF2-40B4-BE49-F238E27FC236}">
              <a16:creationId xmlns:a16="http://schemas.microsoft.com/office/drawing/2014/main" id="{00000000-0008-0000-0000-0000F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02" name="Picture 11" hidden="1">
          <a:extLst>
            <a:ext uri="{FF2B5EF4-FFF2-40B4-BE49-F238E27FC236}">
              <a16:creationId xmlns:a16="http://schemas.microsoft.com/office/drawing/2014/main" id="{00000000-0008-0000-0000-0000F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04" name="Picture 11" hidden="1">
          <a:extLst>
            <a:ext uri="{FF2B5EF4-FFF2-40B4-BE49-F238E27FC236}">
              <a16:creationId xmlns:a16="http://schemas.microsoft.com/office/drawing/2014/main" id="{00000000-0008-0000-0000-0000F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06" name="Picture 11" hidden="1">
          <a:extLst>
            <a:ext uri="{FF2B5EF4-FFF2-40B4-BE49-F238E27FC236}">
              <a16:creationId xmlns:a16="http://schemas.microsoft.com/office/drawing/2014/main" id="{00000000-0008-0000-0000-0000F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08" name="Picture 11" hidden="1">
          <a:extLst>
            <a:ext uri="{FF2B5EF4-FFF2-40B4-BE49-F238E27FC236}">
              <a16:creationId xmlns:a16="http://schemas.microsoft.com/office/drawing/2014/main" id="{00000000-0008-0000-0000-00000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10" name="Picture 11" hidden="1">
          <a:extLst>
            <a:ext uri="{FF2B5EF4-FFF2-40B4-BE49-F238E27FC236}">
              <a16:creationId xmlns:a16="http://schemas.microsoft.com/office/drawing/2014/main" id="{00000000-0008-0000-0000-00000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12" name="Picture 11" hidden="1">
          <a:extLst>
            <a:ext uri="{FF2B5EF4-FFF2-40B4-BE49-F238E27FC236}">
              <a16:creationId xmlns:a16="http://schemas.microsoft.com/office/drawing/2014/main" id="{00000000-0008-0000-0000-00000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14" name="Picture 11" hidden="1">
          <a:extLst>
            <a:ext uri="{FF2B5EF4-FFF2-40B4-BE49-F238E27FC236}">
              <a16:creationId xmlns:a16="http://schemas.microsoft.com/office/drawing/2014/main" id="{00000000-0008-0000-0000-00000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16" name="Picture 11" hidden="1">
          <a:extLst>
            <a:ext uri="{FF2B5EF4-FFF2-40B4-BE49-F238E27FC236}">
              <a16:creationId xmlns:a16="http://schemas.microsoft.com/office/drawing/2014/main" id="{00000000-0008-0000-0000-00000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18" name="Picture 11" hidden="1">
          <a:extLst>
            <a:ext uri="{FF2B5EF4-FFF2-40B4-BE49-F238E27FC236}">
              <a16:creationId xmlns:a16="http://schemas.microsoft.com/office/drawing/2014/main" id="{00000000-0008-0000-0000-00000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20" name="Picture 11" hidden="1">
          <a:extLst>
            <a:ext uri="{FF2B5EF4-FFF2-40B4-BE49-F238E27FC236}">
              <a16:creationId xmlns:a16="http://schemas.microsoft.com/office/drawing/2014/main" id="{00000000-0008-0000-0000-00000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22" name="Picture 11" hidden="1">
          <a:extLst>
            <a:ext uri="{FF2B5EF4-FFF2-40B4-BE49-F238E27FC236}">
              <a16:creationId xmlns:a16="http://schemas.microsoft.com/office/drawing/2014/main" id="{00000000-0008-0000-0000-00000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24" name="Picture 11" hidden="1">
          <a:extLst>
            <a:ext uri="{FF2B5EF4-FFF2-40B4-BE49-F238E27FC236}">
              <a16:creationId xmlns:a16="http://schemas.microsoft.com/office/drawing/2014/main" id="{00000000-0008-0000-0000-00001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26" name="Picture 11" hidden="1">
          <a:extLst>
            <a:ext uri="{FF2B5EF4-FFF2-40B4-BE49-F238E27FC236}">
              <a16:creationId xmlns:a16="http://schemas.microsoft.com/office/drawing/2014/main" id="{00000000-0008-0000-0000-00001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28" name="Picture 11" hidden="1">
          <a:extLst>
            <a:ext uri="{FF2B5EF4-FFF2-40B4-BE49-F238E27FC236}">
              <a16:creationId xmlns:a16="http://schemas.microsoft.com/office/drawing/2014/main" id="{00000000-0008-0000-0000-00001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30" name="Picture 11" hidden="1">
          <a:extLst>
            <a:ext uri="{FF2B5EF4-FFF2-40B4-BE49-F238E27FC236}">
              <a16:creationId xmlns:a16="http://schemas.microsoft.com/office/drawing/2014/main" id="{00000000-0008-0000-0000-00001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32" name="Picture 11" hidden="1">
          <a:extLst>
            <a:ext uri="{FF2B5EF4-FFF2-40B4-BE49-F238E27FC236}">
              <a16:creationId xmlns:a16="http://schemas.microsoft.com/office/drawing/2014/main" id="{00000000-0008-0000-0000-00001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34" name="Picture 11" hidden="1">
          <a:extLst>
            <a:ext uri="{FF2B5EF4-FFF2-40B4-BE49-F238E27FC236}">
              <a16:creationId xmlns:a16="http://schemas.microsoft.com/office/drawing/2014/main" id="{00000000-0008-0000-0000-00001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36" name="Picture 11" hidden="1">
          <a:extLst>
            <a:ext uri="{FF2B5EF4-FFF2-40B4-BE49-F238E27FC236}">
              <a16:creationId xmlns:a16="http://schemas.microsoft.com/office/drawing/2014/main" id="{00000000-0008-0000-0000-00001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38" name="Picture 11" hidden="1">
          <a:extLst>
            <a:ext uri="{FF2B5EF4-FFF2-40B4-BE49-F238E27FC236}">
              <a16:creationId xmlns:a16="http://schemas.microsoft.com/office/drawing/2014/main" id="{00000000-0008-0000-0000-00001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40" name="Picture 11" hidden="1">
          <a:extLst>
            <a:ext uri="{FF2B5EF4-FFF2-40B4-BE49-F238E27FC236}">
              <a16:creationId xmlns:a16="http://schemas.microsoft.com/office/drawing/2014/main" id="{00000000-0008-0000-0000-00002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42" name="Picture 11" hidden="1">
          <a:extLst>
            <a:ext uri="{FF2B5EF4-FFF2-40B4-BE49-F238E27FC236}">
              <a16:creationId xmlns:a16="http://schemas.microsoft.com/office/drawing/2014/main" id="{00000000-0008-0000-0000-00002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44" name="Picture 11" hidden="1">
          <a:extLst>
            <a:ext uri="{FF2B5EF4-FFF2-40B4-BE49-F238E27FC236}">
              <a16:creationId xmlns:a16="http://schemas.microsoft.com/office/drawing/2014/main" id="{00000000-0008-0000-0000-00002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46" name="Picture 11" hidden="1">
          <a:extLst>
            <a:ext uri="{FF2B5EF4-FFF2-40B4-BE49-F238E27FC236}">
              <a16:creationId xmlns:a16="http://schemas.microsoft.com/office/drawing/2014/main" id="{00000000-0008-0000-0000-00002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48" name="Picture 11" hidden="1">
          <a:extLst>
            <a:ext uri="{FF2B5EF4-FFF2-40B4-BE49-F238E27FC236}">
              <a16:creationId xmlns:a16="http://schemas.microsoft.com/office/drawing/2014/main" id="{00000000-0008-0000-0000-00002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50" name="Picture 11" hidden="1">
          <a:extLst>
            <a:ext uri="{FF2B5EF4-FFF2-40B4-BE49-F238E27FC236}">
              <a16:creationId xmlns:a16="http://schemas.microsoft.com/office/drawing/2014/main" id="{00000000-0008-0000-0000-00002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52" name="Picture 11" hidden="1">
          <a:extLst>
            <a:ext uri="{FF2B5EF4-FFF2-40B4-BE49-F238E27FC236}">
              <a16:creationId xmlns:a16="http://schemas.microsoft.com/office/drawing/2014/main" id="{00000000-0008-0000-0000-00002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54" name="Picture 11" hidden="1">
          <a:extLst>
            <a:ext uri="{FF2B5EF4-FFF2-40B4-BE49-F238E27FC236}">
              <a16:creationId xmlns:a16="http://schemas.microsoft.com/office/drawing/2014/main" id="{00000000-0008-0000-0000-00002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56" name="Picture 11" hidden="1">
          <a:extLst>
            <a:ext uri="{FF2B5EF4-FFF2-40B4-BE49-F238E27FC236}">
              <a16:creationId xmlns:a16="http://schemas.microsoft.com/office/drawing/2014/main" id="{00000000-0008-0000-0000-00003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58" name="Picture 4657" hidden="1">
          <a:extLst>
            <a:ext uri="{FF2B5EF4-FFF2-40B4-BE49-F238E27FC236}">
              <a16:creationId xmlns:a16="http://schemas.microsoft.com/office/drawing/2014/main" id="{00000000-0008-0000-0000-00003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60" name="Picture 11" hidden="1">
          <a:extLst>
            <a:ext uri="{FF2B5EF4-FFF2-40B4-BE49-F238E27FC236}">
              <a16:creationId xmlns:a16="http://schemas.microsoft.com/office/drawing/2014/main" id="{00000000-0008-0000-0000-00003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62" name="Picture 11" hidden="1">
          <a:extLst>
            <a:ext uri="{FF2B5EF4-FFF2-40B4-BE49-F238E27FC236}">
              <a16:creationId xmlns:a16="http://schemas.microsoft.com/office/drawing/2014/main" id="{00000000-0008-0000-0000-00003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64" name="Picture 11" hidden="1">
          <a:extLst>
            <a:ext uri="{FF2B5EF4-FFF2-40B4-BE49-F238E27FC236}">
              <a16:creationId xmlns:a16="http://schemas.microsoft.com/office/drawing/2014/main" id="{00000000-0008-0000-0000-00003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66" name="Picture 11" hidden="1">
          <a:extLst>
            <a:ext uri="{FF2B5EF4-FFF2-40B4-BE49-F238E27FC236}">
              <a16:creationId xmlns:a16="http://schemas.microsoft.com/office/drawing/2014/main" id="{00000000-0008-0000-0000-00003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68" name="Picture 11" hidden="1">
          <a:extLst>
            <a:ext uri="{FF2B5EF4-FFF2-40B4-BE49-F238E27FC236}">
              <a16:creationId xmlns:a16="http://schemas.microsoft.com/office/drawing/2014/main" id="{00000000-0008-0000-0000-00003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70" name="Picture 11" hidden="1">
          <a:extLst>
            <a:ext uri="{FF2B5EF4-FFF2-40B4-BE49-F238E27FC236}">
              <a16:creationId xmlns:a16="http://schemas.microsoft.com/office/drawing/2014/main" id="{00000000-0008-0000-0000-00003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72" name="Picture 11" hidden="1">
          <a:extLst>
            <a:ext uri="{FF2B5EF4-FFF2-40B4-BE49-F238E27FC236}">
              <a16:creationId xmlns:a16="http://schemas.microsoft.com/office/drawing/2014/main" id="{00000000-0008-0000-0000-00004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74" name="Picture 11" hidden="1">
          <a:extLst>
            <a:ext uri="{FF2B5EF4-FFF2-40B4-BE49-F238E27FC236}">
              <a16:creationId xmlns:a16="http://schemas.microsoft.com/office/drawing/2014/main" id="{00000000-0008-0000-0000-00004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76" name="Picture 11" hidden="1">
          <a:extLst>
            <a:ext uri="{FF2B5EF4-FFF2-40B4-BE49-F238E27FC236}">
              <a16:creationId xmlns:a16="http://schemas.microsoft.com/office/drawing/2014/main" id="{00000000-0008-0000-0000-00004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78" name="Picture 11" hidden="1">
          <a:extLst>
            <a:ext uri="{FF2B5EF4-FFF2-40B4-BE49-F238E27FC236}">
              <a16:creationId xmlns:a16="http://schemas.microsoft.com/office/drawing/2014/main" id="{00000000-0008-0000-0000-00004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80" name="Picture 11" hidden="1">
          <a:extLst>
            <a:ext uri="{FF2B5EF4-FFF2-40B4-BE49-F238E27FC236}">
              <a16:creationId xmlns:a16="http://schemas.microsoft.com/office/drawing/2014/main" id="{00000000-0008-0000-0000-00004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82" name="Picture 11" hidden="1">
          <a:extLst>
            <a:ext uri="{FF2B5EF4-FFF2-40B4-BE49-F238E27FC236}">
              <a16:creationId xmlns:a16="http://schemas.microsoft.com/office/drawing/2014/main" id="{00000000-0008-0000-0000-00004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84" name="Picture 11" hidden="1">
          <a:extLst>
            <a:ext uri="{FF2B5EF4-FFF2-40B4-BE49-F238E27FC236}">
              <a16:creationId xmlns:a16="http://schemas.microsoft.com/office/drawing/2014/main" id="{00000000-0008-0000-0000-00004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86" name="Picture 11" hidden="1">
          <a:extLst>
            <a:ext uri="{FF2B5EF4-FFF2-40B4-BE49-F238E27FC236}">
              <a16:creationId xmlns:a16="http://schemas.microsoft.com/office/drawing/2014/main" id="{00000000-0008-0000-0000-00004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88" name="Picture 11" hidden="1">
          <a:extLst>
            <a:ext uri="{FF2B5EF4-FFF2-40B4-BE49-F238E27FC236}">
              <a16:creationId xmlns:a16="http://schemas.microsoft.com/office/drawing/2014/main" id="{00000000-0008-0000-0000-00005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90" name="Picture 11" hidden="1">
          <a:extLst>
            <a:ext uri="{FF2B5EF4-FFF2-40B4-BE49-F238E27FC236}">
              <a16:creationId xmlns:a16="http://schemas.microsoft.com/office/drawing/2014/main" id="{00000000-0008-0000-0000-00005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92" name="Picture 11" hidden="1">
          <a:extLst>
            <a:ext uri="{FF2B5EF4-FFF2-40B4-BE49-F238E27FC236}">
              <a16:creationId xmlns:a16="http://schemas.microsoft.com/office/drawing/2014/main" id="{00000000-0008-0000-0000-00005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94" name="Picture 11" hidden="1">
          <a:extLst>
            <a:ext uri="{FF2B5EF4-FFF2-40B4-BE49-F238E27FC236}">
              <a16:creationId xmlns:a16="http://schemas.microsoft.com/office/drawing/2014/main" id="{00000000-0008-0000-0000-00005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96" name="Picture 11" hidden="1">
          <a:extLst>
            <a:ext uri="{FF2B5EF4-FFF2-40B4-BE49-F238E27FC236}">
              <a16:creationId xmlns:a16="http://schemas.microsoft.com/office/drawing/2014/main" id="{00000000-0008-0000-0000-00005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98" name="Picture 11" hidden="1">
          <a:extLst>
            <a:ext uri="{FF2B5EF4-FFF2-40B4-BE49-F238E27FC236}">
              <a16:creationId xmlns:a16="http://schemas.microsoft.com/office/drawing/2014/main" id="{00000000-0008-0000-0000-00005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00" name="Picture 11" hidden="1">
          <a:extLst>
            <a:ext uri="{FF2B5EF4-FFF2-40B4-BE49-F238E27FC236}">
              <a16:creationId xmlns:a16="http://schemas.microsoft.com/office/drawing/2014/main" id="{00000000-0008-0000-0000-00005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02" name="Picture 11" hidden="1">
          <a:extLst>
            <a:ext uri="{FF2B5EF4-FFF2-40B4-BE49-F238E27FC236}">
              <a16:creationId xmlns:a16="http://schemas.microsoft.com/office/drawing/2014/main" id="{00000000-0008-0000-0000-00005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04" name="Picture 11" hidden="1">
          <a:extLst>
            <a:ext uri="{FF2B5EF4-FFF2-40B4-BE49-F238E27FC236}">
              <a16:creationId xmlns:a16="http://schemas.microsoft.com/office/drawing/2014/main" id="{00000000-0008-0000-0000-00006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06" name="Picture 11" hidden="1">
          <a:extLst>
            <a:ext uri="{FF2B5EF4-FFF2-40B4-BE49-F238E27FC236}">
              <a16:creationId xmlns:a16="http://schemas.microsoft.com/office/drawing/2014/main" id="{00000000-0008-0000-0000-00006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08" name="Picture 11" hidden="1">
          <a:extLst>
            <a:ext uri="{FF2B5EF4-FFF2-40B4-BE49-F238E27FC236}">
              <a16:creationId xmlns:a16="http://schemas.microsoft.com/office/drawing/2014/main" id="{00000000-0008-0000-0000-00006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10" name="Picture 11" hidden="1">
          <a:extLst>
            <a:ext uri="{FF2B5EF4-FFF2-40B4-BE49-F238E27FC236}">
              <a16:creationId xmlns:a16="http://schemas.microsoft.com/office/drawing/2014/main" id="{00000000-0008-0000-0000-00006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12" name="Picture 11" hidden="1">
          <a:extLst>
            <a:ext uri="{FF2B5EF4-FFF2-40B4-BE49-F238E27FC236}">
              <a16:creationId xmlns:a16="http://schemas.microsoft.com/office/drawing/2014/main" id="{00000000-0008-0000-0000-00006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14" name="Picture 11" hidden="1">
          <a:extLst>
            <a:ext uri="{FF2B5EF4-FFF2-40B4-BE49-F238E27FC236}">
              <a16:creationId xmlns:a16="http://schemas.microsoft.com/office/drawing/2014/main" id="{00000000-0008-0000-0000-00006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16" name="Picture 11" hidden="1">
          <a:extLst>
            <a:ext uri="{FF2B5EF4-FFF2-40B4-BE49-F238E27FC236}">
              <a16:creationId xmlns:a16="http://schemas.microsoft.com/office/drawing/2014/main" id="{00000000-0008-0000-0000-00006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18" name="Picture 11" hidden="1">
          <a:extLst>
            <a:ext uri="{FF2B5EF4-FFF2-40B4-BE49-F238E27FC236}">
              <a16:creationId xmlns:a16="http://schemas.microsoft.com/office/drawing/2014/main" id="{00000000-0008-0000-0000-00006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20" name="Picture 11" hidden="1">
          <a:extLst>
            <a:ext uri="{FF2B5EF4-FFF2-40B4-BE49-F238E27FC236}">
              <a16:creationId xmlns:a16="http://schemas.microsoft.com/office/drawing/2014/main" id="{00000000-0008-0000-0000-00007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22" name="Picture 11" hidden="1">
          <a:extLst>
            <a:ext uri="{FF2B5EF4-FFF2-40B4-BE49-F238E27FC236}">
              <a16:creationId xmlns:a16="http://schemas.microsoft.com/office/drawing/2014/main" id="{00000000-0008-0000-0000-00007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24" name="Picture 11" hidden="1">
          <a:extLst>
            <a:ext uri="{FF2B5EF4-FFF2-40B4-BE49-F238E27FC236}">
              <a16:creationId xmlns:a16="http://schemas.microsoft.com/office/drawing/2014/main" id="{00000000-0008-0000-0000-00007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26" name="Picture 11" hidden="1">
          <a:extLst>
            <a:ext uri="{FF2B5EF4-FFF2-40B4-BE49-F238E27FC236}">
              <a16:creationId xmlns:a16="http://schemas.microsoft.com/office/drawing/2014/main" id="{00000000-0008-0000-0000-00007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28" name="Picture 11" hidden="1">
          <a:extLst>
            <a:ext uri="{FF2B5EF4-FFF2-40B4-BE49-F238E27FC236}">
              <a16:creationId xmlns:a16="http://schemas.microsoft.com/office/drawing/2014/main" id="{00000000-0008-0000-0000-00007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30" name="Picture 11" hidden="1">
          <a:extLst>
            <a:ext uri="{FF2B5EF4-FFF2-40B4-BE49-F238E27FC236}">
              <a16:creationId xmlns:a16="http://schemas.microsoft.com/office/drawing/2014/main" id="{00000000-0008-0000-0000-00007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32" name="Picture 11" hidden="1">
          <a:extLst>
            <a:ext uri="{FF2B5EF4-FFF2-40B4-BE49-F238E27FC236}">
              <a16:creationId xmlns:a16="http://schemas.microsoft.com/office/drawing/2014/main" id="{00000000-0008-0000-0000-00007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34" name="Picture 11" hidden="1">
          <a:extLst>
            <a:ext uri="{FF2B5EF4-FFF2-40B4-BE49-F238E27FC236}">
              <a16:creationId xmlns:a16="http://schemas.microsoft.com/office/drawing/2014/main" id="{00000000-0008-0000-0000-00007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36" name="Picture 11" hidden="1">
          <a:extLst>
            <a:ext uri="{FF2B5EF4-FFF2-40B4-BE49-F238E27FC236}">
              <a16:creationId xmlns:a16="http://schemas.microsoft.com/office/drawing/2014/main" id="{00000000-0008-0000-0000-00008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38" name="Picture 11" hidden="1">
          <a:extLst>
            <a:ext uri="{FF2B5EF4-FFF2-40B4-BE49-F238E27FC236}">
              <a16:creationId xmlns:a16="http://schemas.microsoft.com/office/drawing/2014/main" id="{00000000-0008-0000-0000-00008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40" name="Picture 11" hidden="1">
          <a:extLst>
            <a:ext uri="{FF2B5EF4-FFF2-40B4-BE49-F238E27FC236}">
              <a16:creationId xmlns:a16="http://schemas.microsoft.com/office/drawing/2014/main" id="{00000000-0008-0000-0000-00008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42" name="Picture 11" hidden="1">
          <a:extLst>
            <a:ext uri="{FF2B5EF4-FFF2-40B4-BE49-F238E27FC236}">
              <a16:creationId xmlns:a16="http://schemas.microsoft.com/office/drawing/2014/main" id="{00000000-0008-0000-0000-00008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44" name="Picture 11" hidden="1">
          <a:extLst>
            <a:ext uri="{FF2B5EF4-FFF2-40B4-BE49-F238E27FC236}">
              <a16:creationId xmlns:a16="http://schemas.microsoft.com/office/drawing/2014/main" id="{00000000-0008-0000-0000-00008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46" name="Picture 11" hidden="1">
          <a:extLst>
            <a:ext uri="{FF2B5EF4-FFF2-40B4-BE49-F238E27FC236}">
              <a16:creationId xmlns:a16="http://schemas.microsoft.com/office/drawing/2014/main" id="{00000000-0008-0000-0000-00008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48" name="Picture 11" hidden="1">
          <a:extLst>
            <a:ext uri="{FF2B5EF4-FFF2-40B4-BE49-F238E27FC236}">
              <a16:creationId xmlns:a16="http://schemas.microsoft.com/office/drawing/2014/main" id="{00000000-0008-0000-0000-00008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50" name="Picture 11" hidden="1">
          <a:extLst>
            <a:ext uri="{FF2B5EF4-FFF2-40B4-BE49-F238E27FC236}">
              <a16:creationId xmlns:a16="http://schemas.microsoft.com/office/drawing/2014/main" id="{00000000-0008-0000-0000-00008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52" name="Picture 11" hidden="1">
          <a:extLst>
            <a:ext uri="{FF2B5EF4-FFF2-40B4-BE49-F238E27FC236}">
              <a16:creationId xmlns:a16="http://schemas.microsoft.com/office/drawing/2014/main" id="{00000000-0008-0000-0000-00009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54" name="Picture 11" hidden="1">
          <a:extLst>
            <a:ext uri="{FF2B5EF4-FFF2-40B4-BE49-F238E27FC236}">
              <a16:creationId xmlns:a16="http://schemas.microsoft.com/office/drawing/2014/main" id="{00000000-0008-0000-0000-00009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56" name="Picture 11" hidden="1">
          <a:extLst>
            <a:ext uri="{FF2B5EF4-FFF2-40B4-BE49-F238E27FC236}">
              <a16:creationId xmlns:a16="http://schemas.microsoft.com/office/drawing/2014/main" id="{00000000-0008-0000-0000-00009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58" name="Picture 11" hidden="1">
          <a:extLst>
            <a:ext uri="{FF2B5EF4-FFF2-40B4-BE49-F238E27FC236}">
              <a16:creationId xmlns:a16="http://schemas.microsoft.com/office/drawing/2014/main" id="{00000000-0008-0000-0000-00009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60" name="Picture 11" hidden="1">
          <a:extLst>
            <a:ext uri="{FF2B5EF4-FFF2-40B4-BE49-F238E27FC236}">
              <a16:creationId xmlns:a16="http://schemas.microsoft.com/office/drawing/2014/main" id="{00000000-0008-0000-0000-00009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62" name="Picture 11" hidden="1">
          <a:extLst>
            <a:ext uri="{FF2B5EF4-FFF2-40B4-BE49-F238E27FC236}">
              <a16:creationId xmlns:a16="http://schemas.microsoft.com/office/drawing/2014/main" id="{00000000-0008-0000-0000-00009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64" name="Picture 11" hidden="1">
          <a:extLst>
            <a:ext uri="{FF2B5EF4-FFF2-40B4-BE49-F238E27FC236}">
              <a16:creationId xmlns:a16="http://schemas.microsoft.com/office/drawing/2014/main" id="{00000000-0008-0000-0000-00009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66" name="Picture 4765" hidden="1">
          <a:extLst>
            <a:ext uri="{FF2B5EF4-FFF2-40B4-BE49-F238E27FC236}">
              <a16:creationId xmlns:a16="http://schemas.microsoft.com/office/drawing/2014/main" id="{00000000-0008-0000-0000-00009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68" name="Picture 11" hidden="1">
          <a:extLst>
            <a:ext uri="{FF2B5EF4-FFF2-40B4-BE49-F238E27FC236}">
              <a16:creationId xmlns:a16="http://schemas.microsoft.com/office/drawing/2014/main" id="{00000000-0008-0000-0000-0000A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70" name="Picture 11" hidden="1">
          <a:extLst>
            <a:ext uri="{FF2B5EF4-FFF2-40B4-BE49-F238E27FC236}">
              <a16:creationId xmlns:a16="http://schemas.microsoft.com/office/drawing/2014/main" id="{00000000-0008-0000-0000-0000A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72" name="Picture 11" hidden="1">
          <a:extLst>
            <a:ext uri="{FF2B5EF4-FFF2-40B4-BE49-F238E27FC236}">
              <a16:creationId xmlns:a16="http://schemas.microsoft.com/office/drawing/2014/main" id="{00000000-0008-0000-0000-0000A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74" name="Picture 11" hidden="1">
          <a:extLst>
            <a:ext uri="{FF2B5EF4-FFF2-40B4-BE49-F238E27FC236}">
              <a16:creationId xmlns:a16="http://schemas.microsoft.com/office/drawing/2014/main" id="{00000000-0008-0000-0000-0000A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76" name="Picture 11" hidden="1">
          <a:extLst>
            <a:ext uri="{FF2B5EF4-FFF2-40B4-BE49-F238E27FC236}">
              <a16:creationId xmlns:a16="http://schemas.microsoft.com/office/drawing/2014/main" id="{00000000-0008-0000-0000-0000A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78" name="Picture 11" hidden="1">
          <a:extLst>
            <a:ext uri="{FF2B5EF4-FFF2-40B4-BE49-F238E27FC236}">
              <a16:creationId xmlns:a16="http://schemas.microsoft.com/office/drawing/2014/main" id="{00000000-0008-0000-0000-0000A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80" name="Picture 11" hidden="1">
          <a:extLst>
            <a:ext uri="{FF2B5EF4-FFF2-40B4-BE49-F238E27FC236}">
              <a16:creationId xmlns:a16="http://schemas.microsoft.com/office/drawing/2014/main" id="{00000000-0008-0000-0000-0000A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82" name="Picture 11" hidden="1">
          <a:extLst>
            <a:ext uri="{FF2B5EF4-FFF2-40B4-BE49-F238E27FC236}">
              <a16:creationId xmlns:a16="http://schemas.microsoft.com/office/drawing/2014/main" id="{00000000-0008-0000-0000-0000A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84" name="Picture 11" hidden="1">
          <a:extLst>
            <a:ext uri="{FF2B5EF4-FFF2-40B4-BE49-F238E27FC236}">
              <a16:creationId xmlns:a16="http://schemas.microsoft.com/office/drawing/2014/main" id="{00000000-0008-0000-0000-0000B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86" name="Picture 11" hidden="1">
          <a:extLst>
            <a:ext uri="{FF2B5EF4-FFF2-40B4-BE49-F238E27FC236}">
              <a16:creationId xmlns:a16="http://schemas.microsoft.com/office/drawing/2014/main" id="{00000000-0008-0000-0000-0000B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88" name="Picture 11" hidden="1">
          <a:extLst>
            <a:ext uri="{FF2B5EF4-FFF2-40B4-BE49-F238E27FC236}">
              <a16:creationId xmlns:a16="http://schemas.microsoft.com/office/drawing/2014/main" id="{00000000-0008-0000-0000-0000B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90" name="Picture 11" hidden="1">
          <a:extLst>
            <a:ext uri="{FF2B5EF4-FFF2-40B4-BE49-F238E27FC236}">
              <a16:creationId xmlns:a16="http://schemas.microsoft.com/office/drawing/2014/main" id="{00000000-0008-0000-0000-0000B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92" name="Picture 11" hidden="1">
          <a:extLst>
            <a:ext uri="{FF2B5EF4-FFF2-40B4-BE49-F238E27FC236}">
              <a16:creationId xmlns:a16="http://schemas.microsoft.com/office/drawing/2014/main" id="{00000000-0008-0000-0000-0000B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94" name="Picture 11" hidden="1">
          <a:extLst>
            <a:ext uri="{FF2B5EF4-FFF2-40B4-BE49-F238E27FC236}">
              <a16:creationId xmlns:a16="http://schemas.microsoft.com/office/drawing/2014/main" id="{00000000-0008-0000-0000-0000B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96" name="Picture 11" hidden="1">
          <a:extLst>
            <a:ext uri="{FF2B5EF4-FFF2-40B4-BE49-F238E27FC236}">
              <a16:creationId xmlns:a16="http://schemas.microsoft.com/office/drawing/2014/main" id="{00000000-0008-0000-0000-0000B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98" name="Picture 11" hidden="1">
          <a:extLst>
            <a:ext uri="{FF2B5EF4-FFF2-40B4-BE49-F238E27FC236}">
              <a16:creationId xmlns:a16="http://schemas.microsoft.com/office/drawing/2014/main" id="{00000000-0008-0000-0000-0000B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00" name="Picture 11" hidden="1">
          <a:extLst>
            <a:ext uri="{FF2B5EF4-FFF2-40B4-BE49-F238E27FC236}">
              <a16:creationId xmlns:a16="http://schemas.microsoft.com/office/drawing/2014/main" id="{00000000-0008-0000-0000-0000C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02" name="Picture 11" hidden="1">
          <a:extLst>
            <a:ext uri="{FF2B5EF4-FFF2-40B4-BE49-F238E27FC236}">
              <a16:creationId xmlns:a16="http://schemas.microsoft.com/office/drawing/2014/main" id="{00000000-0008-0000-0000-0000C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04" name="Picture 11" hidden="1">
          <a:extLst>
            <a:ext uri="{FF2B5EF4-FFF2-40B4-BE49-F238E27FC236}">
              <a16:creationId xmlns:a16="http://schemas.microsoft.com/office/drawing/2014/main" id="{00000000-0008-0000-0000-0000C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06" name="Picture 11" hidden="1">
          <a:extLst>
            <a:ext uri="{FF2B5EF4-FFF2-40B4-BE49-F238E27FC236}">
              <a16:creationId xmlns:a16="http://schemas.microsoft.com/office/drawing/2014/main" id="{00000000-0008-0000-0000-0000C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08" name="Picture 11" hidden="1">
          <a:extLst>
            <a:ext uri="{FF2B5EF4-FFF2-40B4-BE49-F238E27FC236}">
              <a16:creationId xmlns:a16="http://schemas.microsoft.com/office/drawing/2014/main" id="{00000000-0008-0000-0000-0000C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10" name="Picture 11" hidden="1">
          <a:extLst>
            <a:ext uri="{FF2B5EF4-FFF2-40B4-BE49-F238E27FC236}">
              <a16:creationId xmlns:a16="http://schemas.microsoft.com/office/drawing/2014/main" id="{00000000-0008-0000-0000-0000C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12" name="Picture 11" hidden="1">
          <a:extLst>
            <a:ext uri="{FF2B5EF4-FFF2-40B4-BE49-F238E27FC236}">
              <a16:creationId xmlns:a16="http://schemas.microsoft.com/office/drawing/2014/main" id="{00000000-0008-0000-0000-0000C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14" name="Picture 11" hidden="1">
          <a:extLst>
            <a:ext uri="{FF2B5EF4-FFF2-40B4-BE49-F238E27FC236}">
              <a16:creationId xmlns:a16="http://schemas.microsoft.com/office/drawing/2014/main" id="{00000000-0008-0000-0000-0000C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16" name="Picture 11" hidden="1">
          <a:extLst>
            <a:ext uri="{FF2B5EF4-FFF2-40B4-BE49-F238E27FC236}">
              <a16:creationId xmlns:a16="http://schemas.microsoft.com/office/drawing/2014/main" id="{00000000-0008-0000-0000-0000D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18" name="Picture 11" hidden="1">
          <a:extLst>
            <a:ext uri="{FF2B5EF4-FFF2-40B4-BE49-F238E27FC236}">
              <a16:creationId xmlns:a16="http://schemas.microsoft.com/office/drawing/2014/main" id="{00000000-0008-0000-0000-0000D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20" name="Picture 11" hidden="1">
          <a:extLst>
            <a:ext uri="{FF2B5EF4-FFF2-40B4-BE49-F238E27FC236}">
              <a16:creationId xmlns:a16="http://schemas.microsoft.com/office/drawing/2014/main" id="{00000000-0008-0000-0000-0000D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22" name="Picture 11" hidden="1">
          <a:extLst>
            <a:ext uri="{FF2B5EF4-FFF2-40B4-BE49-F238E27FC236}">
              <a16:creationId xmlns:a16="http://schemas.microsoft.com/office/drawing/2014/main" id="{00000000-0008-0000-0000-0000D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24" name="Picture 11" hidden="1">
          <a:extLst>
            <a:ext uri="{FF2B5EF4-FFF2-40B4-BE49-F238E27FC236}">
              <a16:creationId xmlns:a16="http://schemas.microsoft.com/office/drawing/2014/main" id="{00000000-0008-0000-0000-0000D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26" name="Picture 11" hidden="1">
          <a:extLst>
            <a:ext uri="{FF2B5EF4-FFF2-40B4-BE49-F238E27FC236}">
              <a16:creationId xmlns:a16="http://schemas.microsoft.com/office/drawing/2014/main" id="{00000000-0008-0000-0000-0000D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28" name="Picture 11" hidden="1">
          <a:extLst>
            <a:ext uri="{FF2B5EF4-FFF2-40B4-BE49-F238E27FC236}">
              <a16:creationId xmlns:a16="http://schemas.microsoft.com/office/drawing/2014/main" id="{00000000-0008-0000-0000-0000D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30" name="Picture 11" hidden="1">
          <a:extLst>
            <a:ext uri="{FF2B5EF4-FFF2-40B4-BE49-F238E27FC236}">
              <a16:creationId xmlns:a16="http://schemas.microsoft.com/office/drawing/2014/main" id="{00000000-0008-0000-0000-0000D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32" name="Picture 11" hidden="1">
          <a:extLst>
            <a:ext uri="{FF2B5EF4-FFF2-40B4-BE49-F238E27FC236}">
              <a16:creationId xmlns:a16="http://schemas.microsoft.com/office/drawing/2014/main" id="{00000000-0008-0000-0000-0000E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34" name="Picture 11" hidden="1">
          <a:extLst>
            <a:ext uri="{FF2B5EF4-FFF2-40B4-BE49-F238E27FC236}">
              <a16:creationId xmlns:a16="http://schemas.microsoft.com/office/drawing/2014/main" id="{00000000-0008-0000-0000-0000E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36" name="Picture 11" hidden="1">
          <a:extLst>
            <a:ext uri="{FF2B5EF4-FFF2-40B4-BE49-F238E27FC236}">
              <a16:creationId xmlns:a16="http://schemas.microsoft.com/office/drawing/2014/main" id="{00000000-0008-0000-0000-0000E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38" name="Picture 11" hidden="1">
          <a:extLst>
            <a:ext uri="{FF2B5EF4-FFF2-40B4-BE49-F238E27FC236}">
              <a16:creationId xmlns:a16="http://schemas.microsoft.com/office/drawing/2014/main" id="{00000000-0008-0000-0000-0000E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40" name="Picture 11" hidden="1">
          <a:extLst>
            <a:ext uri="{FF2B5EF4-FFF2-40B4-BE49-F238E27FC236}">
              <a16:creationId xmlns:a16="http://schemas.microsoft.com/office/drawing/2014/main" id="{00000000-0008-0000-0000-0000E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42" name="Picture 11" hidden="1">
          <a:extLst>
            <a:ext uri="{FF2B5EF4-FFF2-40B4-BE49-F238E27FC236}">
              <a16:creationId xmlns:a16="http://schemas.microsoft.com/office/drawing/2014/main" id="{00000000-0008-0000-0000-0000E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44" name="Picture 11" hidden="1">
          <a:extLst>
            <a:ext uri="{FF2B5EF4-FFF2-40B4-BE49-F238E27FC236}">
              <a16:creationId xmlns:a16="http://schemas.microsoft.com/office/drawing/2014/main" id="{00000000-0008-0000-0000-0000E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46" name="Picture 11" hidden="1">
          <a:extLst>
            <a:ext uri="{FF2B5EF4-FFF2-40B4-BE49-F238E27FC236}">
              <a16:creationId xmlns:a16="http://schemas.microsoft.com/office/drawing/2014/main" id="{00000000-0008-0000-0000-0000E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48" name="Picture 11" hidden="1">
          <a:extLst>
            <a:ext uri="{FF2B5EF4-FFF2-40B4-BE49-F238E27FC236}">
              <a16:creationId xmlns:a16="http://schemas.microsoft.com/office/drawing/2014/main" id="{00000000-0008-0000-0000-0000F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50" name="Picture 11" hidden="1">
          <a:extLst>
            <a:ext uri="{FF2B5EF4-FFF2-40B4-BE49-F238E27FC236}">
              <a16:creationId xmlns:a16="http://schemas.microsoft.com/office/drawing/2014/main" id="{00000000-0008-0000-0000-0000F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52" name="Picture 11" hidden="1">
          <a:extLst>
            <a:ext uri="{FF2B5EF4-FFF2-40B4-BE49-F238E27FC236}">
              <a16:creationId xmlns:a16="http://schemas.microsoft.com/office/drawing/2014/main" id="{00000000-0008-0000-0000-0000F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54" name="Picture 11" hidden="1">
          <a:extLst>
            <a:ext uri="{FF2B5EF4-FFF2-40B4-BE49-F238E27FC236}">
              <a16:creationId xmlns:a16="http://schemas.microsoft.com/office/drawing/2014/main" id="{00000000-0008-0000-0000-0000F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56" name="Picture 11" hidden="1">
          <a:extLst>
            <a:ext uri="{FF2B5EF4-FFF2-40B4-BE49-F238E27FC236}">
              <a16:creationId xmlns:a16="http://schemas.microsoft.com/office/drawing/2014/main" id="{00000000-0008-0000-0000-0000F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58" name="Picture 11" hidden="1">
          <a:extLst>
            <a:ext uri="{FF2B5EF4-FFF2-40B4-BE49-F238E27FC236}">
              <a16:creationId xmlns:a16="http://schemas.microsoft.com/office/drawing/2014/main" id="{00000000-0008-0000-0000-0000F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60" name="Picture 11" hidden="1">
          <a:extLst>
            <a:ext uri="{FF2B5EF4-FFF2-40B4-BE49-F238E27FC236}">
              <a16:creationId xmlns:a16="http://schemas.microsoft.com/office/drawing/2014/main" id="{00000000-0008-0000-0000-0000F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62" name="Picture 11" hidden="1">
          <a:extLst>
            <a:ext uri="{FF2B5EF4-FFF2-40B4-BE49-F238E27FC236}">
              <a16:creationId xmlns:a16="http://schemas.microsoft.com/office/drawing/2014/main" id="{00000000-0008-0000-0000-0000F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64" name="Picture 11" hidden="1">
          <a:extLst>
            <a:ext uri="{FF2B5EF4-FFF2-40B4-BE49-F238E27FC236}">
              <a16:creationId xmlns:a16="http://schemas.microsoft.com/office/drawing/2014/main" id="{00000000-0008-0000-0000-00000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66" name="Picture 11" hidden="1">
          <a:extLst>
            <a:ext uri="{FF2B5EF4-FFF2-40B4-BE49-F238E27FC236}">
              <a16:creationId xmlns:a16="http://schemas.microsoft.com/office/drawing/2014/main" id="{00000000-0008-0000-0000-00000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68" name="Picture 11" hidden="1">
          <a:extLst>
            <a:ext uri="{FF2B5EF4-FFF2-40B4-BE49-F238E27FC236}">
              <a16:creationId xmlns:a16="http://schemas.microsoft.com/office/drawing/2014/main" id="{00000000-0008-0000-0000-00000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70" name="Picture 11" hidden="1">
          <a:extLst>
            <a:ext uri="{FF2B5EF4-FFF2-40B4-BE49-F238E27FC236}">
              <a16:creationId xmlns:a16="http://schemas.microsoft.com/office/drawing/2014/main" id="{00000000-0008-0000-0000-00000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72" name="Picture 11" hidden="1">
          <a:extLst>
            <a:ext uri="{FF2B5EF4-FFF2-40B4-BE49-F238E27FC236}">
              <a16:creationId xmlns:a16="http://schemas.microsoft.com/office/drawing/2014/main" id="{00000000-0008-0000-0000-00000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74" name="Picture 4873" hidden="1">
          <a:extLst>
            <a:ext uri="{FF2B5EF4-FFF2-40B4-BE49-F238E27FC236}">
              <a16:creationId xmlns:a16="http://schemas.microsoft.com/office/drawing/2014/main" id="{00000000-0008-0000-0000-00000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76" name="Picture 11" hidden="1">
          <a:extLst>
            <a:ext uri="{FF2B5EF4-FFF2-40B4-BE49-F238E27FC236}">
              <a16:creationId xmlns:a16="http://schemas.microsoft.com/office/drawing/2014/main" id="{00000000-0008-0000-0000-00000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78" name="Picture 11" hidden="1">
          <a:extLst>
            <a:ext uri="{FF2B5EF4-FFF2-40B4-BE49-F238E27FC236}">
              <a16:creationId xmlns:a16="http://schemas.microsoft.com/office/drawing/2014/main" id="{00000000-0008-0000-0000-00000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80" name="Picture 11" hidden="1">
          <a:extLst>
            <a:ext uri="{FF2B5EF4-FFF2-40B4-BE49-F238E27FC236}">
              <a16:creationId xmlns:a16="http://schemas.microsoft.com/office/drawing/2014/main" id="{00000000-0008-0000-0000-00001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82" name="Picture 11" hidden="1">
          <a:extLst>
            <a:ext uri="{FF2B5EF4-FFF2-40B4-BE49-F238E27FC236}">
              <a16:creationId xmlns:a16="http://schemas.microsoft.com/office/drawing/2014/main" id="{00000000-0008-0000-0000-00001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84" name="Picture 11" hidden="1">
          <a:extLst>
            <a:ext uri="{FF2B5EF4-FFF2-40B4-BE49-F238E27FC236}">
              <a16:creationId xmlns:a16="http://schemas.microsoft.com/office/drawing/2014/main" id="{00000000-0008-0000-0000-00001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86" name="Picture 11" hidden="1">
          <a:extLst>
            <a:ext uri="{FF2B5EF4-FFF2-40B4-BE49-F238E27FC236}">
              <a16:creationId xmlns:a16="http://schemas.microsoft.com/office/drawing/2014/main" id="{00000000-0008-0000-0000-00001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88" name="Picture 11" hidden="1">
          <a:extLst>
            <a:ext uri="{FF2B5EF4-FFF2-40B4-BE49-F238E27FC236}">
              <a16:creationId xmlns:a16="http://schemas.microsoft.com/office/drawing/2014/main" id="{00000000-0008-0000-0000-00001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90" name="Picture 11" hidden="1">
          <a:extLst>
            <a:ext uri="{FF2B5EF4-FFF2-40B4-BE49-F238E27FC236}">
              <a16:creationId xmlns:a16="http://schemas.microsoft.com/office/drawing/2014/main" id="{00000000-0008-0000-0000-00001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92" name="Picture 11" hidden="1">
          <a:extLst>
            <a:ext uri="{FF2B5EF4-FFF2-40B4-BE49-F238E27FC236}">
              <a16:creationId xmlns:a16="http://schemas.microsoft.com/office/drawing/2014/main" id="{00000000-0008-0000-0000-00001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94" name="Picture 11" hidden="1">
          <a:extLst>
            <a:ext uri="{FF2B5EF4-FFF2-40B4-BE49-F238E27FC236}">
              <a16:creationId xmlns:a16="http://schemas.microsoft.com/office/drawing/2014/main" id="{00000000-0008-0000-0000-00001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96" name="Picture 11" hidden="1">
          <a:extLst>
            <a:ext uri="{FF2B5EF4-FFF2-40B4-BE49-F238E27FC236}">
              <a16:creationId xmlns:a16="http://schemas.microsoft.com/office/drawing/2014/main" id="{00000000-0008-0000-0000-00002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98" name="Picture 11" hidden="1">
          <a:extLst>
            <a:ext uri="{FF2B5EF4-FFF2-40B4-BE49-F238E27FC236}">
              <a16:creationId xmlns:a16="http://schemas.microsoft.com/office/drawing/2014/main" id="{00000000-0008-0000-0000-00002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00" name="Picture 11" hidden="1">
          <a:extLst>
            <a:ext uri="{FF2B5EF4-FFF2-40B4-BE49-F238E27FC236}">
              <a16:creationId xmlns:a16="http://schemas.microsoft.com/office/drawing/2014/main" id="{00000000-0008-0000-0000-00002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02" name="Picture 11" hidden="1">
          <a:extLst>
            <a:ext uri="{FF2B5EF4-FFF2-40B4-BE49-F238E27FC236}">
              <a16:creationId xmlns:a16="http://schemas.microsoft.com/office/drawing/2014/main" id="{00000000-0008-0000-0000-00002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04" name="Picture 11" hidden="1">
          <a:extLst>
            <a:ext uri="{FF2B5EF4-FFF2-40B4-BE49-F238E27FC236}">
              <a16:creationId xmlns:a16="http://schemas.microsoft.com/office/drawing/2014/main" id="{00000000-0008-0000-0000-00002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06" name="Picture 11" hidden="1">
          <a:extLst>
            <a:ext uri="{FF2B5EF4-FFF2-40B4-BE49-F238E27FC236}">
              <a16:creationId xmlns:a16="http://schemas.microsoft.com/office/drawing/2014/main" id="{00000000-0008-0000-0000-00002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08" name="Picture 11" hidden="1">
          <a:extLst>
            <a:ext uri="{FF2B5EF4-FFF2-40B4-BE49-F238E27FC236}">
              <a16:creationId xmlns:a16="http://schemas.microsoft.com/office/drawing/2014/main" id="{00000000-0008-0000-0000-00002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10" name="Picture 11" hidden="1">
          <a:extLst>
            <a:ext uri="{FF2B5EF4-FFF2-40B4-BE49-F238E27FC236}">
              <a16:creationId xmlns:a16="http://schemas.microsoft.com/office/drawing/2014/main" id="{00000000-0008-0000-0000-00002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12" name="Picture 11" hidden="1">
          <a:extLst>
            <a:ext uri="{FF2B5EF4-FFF2-40B4-BE49-F238E27FC236}">
              <a16:creationId xmlns:a16="http://schemas.microsoft.com/office/drawing/2014/main" id="{00000000-0008-0000-0000-00003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14" name="Picture 11" hidden="1">
          <a:extLst>
            <a:ext uri="{FF2B5EF4-FFF2-40B4-BE49-F238E27FC236}">
              <a16:creationId xmlns:a16="http://schemas.microsoft.com/office/drawing/2014/main" id="{00000000-0008-0000-0000-00003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16" name="Picture 11" hidden="1">
          <a:extLst>
            <a:ext uri="{FF2B5EF4-FFF2-40B4-BE49-F238E27FC236}">
              <a16:creationId xmlns:a16="http://schemas.microsoft.com/office/drawing/2014/main" id="{00000000-0008-0000-0000-00003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18" name="Picture 11" hidden="1">
          <a:extLst>
            <a:ext uri="{FF2B5EF4-FFF2-40B4-BE49-F238E27FC236}">
              <a16:creationId xmlns:a16="http://schemas.microsoft.com/office/drawing/2014/main" id="{00000000-0008-0000-0000-00003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20" name="Picture 11" hidden="1">
          <a:extLst>
            <a:ext uri="{FF2B5EF4-FFF2-40B4-BE49-F238E27FC236}">
              <a16:creationId xmlns:a16="http://schemas.microsoft.com/office/drawing/2014/main" id="{00000000-0008-0000-0000-00003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22" name="Picture 11" hidden="1">
          <a:extLst>
            <a:ext uri="{FF2B5EF4-FFF2-40B4-BE49-F238E27FC236}">
              <a16:creationId xmlns:a16="http://schemas.microsoft.com/office/drawing/2014/main" id="{00000000-0008-0000-0000-00003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24" name="Picture 11" hidden="1">
          <a:extLst>
            <a:ext uri="{FF2B5EF4-FFF2-40B4-BE49-F238E27FC236}">
              <a16:creationId xmlns:a16="http://schemas.microsoft.com/office/drawing/2014/main" id="{00000000-0008-0000-0000-00003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26" name="Picture 11" hidden="1">
          <a:extLst>
            <a:ext uri="{FF2B5EF4-FFF2-40B4-BE49-F238E27FC236}">
              <a16:creationId xmlns:a16="http://schemas.microsoft.com/office/drawing/2014/main" id="{00000000-0008-0000-0000-00003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28" name="Picture 11" hidden="1">
          <a:extLst>
            <a:ext uri="{FF2B5EF4-FFF2-40B4-BE49-F238E27FC236}">
              <a16:creationId xmlns:a16="http://schemas.microsoft.com/office/drawing/2014/main" id="{00000000-0008-0000-0000-00004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30" name="Picture 11" hidden="1">
          <a:extLst>
            <a:ext uri="{FF2B5EF4-FFF2-40B4-BE49-F238E27FC236}">
              <a16:creationId xmlns:a16="http://schemas.microsoft.com/office/drawing/2014/main" id="{00000000-0008-0000-0000-00004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32" name="Picture 11" hidden="1">
          <a:extLst>
            <a:ext uri="{FF2B5EF4-FFF2-40B4-BE49-F238E27FC236}">
              <a16:creationId xmlns:a16="http://schemas.microsoft.com/office/drawing/2014/main" id="{00000000-0008-0000-0000-00004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34" name="Picture 11" hidden="1">
          <a:extLst>
            <a:ext uri="{FF2B5EF4-FFF2-40B4-BE49-F238E27FC236}">
              <a16:creationId xmlns:a16="http://schemas.microsoft.com/office/drawing/2014/main" id="{00000000-0008-0000-0000-00004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36" name="Picture 11" hidden="1">
          <a:extLst>
            <a:ext uri="{FF2B5EF4-FFF2-40B4-BE49-F238E27FC236}">
              <a16:creationId xmlns:a16="http://schemas.microsoft.com/office/drawing/2014/main" id="{00000000-0008-0000-0000-00004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38" name="Picture 11" hidden="1">
          <a:extLst>
            <a:ext uri="{FF2B5EF4-FFF2-40B4-BE49-F238E27FC236}">
              <a16:creationId xmlns:a16="http://schemas.microsoft.com/office/drawing/2014/main" id="{00000000-0008-0000-0000-00004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40" name="Picture 11" hidden="1">
          <a:extLst>
            <a:ext uri="{FF2B5EF4-FFF2-40B4-BE49-F238E27FC236}">
              <a16:creationId xmlns:a16="http://schemas.microsoft.com/office/drawing/2014/main" id="{00000000-0008-0000-0000-00004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42" name="Picture 11" hidden="1">
          <a:extLst>
            <a:ext uri="{FF2B5EF4-FFF2-40B4-BE49-F238E27FC236}">
              <a16:creationId xmlns:a16="http://schemas.microsoft.com/office/drawing/2014/main" id="{00000000-0008-0000-0000-00004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44" name="Picture 11" hidden="1">
          <a:extLst>
            <a:ext uri="{FF2B5EF4-FFF2-40B4-BE49-F238E27FC236}">
              <a16:creationId xmlns:a16="http://schemas.microsoft.com/office/drawing/2014/main" id="{00000000-0008-0000-0000-00005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46" name="Picture 11" hidden="1">
          <a:extLst>
            <a:ext uri="{FF2B5EF4-FFF2-40B4-BE49-F238E27FC236}">
              <a16:creationId xmlns:a16="http://schemas.microsoft.com/office/drawing/2014/main" id="{00000000-0008-0000-0000-00005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48" name="Picture 11" hidden="1">
          <a:extLst>
            <a:ext uri="{FF2B5EF4-FFF2-40B4-BE49-F238E27FC236}">
              <a16:creationId xmlns:a16="http://schemas.microsoft.com/office/drawing/2014/main" id="{00000000-0008-0000-0000-00005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50" name="Picture 11" hidden="1">
          <a:extLst>
            <a:ext uri="{FF2B5EF4-FFF2-40B4-BE49-F238E27FC236}">
              <a16:creationId xmlns:a16="http://schemas.microsoft.com/office/drawing/2014/main" id="{00000000-0008-0000-0000-00005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52" name="Picture 11" hidden="1">
          <a:extLst>
            <a:ext uri="{FF2B5EF4-FFF2-40B4-BE49-F238E27FC236}">
              <a16:creationId xmlns:a16="http://schemas.microsoft.com/office/drawing/2014/main" id="{00000000-0008-0000-0000-00005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54" name="Picture 11" hidden="1">
          <a:extLst>
            <a:ext uri="{FF2B5EF4-FFF2-40B4-BE49-F238E27FC236}">
              <a16:creationId xmlns:a16="http://schemas.microsoft.com/office/drawing/2014/main" id="{00000000-0008-0000-0000-00005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56" name="Picture 11" hidden="1">
          <a:extLst>
            <a:ext uri="{FF2B5EF4-FFF2-40B4-BE49-F238E27FC236}">
              <a16:creationId xmlns:a16="http://schemas.microsoft.com/office/drawing/2014/main" id="{00000000-0008-0000-0000-00005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58" name="Picture 11" hidden="1">
          <a:extLst>
            <a:ext uri="{FF2B5EF4-FFF2-40B4-BE49-F238E27FC236}">
              <a16:creationId xmlns:a16="http://schemas.microsoft.com/office/drawing/2014/main" id="{00000000-0008-0000-0000-00005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60" name="Picture 11" hidden="1">
          <a:extLst>
            <a:ext uri="{FF2B5EF4-FFF2-40B4-BE49-F238E27FC236}">
              <a16:creationId xmlns:a16="http://schemas.microsoft.com/office/drawing/2014/main" id="{00000000-0008-0000-0000-00006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62" name="Picture 11" hidden="1">
          <a:extLst>
            <a:ext uri="{FF2B5EF4-FFF2-40B4-BE49-F238E27FC236}">
              <a16:creationId xmlns:a16="http://schemas.microsoft.com/office/drawing/2014/main" id="{00000000-0008-0000-0000-00006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64" name="Picture 11" hidden="1">
          <a:extLst>
            <a:ext uri="{FF2B5EF4-FFF2-40B4-BE49-F238E27FC236}">
              <a16:creationId xmlns:a16="http://schemas.microsoft.com/office/drawing/2014/main" id="{00000000-0008-0000-0000-00006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66" name="Picture 11" hidden="1">
          <a:extLst>
            <a:ext uri="{FF2B5EF4-FFF2-40B4-BE49-F238E27FC236}">
              <a16:creationId xmlns:a16="http://schemas.microsoft.com/office/drawing/2014/main" id="{00000000-0008-0000-0000-00006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68" name="Picture 11" hidden="1">
          <a:extLst>
            <a:ext uri="{FF2B5EF4-FFF2-40B4-BE49-F238E27FC236}">
              <a16:creationId xmlns:a16="http://schemas.microsoft.com/office/drawing/2014/main" id="{00000000-0008-0000-0000-00006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70" name="Picture 11" hidden="1">
          <a:extLst>
            <a:ext uri="{FF2B5EF4-FFF2-40B4-BE49-F238E27FC236}">
              <a16:creationId xmlns:a16="http://schemas.microsoft.com/office/drawing/2014/main" id="{00000000-0008-0000-0000-00006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72" name="Picture 11" hidden="1">
          <a:extLst>
            <a:ext uri="{FF2B5EF4-FFF2-40B4-BE49-F238E27FC236}">
              <a16:creationId xmlns:a16="http://schemas.microsoft.com/office/drawing/2014/main" id="{00000000-0008-0000-0000-00006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4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3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4974" name="Picture 11" hidden="1">
          <a:extLst>
            <a:ext uri="{FF2B5EF4-FFF2-40B4-BE49-F238E27FC236}">
              <a16:creationId xmlns:a16="http://schemas.microsoft.com/office/drawing/2014/main" id="{00000000-0008-0000-0000-00006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76" name="Picture 11" hidden="1">
          <a:extLst>
            <a:ext uri="{FF2B5EF4-FFF2-40B4-BE49-F238E27FC236}">
              <a16:creationId xmlns:a16="http://schemas.microsoft.com/office/drawing/2014/main" id="{00000000-0008-0000-0000-00007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78" name="Picture 11" hidden="1">
          <a:extLst>
            <a:ext uri="{FF2B5EF4-FFF2-40B4-BE49-F238E27FC236}">
              <a16:creationId xmlns:a16="http://schemas.microsoft.com/office/drawing/2014/main" id="{00000000-0008-0000-0000-00007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80" name="Picture 11" hidden="1">
          <a:extLst>
            <a:ext uri="{FF2B5EF4-FFF2-40B4-BE49-F238E27FC236}">
              <a16:creationId xmlns:a16="http://schemas.microsoft.com/office/drawing/2014/main" id="{00000000-0008-0000-0000-00007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82" name="Picture 4981" hidden="1">
          <a:extLst>
            <a:ext uri="{FF2B5EF4-FFF2-40B4-BE49-F238E27FC236}">
              <a16:creationId xmlns:a16="http://schemas.microsoft.com/office/drawing/2014/main" id="{00000000-0008-0000-0000-00007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84" name="Picture 11" hidden="1">
          <a:extLst>
            <a:ext uri="{FF2B5EF4-FFF2-40B4-BE49-F238E27FC236}">
              <a16:creationId xmlns:a16="http://schemas.microsoft.com/office/drawing/2014/main" id="{00000000-0008-0000-0000-00007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86" name="Picture 11" hidden="1">
          <a:extLst>
            <a:ext uri="{FF2B5EF4-FFF2-40B4-BE49-F238E27FC236}">
              <a16:creationId xmlns:a16="http://schemas.microsoft.com/office/drawing/2014/main" id="{00000000-0008-0000-0000-00007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88" name="Picture 11" hidden="1">
          <a:extLst>
            <a:ext uri="{FF2B5EF4-FFF2-40B4-BE49-F238E27FC236}">
              <a16:creationId xmlns:a16="http://schemas.microsoft.com/office/drawing/2014/main" id="{00000000-0008-0000-0000-00007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90" name="Picture 11" hidden="1">
          <a:extLst>
            <a:ext uri="{FF2B5EF4-FFF2-40B4-BE49-F238E27FC236}">
              <a16:creationId xmlns:a16="http://schemas.microsoft.com/office/drawing/2014/main" id="{00000000-0008-0000-0000-00007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92" name="Picture 11" hidden="1">
          <a:extLst>
            <a:ext uri="{FF2B5EF4-FFF2-40B4-BE49-F238E27FC236}">
              <a16:creationId xmlns:a16="http://schemas.microsoft.com/office/drawing/2014/main" id="{00000000-0008-0000-0000-00008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94" name="Picture 11" hidden="1">
          <a:extLst>
            <a:ext uri="{FF2B5EF4-FFF2-40B4-BE49-F238E27FC236}">
              <a16:creationId xmlns:a16="http://schemas.microsoft.com/office/drawing/2014/main" id="{00000000-0008-0000-0000-00008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96" name="Picture 11" hidden="1">
          <a:extLst>
            <a:ext uri="{FF2B5EF4-FFF2-40B4-BE49-F238E27FC236}">
              <a16:creationId xmlns:a16="http://schemas.microsoft.com/office/drawing/2014/main" id="{00000000-0008-0000-0000-00008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98" name="Picture 11" hidden="1">
          <a:extLst>
            <a:ext uri="{FF2B5EF4-FFF2-40B4-BE49-F238E27FC236}">
              <a16:creationId xmlns:a16="http://schemas.microsoft.com/office/drawing/2014/main" id="{00000000-0008-0000-0000-00008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00" name="Picture 11" hidden="1">
          <a:extLst>
            <a:ext uri="{FF2B5EF4-FFF2-40B4-BE49-F238E27FC236}">
              <a16:creationId xmlns:a16="http://schemas.microsoft.com/office/drawing/2014/main" id="{00000000-0008-0000-0000-00008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02" name="Picture 11" hidden="1">
          <a:extLst>
            <a:ext uri="{FF2B5EF4-FFF2-40B4-BE49-F238E27FC236}">
              <a16:creationId xmlns:a16="http://schemas.microsoft.com/office/drawing/2014/main" id="{00000000-0008-0000-0000-00008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04" name="Picture 11" hidden="1">
          <a:extLst>
            <a:ext uri="{FF2B5EF4-FFF2-40B4-BE49-F238E27FC236}">
              <a16:creationId xmlns:a16="http://schemas.microsoft.com/office/drawing/2014/main" id="{00000000-0008-0000-0000-00008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06" name="Picture 11" hidden="1">
          <a:extLst>
            <a:ext uri="{FF2B5EF4-FFF2-40B4-BE49-F238E27FC236}">
              <a16:creationId xmlns:a16="http://schemas.microsoft.com/office/drawing/2014/main" id="{00000000-0008-0000-0000-00008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08" name="Picture 11" hidden="1">
          <a:extLst>
            <a:ext uri="{FF2B5EF4-FFF2-40B4-BE49-F238E27FC236}">
              <a16:creationId xmlns:a16="http://schemas.microsoft.com/office/drawing/2014/main" id="{00000000-0008-0000-0000-00009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10" name="Picture 11" hidden="1">
          <a:extLst>
            <a:ext uri="{FF2B5EF4-FFF2-40B4-BE49-F238E27FC236}">
              <a16:creationId xmlns:a16="http://schemas.microsoft.com/office/drawing/2014/main" id="{00000000-0008-0000-0000-00009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12" name="Picture 11" hidden="1">
          <a:extLst>
            <a:ext uri="{FF2B5EF4-FFF2-40B4-BE49-F238E27FC236}">
              <a16:creationId xmlns:a16="http://schemas.microsoft.com/office/drawing/2014/main" id="{00000000-0008-0000-0000-00009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14" name="Picture 11" hidden="1">
          <a:extLst>
            <a:ext uri="{FF2B5EF4-FFF2-40B4-BE49-F238E27FC236}">
              <a16:creationId xmlns:a16="http://schemas.microsoft.com/office/drawing/2014/main" id="{00000000-0008-0000-0000-00009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16" name="Picture 11" hidden="1">
          <a:extLst>
            <a:ext uri="{FF2B5EF4-FFF2-40B4-BE49-F238E27FC236}">
              <a16:creationId xmlns:a16="http://schemas.microsoft.com/office/drawing/2014/main" id="{00000000-0008-0000-0000-00009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18" name="Picture 11" hidden="1">
          <a:extLst>
            <a:ext uri="{FF2B5EF4-FFF2-40B4-BE49-F238E27FC236}">
              <a16:creationId xmlns:a16="http://schemas.microsoft.com/office/drawing/2014/main" id="{00000000-0008-0000-0000-00009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20" name="Picture 11" hidden="1">
          <a:extLst>
            <a:ext uri="{FF2B5EF4-FFF2-40B4-BE49-F238E27FC236}">
              <a16:creationId xmlns:a16="http://schemas.microsoft.com/office/drawing/2014/main" id="{00000000-0008-0000-0000-00009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22" name="Picture 11" hidden="1">
          <a:extLst>
            <a:ext uri="{FF2B5EF4-FFF2-40B4-BE49-F238E27FC236}">
              <a16:creationId xmlns:a16="http://schemas.microsoft.com/office/drawing/2014/main" id="{00000000-0008-0000-0000-00009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24" name="Picture 11" hidden="1">
          <a:extLst>
            <a:ext uri="{FF2B5EF4-FFF2-40B4-BE49-F238E27FC236}">
              <a16:creationId xmlns:a16="http://schemas.microsoft.com/office/drawing/2014/main" id="{00000000-0008-0000-0000-0000A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26" name="Picture 11" hidden="1">
          <a:extLst>
            <a:ext uri="{FF2B5EF4-FFF2-40B4-BE49-F238E27FC236}">
              <a16:creationId xmlns:a16="http://schemas.microsoft.com/office/drawing/2014/main" id="{00000000-0008-0000-0000-0000A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28" name="Picture 11" hidden="1">
          <a:extLst>
            <a:ext uri="{FF2B5EF4-FFF2-40B4-BE49-F238E27FC236}">
              <a16:creationId xmlns:a16="http://schemas.microsoft.com/office/drawing/2014/main" id="{00000000-0008-0000-0000-0000A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30" name="Picture 11" hidden="1">
          <a:extLst>
            <a:ext uri="{FF2B5EF4-FFF2-40B4-BE49-F238E27FC236}">
              <a16:creationId xmlns:a16="http://schemas.microsoft.com/office/drawing/2014/main" id="{00000000-0008-0000-0000-0000A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32" name="Picture 11" hidden="1">
          <a:extLst>
            <a:ext uri="{FF2B5EF4-FFF2-40B4-BE49-F238E27FC236}">
              <a16:creationId xmlns:a16="http://schemas.microsoft.com/office/drawing/2014/main" id="{00000000-0008-0000-0000-0000A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34" name="Picture 11" hidden="1">
          <a:extLst>
            <a:ext uri="{FF2B5EF4-FFF2-40B4-BE49-F238E27FC236}">
              <a16:creationId xmlns:a16="http://schemas.microsoft.com/office/drawing/2014/main" id="{00000000-0008-0000-0000-0000A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36" name="Picture 11" hidden="1">
          <a:extLst>
            <a:ext uri="{FF2B5EF4-FFF2-40B4-BE49-F238E27FC236}">
              <a16:creationId xmlns:a16="http://schemas.microsoft.com/office/drawing/2014/main" id="{00000000-0008-0000-0000-0000A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38" name="Picture 11" hidden="1">
          <a:extLst>
            <a:ext uri="{FF2B5EF4-FFF2-40B4-BE49-F238E27FC236}">
              <a16:creationId xmlns:a16="http://schemas.microsoft.com/office/drawing/2014/main" id="{00000000-0008-0000-0000-0000A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40" name="Picture 11" hidden="1">
          <a:extLst>
            <a:ext uri="{FF2B5EF4-FFF2-40B4-BE49-F238E27FC236}">
              <a16:creationId xmlns:a16="http://schemas.microsoft.com/office/drawing/2014/main" id="{00000000-0008-0000-0000-0000B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42" name="Picture 11" hidden="1">
          <a:extLst>
            <a:ext uri="{FF2B5EF4-FFF2-40B4-BE49-F238E27FC236}">
              <a16:creationId xmlns:a16="http://schemas.microsoft.com/office/drawing/2014/main" id="{00000000-0008-0000-0000-0000B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44" name="Picture 11" hidden="1">
          <a:extLst>
            <a:ext uri="{FF2B5EF4-FFF2-40B4-BE49-F238E27FC236}">
              <a16:creationId xmlns:a16="http://schemas.microsoft.com/office/drawing/2014/main" id="{00000000-0008-0000-0000-0000B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46" name="Picture 11" hidden="1">
          <a:extLst>
            <a:ext uri="{FF2B5EF4-FFF2-40B4-BE49-F238E27FC236}">
              <a16:creationId xmlns:a16="http://schemas.microsoft.com/office/drawing/2014/main" id="{00000000-0008-0000-0000-0000B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48" name="Picture 11" hidden="1">
          <a:extLst>
            <a:ext uri="{FF2B5EF4-FFF2-40B4-BE49-F238E27FC236}">
              <a16:creationId xmlns:a16="http://schemas.microsoft.com/office/drawing/2014/main" id="{00000000-0008-0000-0000-0000B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50" name="Picture 11" hidden="1">
          <a:extLst>
            <a:ext uri="{FF2B5EF4-FFF2-40B4-BE49-F238E27FC236}">
              <a16:creationId xmlns:a16="http://schemas.microsoft.com/office/drawing/2014/main" id="{00000000-0008-0000-0000-0000B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52" name="Picture 11" hidden="1">
          <a:extLst>
            <a:ext uri="{FF2B5EF4-FFF2-40B4-BE49-F238E27FC236}">
              <a16:creationId xmlns:a16="http://schemas.microsoft.com/office/drawing/2014/main" id="{00000000-0008-0000-0000-0000B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54" name="Picture 11" hidden="1">
          <a:extLst>
            <a:ext uri="{FF2B5EF4-FFF2-40B4-BE49-F238E27FC236}">
              <a16:creationId xmlns:a16="http://schemas.microsoft.com/office/drawing/2014/main" id="{00000000-0008-0000-0000-0000B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56" name="Picture 11" hidden="1">
          <a:extLst>
            <a:ext uri="{FF2B5EF4-FFF2-40B4-BE49-F238E27FC236}">
              <a16:creationId xmlns:a16="http://schemas.microsoft.com/office/drawing/2014/main" id="{00000000-0008-0000-0000-0000C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58" name="Picture 11" hidden="1">
          <a:extLst>
            <a:ext uri="{FF2B5EF4-FFF2-40B4-BE49-F238E27FC236}">
              <a16:creationId xmlns:a16="http://schemas.microsoft.com/office/drawing/2014/main" id="{00000000-0008-0000-0000-0000C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60" name="Picture 11" hidden="1">
          <a:extLst>
            <a:ext uri="{FF2B5EF4-FFF2-40B4-BE49-F238E27FC236}">
              <a16:creationId xmlns:a16="http://schemas.microsoft.com/office/drawing/2014/main" id="{00000000-0008-0000-0000-0000C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62" name="Picture 11" hidden="1">
          <a:extLst>
            <a:ext uri="{FF2B5EF4-FFF2-40B4-BE49-F238E27FC236}">
              <a16:creationId xmlns:a16="http://schemas.microsoft.com/office/drawing/2014/main" id="{00000000-0008-0000-0000-0000C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64" name="Picture 11" hidden="1">
          <a:extLst>
            <a:ext uri="{FF2B5EF4-FFF2-40B4-BE49-F238E27FC236}">
              <a16:creationId xmlns:a16="http://schemas.microsoft.com/office/drawing/2014/main" id="{00000000-0008-0000-0000-0000C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66" name="Picture 11" hidden="1">
          <a:extLst>
            <a:ext uri="{FF2B5EF4-FFF2-40B4-BE49-F238E27FC236}">
              <a16:creationId xmlns:a16="http://schemas.microsoft.com/office/drawing/2014/main" id="{00000000-0008-0000-0000-0000C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68" name="Picture 11" hidden="1">
          <a:extLst>
            <a:ext uri="{FF2B5EF4-FFF2-40B4-BE49-F238E27FC236}">
              <a16:creationId xmlns:a16="http://schemas.microsoft.com/office/drawing/2014/main" id="{00000000-0008-0000-0000-0000C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70" name="Picture 11" hidden="1">
          <a:extLst>
            <a:ext uri="{FF2B5EF4-FFF2-40B4-BE49-F238E27FC236}">
              <a16:creationId xmlns:a16="http://schemas.microsoft.com/office/drawing/2014/main" id="{00000000-0008-0000-0000-0000C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72" name="Picture 11" hidden="1">
          <a:extLst>
            <a:ext uri="{FF2B5EF4-FFF2-40B4-BE49-F238E27FC236}">
              <a16:creationId xmlns:a16="http://schemas.microsoft.com/office/drawing/2014/main" id="{00000000-0008-0000-0000-0000D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74" name="Picture 11" hidden="1">
          <a:extLst>
            <a:ext uri="{FF2B5EF4-FFF2-40B4-BE49-F238E27FC236}">
              <a16:creationId xmlns:a16="http://schemas.microsoft.com/office/drawing/2014/main" id="{00000000-0008-0000-0000-0000D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76" name="Picture 11" hidden="1">
          <a:extLst>
            <a:ext uri="{FF2B5EF4-FFF2-40B4-BE49-F238E27FC236}">
              <a16:creationId xmlns:a16="http://schemas.microsoft.com/office/drawing/2014/main" id="{00000000-0008-0000-0000-0000D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78" name="Picture 11" hidden="1">
          <a:extLst>
            <a:ext uri="{FF2B5EF4-FFF2-40B4-BE49-F238E27FC236}">
              <a16:creationId xmlns:a16="http://schemas.microsoft.com/office/drawing/2014/main" id="{00000000-0008-0000-0000-0000D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80" name="Picture 11" hidden="1">
          <a:extLst>
            <a:ext uri="{FF2B5EF4-FFF2-40B4-BE49-F238E27FC236}">
              <a16:creationId xmlns:a16="http://schemas.microsoft.com/office/drawing/2014/main" id="{00000000-0008-0000-0000-0000D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82" name="Picture 11" hidden="1">
          <a:extLst>
            <a:ext uri="{FF2B5EF4-FFF2-40B4-BE49-F238E27FC236}">
              <a16:creationId xmlns:a16="http://schemas.microsoft.com/office/drawing/2014/main" id="{00000000-0008-0000-0000-0000D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84" name="Picture 11" hidden="1">
          <a:extLst>
            <a:ext uri="{FF2B5EF4-FFF2-40B4-BE49-F238E27FC236}">
              <a16:creationId xmlns:a16="http://schemas.microsoft.com/office/drawing/2014/main" id="{00000000-0008-0000-0000-0000D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86" name="Picture 11" hidden="1">
          <a:extLst>
            <a:ext uri="{FF2B5EF4-FFF2-40B4-BE49-F238E27FC236}">
              <a16:creationId xmlns:a16="http://schemas.microsoft.com/office/drawing/2014/main" id="{00000000-0008-0000-0000-0000D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88" name="Picture 11" hidden="1">
          <a:extLst>
            <a:ext uri="{FF2B5EF4-FFF2-40B4-BE49-F238E27FC236}">
              <a16:creationId xmlns:a16="http://schemas.microsoft.com/office/drawing/2014/main" id="{00000000-0008-0000-0000-0000E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90" name="Picture 5089" hidden="1">
          <a:extLst>
            <a:ext uri="{FF2B5EF4-FFF2-40B4-BE49-F238E27FC236}">
              <a16:creationId xmlns:a16="http://schemas.microsoft.com/office/drawing/2014/main" id="{00000000-0008-0000-0000-0000E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92" name="Picture 11" hidden="1">
          <a:extLst>
            <a:ext uri="{FF2B5EF4-FFF2-40B4-BE49-F238E27FC236}">
              <a16:creationId xmlns:a16="http://schemas.microsoft.com/office/drawing/2014/main" id="{00000000-0008-0000-0000-0000E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94" name="Picture 11" hidden="1">
          <a:extLst>
            <a:ext uri="{FF2B5EF4-FFF2-40B4-BE49-F238E27FC236}">
              <a16:creationId xmlns:a16="http://schemas.microsoft.com/office/drawing/2014/main" id="{00000000-0008-0000-0000-0000E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96" name="Picture 11" hidden="1">
          <a:extLst>
            <a:ext uri="{FF2B5EF4-FFF2-40B4-BE49-F238E27FC236}">
              <a16:creationId xmlns:a16="http://schemas.microsoft.com/office/drawing/2014/main" id="{00000000-0008-0000-0000-0000E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98" name="Picture 11" hidden="1">
          <a:extLst>
            <a:ext uri="{FF2B5EF4-FFF2-40B4-BE49-F238E27FC236}">
              <a16:creationId xmlns:a16="http://schemas.microsoft.com/office/drawing/2014/main" id="{00000000-0008-0000-0000-0000E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00" name="Picture 11" hidden="1">
          <a:extLst>
            <a:ext uri="{FF2B5EF4-FFF2-40B4-BE49-F238E27FC236}">
              <a16:creationId xmlns:a16="http://schemas.microsoft.com/office/drawing/2014/main" id="{00000000-0008-0000-0000-0000E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02" name="Picture 11" hidden="1">
          <a:extLst>
            <a:ext uri="{FF2B5EF4-FFF2-40B4-BE49-F238E27FC236}">
              <a16:creationId xmlns:a16="http://schemas.microsoft.com/office/drawing/2014/main" id="{00000000-0008-0000-0000-0000E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04" name="Picture 11" hidden="1">
          <a:extLst>
            <a:ext uri="{FF2B5EF4-FFF2-40B4-BE49-F238E27FC236}">
              <a16:creationId xmlns:a16="http://schemas.microsoft.com/office/drawing/2014/main" id="{00000000-0008-0000-0000-0000F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06" name="Picture 11" hidden="1">
          <a:extLst>
            <a:ext uri="{FF2B5EF4-FFF2-40B4-BE49-F238E27FC236}">
              <a16:creationId xmlns:a16="http://schemas.microsoft.com/office/drawing/2014/main" id="{00000000-0008-0000-0000-0000F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08" name="Picture 11" hidden="1">
          <a:extLst>
            <a:ext uri="{FF2B5EF4-FFF2-40B4-BE49-F238E27FC236}">
              <a16:creationId xmlns:a16="http://schemas.microsoft.com/office/drawing/2014/main" id="{00000000-0008-0000-0000-0000F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10" name="Picture 11" hidden="1">
          <a:extLst>
            <a:ext uri="{FF2B5EF4-FFF2-40B4-BE49-F238E27FC236}">
              <a16:creationId xmlns:a16="http://schemas.microsoft.com/office/drawing/2014/main" id="{00000000-0008-0000-0000-0000F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12" name="Picture 11" hidden="1">
          <a:extLst>
            <a:ext uri="{FF2B5EF4-FFF2-40B4-BE49-F238E27FC236}">
              <a16:creationId xmlns:a16="http://schemas.microsoft.com/office/drawing/2014/main" id="{00000000-0008-0000-0000-0000F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14" name="Picture 11" hidden="1">
          <a:extLst>
            <a:ext uri="{FF2B5EF4-FFF2-40B4-BE49-F238E27FC236}">
              <a16:creationId xmlns:a16="http://schemas.microsoft.com/office/drawing/2014/main" id="{00000000-0008-0000-0000-0000F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16" name="Picture 11" hidden="1">
          <a:extLst>
            <a:ext uri="{FF2B5EF4-FFF2-40B4-BE49-F238E27FC236}">
              <a16:creationId xmlns:a16="http://schemas.microsoft.com/office/drawing/2014/main" id="{00000000-0008-0000-0000-0000F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18" name="Picture 11" hidden="1">
          <a:extLst>
            <a:ext uri="{FF2B5EF4-FFF2-40B4-BE49-F238E27FC236}">
              <a16:creationId xmlns:a16="http://schemas.microsoft.com/office/drawing/2014/main" id="{00000000-0008-0000-0000-0000F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20" name="Picture 11" hidden="1">
          <a:extLst>
            <a:ext uri="{FF2B5EF4-FFF2-40B4-BE49-F238E27FC236}">
              <a16:creationId xmlns:a16="http://schemas.microsoft.com/office/drawing/2014/main" id="{00000000-0008-0000-0000-00000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22" name="Picture 11" hidden="1">
          <a:extLst>
            <a:ext uri="{FF2B5EF4-FFF2-40B4-BE49-F238E27FC236}">
              <a16:creationId xmlns:a16="http://schemas.microsoft.com/office/drawing/2014/main" id="{00000000-0008-0000-0000-00000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24" name="Picture 11" hidden="1">
          <a:extLst>
            <a:ext uri="{FF2B5EF4-FFF2-40B4-BE49-F238E27FC236}">
              <a16:creationId xmlns:a16="http://schemas.microsoft.com/office/drawing/2014/main" id="{00000000-0008-0000-0000-00000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26" name="Picture 11" hidden="1">
          <a:extLst>
            <a:ext uri="{FF2B5EF4-FFF2-40B4-BE49-F238E27FC236}">
              <a16:creationId xmlns:a16="http://schemas.microsoft.com/office/drawing/2014/main" id="{00000000-0008-0000-0000-00000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28" name="Picture 11" hidden="1">
          <a:extLst>
            <a:ext uri="{FF2B5EF4-FFF2-40B4-BE49-F238E27FC236}">
              <a16:creationId xmlns:a16="http://schemas.microsoft.com/office/drawing/2014/main" id="{00000000-0008-0000-0000-00000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30" name="Picture 11" hidden="1">
          <a:extLst>
            <a:ext uri="{FF2B5EF4-FFF2-40B4-BE49-F238E27FC236}">
              <a16:creationId xmlns:a16="http://schemas.microsoft.com/office/drawing/2014/main" id="{00000000-0008-0000-0000-00000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32" name="Picture 11" hidden="1">
          <a:extLst>
            <a:ext uri="{FF2B5EF4-FFF2-40B4-BE49-F238E27FC236}">
              <a16:creationId xmlns:a16="http://schemas.microsoft.com/office/drawing/2014/main" id="{00000000-0008-0000-0000-00000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34" name="Picture 11" hidden="1">
          <a:extLst>
            <a:ext uri="{FF2B5EF4-FFF2-40B4-BE49-F238E27FC236}">
              <a16:creationId xmlns:a16="http://schemas.microsoft.com/office/drawing/2014/main" id="{00000000-0008-0000-0000-00000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36" name="Picture 11" hidden="1">
          <a:extLst>
            <a:ext uri="{FF2B5EF4-FFF2-40B4-BE49-F238E27FC236}">
              <a16:creationId xmlns:a16="http://schemas.microsoft.com/office/drawing/2014/main" id="{00000000-0008-0000-0000-00001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38" name="Picture 11" hidden="1">
          <a:extLst>
            <a:ext uri="{FF2B5EF4-FFF2-40B4-BE49-F238E27FC236}">
              <a16:creationId xmlns:a16="http://schemas.microsoft.com/office/drawing/2014/main" id="{00000000-0008-0000-0000-00001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40" name="Picture 11" hidden="1">
          <a:extLst>
            <a:ext uri="{FF2B5EF4-FFF2-40B4-BE49-F238E27FC236}">
              <a16:creationId xmlns:a16="http://schemas.microsoft.com/office/drawing/2014/main" id="{00000000-0008-0000-0000-00001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42" name="Picture 11" hidden="1">
          <a:extLst>
            <a:ext uri="{FF2B5EF4-FFF2-40B4-BE49-F238E27FC236}">
              <a16:creationId xmlns:a16="http://schemas.microsoft.com/office/drawing/2014/main" id="{00000000-0008-0000-0000-00001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44" name="Picture 11" hidden="1">
          <a:extLst>
            <a:ext uri="{FF2B5EF4-FFF2-40B4-BE49-F238E27FC236}">
              <a16:creationId xmlns:a16="http://schemas.microsoft.com/office/drawing/2014/main" id="{00000000-0008-0000-0000-00001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46" name="Picture 11" hidden="1">
          <a:extLst>
            <a:ext uri="{FF2B5EF4-FFF2-40B4-BE49-F238E27FC236}">
              <a16:creationId xmlns:a16="http://schemas.microsoft.com/office/drawing/2014/main" id="{00000000-0008-0000-0000-00001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48" name="Picture 11" hidden="1">
          <a:extLst>
            <a:ext uri="{FF2B5EF4-FFF2-40B4-BE49-F238E27FC236}">
              <a16:creationId xmlns:a16="http://schemas.microsoft.com/office/drawing/2014/main" id="{00000000-0008-0000-0000-00001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50" name="Picture 11" hidden="1">
          <a:extLst>
            <a:ext uri="{FF2B5EF4-FFF2-40B4-BE49-F238E27FC236}">
              <a16:creationId xmlns:a16="http://schemas.microsoft.com/office/drawing/2014/main" id="{00000000-0008-0000-0000-00001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52" name="Picture 11" hidden="1">
          <a:extLst>
            <a:ext uri="{FF2B5EF4-FFF2-40B4-BE49-F238E27FC236}">
              <a16:creationId xmlns:a16="http://schemas.microsoft.com/office/drawing/2014/main" id="{00000000-0008-0000-0000-00002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54" name="Picture 11" hidden="1">
          <a:extLst>
            <a:ext uri="{FF2B5EF4-FFF2-40B4-BE49-F238E27FC236}">
              <a16:creationId xmlns:a16="http://schemas.microsoft.com/office/drawing/2014/main" id="{00000000-0008-0000-0000-00002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56" name="Picture 11" hidden="1">
          <a:extLst>
            <a:ext uri="{FF2B5EF4-FFF2-40B4-BE49-F238E27FC236}">
              <a16:creationId xmlns:a16="http://schemas.microsoft.com/office/drawing/2014/main" id="{00000000-0008-0000-0000-00002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58" name="Picture 11" hidden="1">
          <a:extLst>
            <a:ext uri="{FF2B5EF4-FFF2-40B4-BE49-F238E27FC236}">
              <a16:creationId xmlns:a16="http://schemas.microsoft.com/office/drawing/2014/main" id="{00000000-0008-0000-0000-00002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60" name="Picture 11" hidden="1">
          <a:extLst>
            <a:ext uri="{FF2B5EF4-FFF2-40B4-BE49-F238E27FC236}">
              <a16:creationId xmlns:a16="http://schemas.microsoft.com/office/drawing/2014/main" id="{00000000-0008-0000-0000-00002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62" name="Picture 11" hidden="1">
          <a:extLst>
            <a:ext uri="{FF2B5EF4-FFF2-40B4-BE49-F238E27FC236}">
              <a16:creationId xmlns:a16="http://schemas.microsoft.com/office/drawing/2014/main" id="{00000000-0008-0000-0000-00002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64" name="Picture 11" hidden="1">
          <a:extLst>
            <a:ext uri="{FF2B5EF4-FFF2-40B4-BE49-F238E27FC236}">
              <a16:creationId xmlns:a16="http://schemas.microsoft.com/office/drawing/2014/main" id="{00000000-0008-0000-0000-00002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66" name="Picture 11" hidden="1">
          <a:extLst>
            <a:ext uri="{FF2B5EF4-FFF2-40B4-BE49-F238E27FC236}">
              <a16:creationId xmlns:a16="http://schemas.microsoft.com/office/drawing/2014/main" id="{00000000-0008-0000-0000-00002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68" name="Picture 11" hidden="1">
          <a:extLst>
            <a:ext uri="{FF2B5EF4-FFF2-40B4-BE49-F238E27FC236}">
              <a16:creationId xmlns:a16="http://schemas.microsoft.com/office/drawing/2014/main" id="{00000000-0008-0000-0000-00003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70" name="Picture 11" hidden="1">
          <a:extLst>
            <a:ext uri="{FF2B5EF4-FFF2-40B4-BE49-F238E27FC236}">
              <a16:creationId xmlns:a16="http://schemas.microsoft.com/office/drawing/2014/main" id="{00000000-0008-0000-0000-00003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72" name="Picture 11" hidden="1">
          <a:extLst>
            <a:ext uri="{FF2B5EF4-FFF2-40B4-BE49-F238E27FC236}">
              <a16:creationId xmlns:a16="http://schemas.microsoft.com/office/drawing/2014/main" id="{00000000-0008-0000-0000-00003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74" name="Picture 11" hidden="1">
          <a:extLst>
            <a:ext uri="{FF2B5EF4-FFF2-40B4-BE49-F238E27FC236}">
              <a16:creationId xmlns:a16="http://schemas.microsoft.com/office/drawing/2014/main" id="{00000000-0008-0000-0000-00003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76" name="Picture 11" hidden="1">
          <a:extLst>
            <a:ext uri="{FF2B5EF4-FFF2-40B4-BE49-F238E27FC236}">
              <a16:creationId xmlns:a16="http://schemas.microsoft.com/office/drawing/2014/main" id="{00000000-0008-0000-0000-00003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78" name="Picture 11" hidden="1">
          <a:extLst>
            <a:ext uri="{FF2B5EF4-FFF2-40B4-BE49-F238E27FC236}">
              <a16:creationId xmlns:a16="http://schemas.microsoft.com/office/drawing/2014/main" id="{00000000-0008-0000-0000-00003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80" name="Picture 11" hidden="1">
          <a:extLst>
            <a:ext uri="{FF2B5EF4-FFF2-40B4-BE49-F238E27FC236}">
              <a16:creationId xmlns:a16="http://schemas.microsoft.com/office/drawing/2014/main" id="{00000000-0008-0000-0000-00003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82" name="Picture 11" hidden="1">
          <a:extLst>
            <a:ext uri="{FF2B5EF4-FFF2-40B4-BE49-F238E27FC236}">
              <a16:creationId xmlns:a16="http://schemas.microsoft.com/office/drawing/2014/main" id="{00000000-0008-0000-0000-00003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84" name="Picture 11" hidden="1">
          <a:extLst>
            <a:ext uri="{FF2B5EF4-FFF2-40B4-BE49-F238E27FC236}">
              <a16:creationId xmlns:a16="http://schemas.microsoft.com/office/drawing/2014/main" id="{00000000-0008-0000-0000-00004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86" name="Picture 11" hidden="1">
          <a:extLst>
            <a:ext uri="{FF2B5EF4-FFF2-40B4-BE49-F238E27FC236}">
              <a16:creationId xmlns:a16="http://schemas.microsoft.com/office/drawing/2014/main" id="{00000000-0008-0000-0000-00004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88" name="Picture 11" hidden="1">
          <a:extLst>
            <a:ext uri="{FF2B5EF4-FFF2-40B4-BE49-F238E27FC236}">
              <a16:creationId xmlns:a16="http://schemas.microsoft.com/office/drawing/2014/main" id="{00000000-0008-0000-0000-00004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90" name="Picture 11" hidden="1">
          <a:extLst>
            <a:ext uri="{FF2B5EF4-FFF2-40B4-BE49-F238E27FC236}">
              <a16:creationId xmlns:a16="http://schemas.microsoft.com/office/drawing/2014/main" id="{00000000-0008-0000-0000-00004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92" name="Picture 11" hidden="1">
          <a:extLst>
            <a:ext uri="{FF2B5EF4-FFF2-40B4-BE49-F238E27FC236}">
              <a16:creationId xmlns:a16="http://schemas.microsoft.com/office/drawing/2014/main" id="{00000000-0008-0000-0000-00004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94" name="Picture 11" hidden="1">
          <a:extLst>
            <a:ext uri="{FF2B5EF4-FFF2-40B4-BE49-F238E27FC236}">
              <a16:creationId xmlns:a16="http://schemas.microsoft.com/office/drawing/2014/main" id="{00000000-0008-0000-0000-00004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96" name="Picture 11" hidden="1">
          <a:extLst>
            <a:ext uri="{FF2B5EF4-FFF2-40B4-BE49-F238E27FC236}">
              <a16:creationId xmlns:a16="http://schemas.microsoft.com/office/drawing/2014/main" id="{00000000-0008-0000-0000-00004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98" name="Picture 5197" hidden="1">
          <a:extLst>
            <a:ext uri="{FF2B5EF4-FFF2-40B4-BE49-F238E27FC236}">
              <a16:creationId xmlns:a16="http://schemas.microsoft.com/office/drawing/2014/main" id="{00000000-0008-0000-0000-00004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00" name="Picture 11" hidden="1">
          <a:extLst>
            <a:ext uri="{FF2B5EF4-FFF2-40B4-BE49-F238E27FC236}">
              <a16:creationId xmlns:a16="http://schemas.microsoft.com/office/drawing/2014/main" id="{00000000-0008-0000-0000-00005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02" name="Picture 11" hidden="1">
          <a:extLst>
            <a:ext uri="{FF2B5EF4-FFF2-40B4-BE49-F238E27FC236}">
              <a16:creationId xmlns:a16="http://schemas.microsoft.com/office/drawing/2014/main" id="{00000000-0008-0000-0000-00005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04" name="Picture 11" hidden="1">
          <a:extLst>
            <a:ext uri="{FF2B5EF4-FFF2-40B4-BE49-F238E27FC236}">
              <a16:creationId xmlns:a16="http://schemas.microsoft.com/office/drawing/2014/main" id="{00000000-0008-0000-0000-00005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06" name="Picture 11" hidden="1">
          <a:extLst>
            <a:ext uri="{FF2B5EF4-FFF2-40B4-BE49-F238E27FC236}">
              <a16:creationId xmlns:a16="http://schemas.microsoft.com/office/drawing/2014/main" id="{00000000-0008-0000-0000-00005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08" name="Picture 11" hidden="1">
          <a:extLst>
            <a:ext uri="{FF2B5EF4-FFF2-40B4-BE49-F238E27FC236}">
              <a16:creationId xmlns:a16="http://schemas.microsoft.com/office/drawing/2014/main" id="{00000000-0008-0000-0000-00005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10" name="Picture 11" hidden="1">
          <a:extLst>
            <a:ext uri="{FF2B5EF4-FFF2-40B4-BE49-F238E27FC236}">
              <a16:creationId xmlns:a16="http://schemas.microsoft.com/office/drawing/2014/main" id="{00000000-0008-0000-0000-00005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12" name="Picture 11" hidden="1">
          <a:extLst>
            <a:ext uri="{FF2B5EF4-FFF2-40B4-BE49-F238E27FC236}">
              <a16:creationId xmlns:a16="http://schemas.microsoft.com/office/drawing/2014/main" id="{00000000-0008-0000-0000-00005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14" name="Picture 11" hidden="1">
          <a:extLst>
            <a:ext uri="{FF2B5EF4-FFF2-40B4-BE49-F238E27FC236}">
              <a16:creationId xmlns:a16="http://schemas.microsoft.com/office/drawing/2014/main" id="{00000000-0008-0000-0000-00005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16" name="Picture 11" hidden="1">
          <a:extLst>
            <a:ext uri="{FF2B5EF4-FFF2-40B4-BE49-F238E27FC236}">
              <a16:creationId xmlns:a16="http://schemas.microsoft.com/office/drawing/2014/main" id="{00000000-0008-0000-0000-00006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18" name="Picture 11" hidden="1">
          <a:extLst>
            <a:ext uri="{FF2B5EF4-FFF2-40B4-BE49-F238E27FC236}">
              <a16:creationId xmlns:a16="http://schemas.microsoft.com/office/drawing/2014/main" id="{00000000-0008-0000-0000-00006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20" name="Picture 11" hidden="1">
          <a:extLst>
            <a:ext uri="{FF2B5EF4-FFF2-40B4-BE49-F238E27FC236}">
              <a16:creationId xmlns:a16="http://schemas.microsoft.com/office/drawing/2014/main" id="{00000000-0008-0000-0000-00006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22" name="Picture 11" hidden="1">
          <a:extLst>
            <a:ext uri="{FF2B5EF4-FFF2-40B4-BE49-F238E27FC236}">
              <a16:creationId xmlns:a16="http://schemas.microsoft.com/office/drawing/2014/main" id="{00000000-0008-0000-0000-00006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24" name="Picture 11" hidden="1">
          <a:extLst>
            <a:ext uri="{FF2B5EF4-FFF2-40B4-BE49-F238E27FC236}">
              <a16:creationId xmlns:a16="http://schemas.microsoft.com/office/drawing/2014/main" id="{00000000-0008-0000-0000-00006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26" name="Picture 11" hidden="1">
          <a:extLst>
            <a:ext uri="{FF2B5EF4-FFF2-40B4-BE49-F238E27FC236}">
              <a16:creationId xmlns:a16="http://schemas.microsoft.com/office/drawing/2014/main" id="{00000000-0008-0000-0000-00006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28" name="Picture 11" hidden="1">
          <a:extLst>
            <a:ext uri="{FF2B5EF4-FFF2-40B4-BE49-F238E27FC236}">
              <a16:creationId xmlns:a16="http://schemas.microsoft.com/office/drawing/2014/main" id="{00000000-0008-0000-0000-00006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30" name="Picture 11" hidden="1">
          <a:extLst>
            <a:ext uri="{FF2B5EF4-FFF2-40B4-BE49-F238E27FC236}">
              <a16:creationId xmlns:a16="http://schemas.microsoft.com/office/drawing/2014/main" id="{00000000-0008-0000-0000-00006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32" name="Picture 11" hidden="1">
          <a:extLst>
            <a:ext uri="{FF2B5EF4-FFF2-40B4-BE49-F238E27FC236}">
              <a16:creationId xmlns:a16="http://schemas.microsoft.com/office/drawing/2014/main" id="{00000000-0008-0000-0000-00007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34" name="Picture 11" hidden="1">
          <a:extLst>
            <a:ext uri="{FF2B5EF4-FFF2-40B4-BE49-F238E27FC236}">
              <a16:creationId xmlns:a16="http://schemas.microsoft.com/office/drawing/2014/main" id="{00000000-0008-0000-0000-00007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36" name="Picture 11" hidden="1">
          <a:extLst>
            <a:ext uri="{FF2B5EF4-FFF2-40B4-BE49-F238E27FC236}">
              <a16:creationId xmlns:a16="http://schemas.microsoft.com/office/drawing/2014/main" id="{00000000-0008-0000-0000-00007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38" name="Picture 11" hidden="1">
          <a:extLst>
            <a:ext uri="{FF2B5EF4-FFF2-40B4-BE49-F238E27FC236}">
              <a16:creationId xmlns:a16="http://schemas.microsoft.com/office/drawing/2014/main" id="{00000000-0008-0000-0000-00007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40" name="Picture 11" hidden="1">
          <a:extLst>
            <a:ext uri="{FF2B5EF4-FFF2-40B4-BE49-F238E27FC236}">
              <a16:creationId xmlns:a16="http://schemas.microsoft.com/office/drawing/2014/main" id="{00000000-0008-0000-0000-00007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42" name="Picture 11" hidden="1">
          <a:extLst>
            <a:ext uri="{FF2B5EF4-FFF2-40B4-BE49-F238E27FC236}">
              <a16:creationId xmlns:a16="http://schemas.microsoft.com/office/drawing/2014/main" id="{00000000-0008-0000-0000-00007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44" name="Picture 11" hidden="1">
          <a:extLst>
            <a:ext uri="{FF2B5EF4-FFF2-40B4-BE49-F238E27FC236}">
              <a16:creationId xmlns:a16="http://schemas.microsoft.com/office/drawing/2014/main" id="{00000000-0008-0000-0000-00007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46" name="Picture 11" hidden="1">
          <a:extLst>
            <a:ext uri="{FF2B5EF4-FFF2-40B4-BE49-F238E27FC236}">
              <a16:creationId xmlns:a16="http://schemas.microsoft.com/office/drawing/2014/main" id="{00000000-0008-0000-0000-00007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48" name="Picture 11" hidden="1">
          <a:extLst>
            <a:ext uri="{FF2B5EF4-FFF2-40B4-BE49-F238E27FC236}">
              <a16:creationId xmlns:a16="http://schemas.microsoft.com/office/drawing/2014/main" id="{00000000-0008-0000-0000-00008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50" name="Picture 11" hidden="1">
          <a:extLst>
            <a:ext uri="{FF2B5EF4-FFF2-40B4-BE49-F238E27FC236}">
              <a16:creationId xmlns:a16="http://schemas.microsoft.com/office/drawing/2014/main" id="{00000000-0008-0000-0000-00008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52" name="Picture 11" hidden="1">
          <a:extLst>
            <a:ext uri="{FF2B5EF4-FFF2-40B4-BE49-F238E27FC236}">
              <a16:creationId xmlns:a16="http://schemas.microsoft.com/office/drawing/2014/main" id="{00000000-0008-0000-0000-00008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54" name="Picture 11" hidden="1">
          <a:extLst>
            <a:ext uri="{FF2B5EF4-FFF2-40B4-BE49-F238E27FC236}">
              <a16:creationId xmlns:a16="http://schemas.microsoft.com/office/drawing/2014/main" id="{00000000-0008-0000-0000-00008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56" name="Picture 11" hidden="1">
          <a:extLst>
            <a:ext uri="{FF2B5EF4-FFF2-40B4-BE49-F238E27FC236}">
              <a16:creationId xmlns:a16="http://schemas.microsoft.com/office/drawing/2014/main" id="{00000000-0008-0000-0000-00008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58" name="Picture 11" hidden="1">
          <a:extLst>
            <a:ext uri="{FF2B5EF4-FFF2-40B4-BE49-F238E27FC236}">
              <a16:creationId xmlns:a16="http://schemas.microsoft.com/office/drawing/2014/main" id="{00000000-0008-0000-0000-00008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60" name="Picture 11" hidden="1">
          <a:extLst>
            <a:ext uri="{FF2B5EF4-FFF2-40B4-BE49-F238E27FC236}">
              <a16:creationId xmlns:a16="http://schemas.microsoft.com/office/drawing/2014/main" id="{00000000-0008-0000-0000-00008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62" name="Picture 11" hidden="1">
          <a:extLst>
            <a:ext uri="{FF2B5EF4-FFF2-40B4-BE49-F238E27FC236}">
              <a16:creationId xmlns:a16="http://schemas.microsoft.com/office/drawing/2014/main" id="{00000000-0008-0000-0000-00008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64" name="Picture 11" hidden="1">
          <a:extLst>
            <a:ext uri="{FF2B5EF4-FFF2-40B4-BE49-F238E27FC236}">
              <a16:creationId xmlns:a16="http://schemas.microsoft.com/office/drawing/2014/main" id="{00000000-0008-0000-0000-00009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66" name="Picture 11" hidden="1">
          <a:extLst>
            <a:ext uri="{FF2B5EF4-FFF2-40B4-BE49-F238E27FC236}">
              <a16:creationId xmlns:a16="http://schemas.microsoft.com/office/drawing/2014/main" id="{00000000-0008-0000-0000-00009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68" name="Picture 11" hidden="1">
          <a:extLst>
            <a:ext uri="{FF2B5EF4-FFF2-40B4-BE49-F238E27FC236}">
              <a16:creationId xmlns:a16="http://schemas.microsoft.com/office/drawing/2014/main" id="{00000000-0008-0000-0000-00009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70" name="Picture 11" hidden="1">
          <a:extLst>
            <a:ext uri="{FF2B5EF4-FFF2-40B4-BE49-F238E27FC236}">
              <a16:creationId xmlns:a16="http://schemas.microsoft.com/office/drawing/2014/main" id="{00000000-0008-0000-0000-00009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72" name="Picture 11" hidden="1">
          <a:extLst>
            <a:ext uri="{FF2B5EF4-FFF2-40B4-BE49-F238E27FC236}">
              <a16:creationId xmlns:a16="http://schemas.microsoft.com/office/drawing/2014/main" id="{00000000-0008-0000-0000-00009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74" name="Picture 11" hidden="1">
          <a:extLst>
            <a:ext uri="{FF2B5EF4-FFF2-40B4-BE49-F238E27FC236}">
              <a16:creationId xmlns:a16="http://schemas.microsoft.com/office/drawing/2014/main" id="{00000000-0008-0000-0000-00009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76" name="Picture 11" hidden="1">
          <a:extLst>
            <a:ext uri="{FF2B5EF4-FFF2-40B4-BE49-F238E27FC236}">
              <a16:creationId xmlns:a16="http://schemas.microsoft.com/office/drawing/2014/main" id="{00000000-0008-0000-0000-00009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78" name="Picture 11" hidden="1">
          <a:extLst>
            <a:ext uri="{FF2B5EF4-FFF2-40B4-BE49-F238E27FC236}">
              <a16:creationId xmlns:a16="http://schemas.microsoft.com/office/drawing/2014/main" id="{00000000-0008-0000-0000-00009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80" name="Picture 11" hidden="1">
          <a:extLst>
            <a:ext uri="{FF2B5EF4-FFF2-40B4-BE49-F238E27FC236}">
              <a16:creationId xmlns:a16="http://schemas.microsoft.com/office/drawing/2014/main" id="{00000000-0008-0000-0000-0000A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82" name="Picture 11" hidden="1">
          <a:extLst>
            <a:ext uri="{FF2B5EF4-FFF2-40B4-BE49-F238E27FC236}">
              <a16:creationId xmlns:a16="http://schemas.microsoft.com/office/drawing/2014/main" id="{00000000-0008-0000-0000-0000A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84" name="Picture 11" hidden="1">
          <a:extLst>
            <a:ext uri="{FF2B5EF4-FFF2-40B4-BE49-F238E27FC236}">
              <a16:creationId xmlns:a16="http://schemas.microsoft.com/office/drawing/2014/main" id="{00000000-0008-0000-0000-0000A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86" name="Picture 11" hidden="1">
          <a:extLst>
            <a:ext uri="{FF2B5EF4-FFF2-40B4-BE49-F238E27FC236}">
              <a16:creationId xmlns:a16="http://schemas.microsoft.com/office/drawing/2014/main" id="{00000000-0008-0000-0000-0000A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88" name="Picture 11" hidden="1">
          <a:extLst>
            <a:ext uri="{FF2B5EF4-FFF2-40B4-BE49-F238E27FC236}">
              <a16:creationId xmlns:a16="http://schemas.microsoft.com/office/drawing/2014/main" id="{00000000-0008-0000-0000-0000A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90" name="Picture 11" hidden="1">
          <a:extLst>
            <a:ext uri="{FF2B5EF4-FFF2-40B4-BE49-F238E27FC236}">
              <a16:creationId xmlns:a16="http://schemas.microsoft.com/office/drawing/2014/main" id="{00000000-0008-0000-0000-0000A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92" name="Picture 11" hidden="1">
          <a:extLst>
            <a:ext uri="{FF2B5EF4-FFF2-40B4-BE49-F238E27FC236}">
              <a16:creationId xmlns:a16="http://schemas.microsoft.com/office/drawing/2014/main" id="{00000000-0008-0000-0000-0000A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94" name="Picture 11" hidden="1">
          <a:extLst>
            <a:ext uri="{FF2B5EF4-FFF2-40B4-BE49-F238E27FC236}">
              <a16:creationId xmlns:a16="http://schemas.microsoft.com/office/drawing/2014/main" id="{00000000-0008-0000-0000-0000A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96" name="Picture 11" hidden="1">
          <a:extLst>
            <a:ext uri="{FF2B5EF4-FFF2-40B4-BE49-F238E27FC236}">
              <a16:creationId xmlns:a16="http://schemas.microsoft.com/office/drawing/2014/main" id="{00000000-0008-0000-0000-0000B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98" name="Picture 11" hidden="1">
          <a:extLst>
            <a:ext uri="{FF2B5EF4-FFF2-40B4-BE49-F238E27FC236}">
              <a16:creationId xmlns:a16="http://schemas.microsoft.com/office/drawing/2014/main" id="{00000000-0008-0000-0000-0000B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00" name="Picture 11" hidden="1">
          <a:extLst>
            <a:ext uri="{FF2B5EF4-FFF2-40B4-BE49-F238E27FC236}">
              <a16:creationId xmlns:a16="http://schemas.microsoft.com/office/drawing/2014/main" id="{00000000-0008-0000-0000-0000B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02" name="Picture 11" hidden="1">
          <a:extLst>
            <a:ext uri="{FF2B5EF4-FFF2-40B4-BE49-F238E27FC236}">
              <a16:creationId xmlns:a16="http://schemas.microsoft.com/office/drawing/2014/main" id="{00000000-0008-0000-0000-0000B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04" name="Picture 11" hidden="1">
          <a:extLst>
            <a:ext uri="{FF2B5EF4-FFF2-40B4-BE49-F238E27FC236}">
              <a16:creationId xmlns:a16="http://schemas.microsoft.com/office/drawing/2014/main" id="{00000000-0008-0000-0000-0000B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06" name="Picture 5305" hidden="1">
          <a:extLst>
            <a:ext uri="{FF2B5EF4-FFF2-40B4-BE49-F238E27FC236}">
              <a16:creationId xmlns:a16="http://schemas.microsoft.com/office/drawing/2014/main" id="{00000000-0008-0000-0000-0000B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08" name="Picture 11" hidden="1">
          <a:extLst>
            <a:ext uri="{FF2B5EF4-FFF2-40B4-BE49-F238E27FC236}">
              <a16:creationId xmlns:a16="http://schemas.microsoft.com/office/drawing/2014/main" id="{00000000-0008-0000-0000-0000B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10" name="Picture 11" hidden="1">
          <a:extLst>
            <a:ext uri="{FF2B5EF4-FFF2-40B4-BE49-F238E27FC236}">
              <a16:creationId xmlns:a16="http://schemas.microsoft.com/office/drawing/2014/main" id="{00000000-0008-0000-0000-0000B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12" name="Picture 11" hidden="1">
          <a:extLst>
            <a:ext uri="{FF2B5EF4-FFF2-40B4-BE49-F238E27FC236}">
              <a16:creationId xmlns:a16="http://schemas.microsoft.com/office/drawing/2014/main" id="{00000000-0008-0000-0000-0000C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14" name="Picture 11" hidden="1">
          <a:extLst>
            <a:ext uri="{FF2B5EF4-FFF2-40B4-BE49-F238E27FC236}">
              <a16:creationId xmlns:a16="http://schemas.microsoft.com/office/drawing/2014/main" id="{00000000-0008-0000-0000-0000C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16" name="Picture 11" hidden="1">
          <a:extLst>
            <a:ext uri="{FF2B5EF4-FFF2-40B4-BE49-F238E27FC236}">
              <a16:creationId xmlns:a16="http://schemas.microsoft.com/office/drawing/2014/main" id="{00000000-0008-0000-0000-0000C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18" name="Picture 11" hidden="1">
          <a:extLst>
            <a:ext uri="{FF2B5EF4-FFF2-40B4-BE49-F238E27FC236}">
              <a16:creationId xmlns:a16="http://schemas.microsoft.com/office/drawing/2014/main" id="{00000000-0008-0000-0000-0000C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20" name="Picture 11" hidden="1">
          <a:extLst>
            <a:ext uri="{FF2B5EF4-FFF2-40B4-BE49-F238E27FC236}">
              <a16:creationId xmlns:a16="http://schemas.microsoft.com/office/drawing/2014/main" id="{00000000-0008-0000-0000-0000C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22" name="Picture 11" hidden="1">
          <a:extLst>
            <a:ext uri="{FF2B5EF4-FFF2-40B4-BE49-F238E27FC236}">
              <a16:creationId xmlns:a16="http://schemas.microsoft.com/office/drawing/2014/main" id="{00000000-0008-0000-0000-0000C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24" name="Picture 11" hidden="1">
          <a:extLst>
            <a:ext uri="{FF2B5EF4-FFF2-40B4-BE49-F238E27FC236}">
              <a16:creationId xmlns:a16="http://schemas.microsoft.com/office/drawing/2014/main" id="{00000000-0008-0000-0000-0000C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26" name="Picture 11" hidden="1">
          <a:extLst>
            <a:ext uri="{FF2B5EF4-FFF2-40B4-BE49-F238E27FC236}">
              <a16:creationId xmlns:a16="http://schemas.microsoft.com/office/drawing/2014/main" id="{00000000-0008-0000-0000-0000C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28" name="Picture 11" hidden="1">
          <a:extLst>
            <a:ext uri="{FF2B5EF4-FFF2-40B4-BE49-F238E27FC236}">
              <a16:creationId xmlns:a16="http://schemas.microsoft.com/office/drawing/2014/main" id="{00000000-0008-0000-0000-0000D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30" name="Picture 11" hidden="1">
          <a:extLst>
            <a:ext uri="{FF2B5EF4-FFF2-40B4-BE49-F238E27FC236}">
              <a16:creationId xmlns:a16="http://schemas.microsoft.com/office/drawing/2014/main" id="{00000000-0008-0000-0000-0000D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32" name="Picture 11" hidden="1">
          <a:extLst>
            <a:ext uri="{FF2B5EF4-FFF2-40B4-BE49-F238E27FC236}">
              <a16:creationId xmlns:a16="http://schemas.microsoft.com/office/drawing/2014/main" id="{00000000-0008-0000-0000-0000D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34" name="Picture 11" hidden="1">
          <a:extLst>
            <a:ext uri="{FF2B5EF4-FFF2-40B4-BE49-F238E27FC236}">
              <a16:creationId xmlns:a16="http://schemas.microsoft.com/office/drawing/2014/main" id="{00000000-0008-0000-0000-0000D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36" name="Picture 11" hidden="1">
          <a:extLst>
            <a:ext uri="{FF2B5EF4-FFF2-40B4-BE49-F238E27FC236}">
              <a16:creationId xmlns:a16="http://schemas.microsoft.com/office/drawing/2014/main" id="{00000000-0008-0000-0000-0000D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38" name="Picture 11" hidden="1">
          <a:extLst>
            <a:ext uri="{FF2B5EF4-FFF2-40B4-BE49-F238E27FC236}">
              <a16:creationId xmlns:a16="http://schemas.microsoft.com/office/drawing/2014/main" id="{00000000-0008-0000-0000-0000D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40" name="Picture 11" hidden="1">
          <a:extLst>
            <a:ext uri="{FF2B5EF4-FFF2-40B4-BE49-F238E27FC236}">
              <a16:creationId xmlns:a16="http://schemas.microsoft.com/office/drawing/2014/main" id="{00000000-0008-0000-0000-0000D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42" name="Picture 11" hidden="1">
          <a:extLst>
            <a:ext uri="{FF2B5EF4-FFF2-40B4-BE49-F238E27FC236}">
              <a16:creationId xmlns:a16="http://schemas.microsoft.com/office/drawing/2014/main" id="{00000000-0008-0000-0000-0000D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44" name="Picture 11" hidden="1">
          <a:extLst>
            <a:ext uri="{FF2B5EF4-FFF2-40B4-BE49-F238E27FC236}">
              <a16:creationId xmlns:a16="http://schemas.microsoft.com/office/drawing/2014/main" id="{00000000-0008-0000-0000-0000E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46" name="Picture 11" hidden="1">
          <a:extLst>
            <a:ext uri="{FF2B5EF4-FFF2-40B4-BE49-F238E27FC236}">
              <a16:creationId xmlns:a16="http://schemas.microsoft.com/office/drawing/2014/main" id="{00000000-0008-0000-0000-0000E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48" name="Picture 11" hidden="1">
          <a:extLst>
            <a:ext uri="{FF2B5EF4-FFF2-40B4-BE49-F238E27FC236}">
              <a16:creationId xmlns:a16="http://schemas.microsoft.com/office/drawing/2014/main" id="{00000000-0008-0000-0000-0000E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50" name="Picture 11" hidden="1">
          <a:extLst>
            <a:ext uri="{FF2B5EF4-FFF2-40B4-BE49-F238E27FC236}">
              <a16:creationId xmlns:a16="http://schemas.microsoft.com/office/drawing/2014/main" id="{00000000-0008-0000-0000-0000E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52" name="Picture 11" hidden="1">
          <a:extLst>
            <a:ext uri="{FF2B5EF4-FFF2-40B4-BE49-F238E27FC236}">
              <a16:creationId xmlns:a16="http://schemas.microsoft.com/office/drawing/2014/main" id="{00000000-0008-0000-0000-0000E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54" name="Picture 11" hidden="1">
          <a:extLst>
            <a:ext uri="{FF2B5EF4-FFF2-40B4-BE49-F238E27FC236}">
              <a16:creationId xmlns:a16="http://schemas.microsoft.com/office/drawing/2014/main" id="{00000000-0008-0000-0000-0000E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56" name="Picture 11" hidden="1">
          <a:extLst>
            <a:ext uri="{FF2B5EF4-FFF2-40B4-BE49-F238E27FC236}">
              <a16:creationId xmlns:a16="http://schemas.microsoft.com/office/drawing/2014/main" id="{00000000-0008-0000-0000-0000E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58" name="Picture 11" hidden="1">
          <a:extLst>
            <a:ext uri="{FF2B5EF4-FFF2-40B4-BE49-F238E27FC236}">
              <a16:creationId xmlns:a16="http://schemas.microsoft.com/office/drawing/2014/main" id="{00000000-0008-0000-0000-0000E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60" name="Picture 11" hidden="1">
          <a:extLst>
            <a:ext uri="{FF2B5EF4-FFF2-40B4-BE49-F238E27FC236}">
              <a16:creationId xmlns:a16="http://schemas.microsoft.com/office/drawing/2014/main" id="{00000000-0008-0000-0000-0000F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62" name="Picture 11" hidden="1">
          <a:extLst>
            <a:ext uri="{FF2B5EF4-FFF2-40B4-BE49-F238E27FC236}">
              <a16:creationId xmlns:a16="http://schemas.microsoft.com/office/drawing/2014/main" id="{00000000-0008-0000-0000-0000F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64" name="Picture 11" hidden="1">
          <a:extLst>
            <a:ext uri="{FF2B5EF4-FFF2-40B4-BE49-F238E27FC236}">
              <a16:creationId xmlns:a16="http://schemas.microsoft.com/office/drawing/2014/main" id="{00000000-0008-0000-0000-0000F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66" name="Picture 11" hidden="1">
          <a:extLst>
            <a:ext uri="{FF2B5EF4-FFF2-40B4-BE49-F238E27FC236}">
              <a16:creationId xmlns:a16="http://schemas.microsoft.com/office/drawing/2014/main" id="{00000000-0008-0000-0000-0000F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68" name="Picture 11" hidden="1">
          <a:extLst>
            <a:ext uri="{FF2B5EF4-FFF2-40B4-BE49-F238E27FC236}">
              <a16:creationId xmlns:a16="http://schemas.microsoft.com/office/drawing/2014/main" id="{00000000-0008-0000-0000-0000F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70" name="Picture 11" hidden="1">
          <a:extLst>
            <a:ext uri="{FF2B5EF4-FFF2-40B4-BE49-F238E27FC236}">
              <a16:creationId xmlns:a16="http://schemas.microsoft.com/office/drawing/2014/main" id="{00000000-0008-0000-0000-0000F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72" name="Picture 11" hidden="1">
          <a:extLst>
            <a:ext uri="{FF2B5EF4-FFF2-40B4-BE49-F238E27FC236}">
              <a16:creationId xmlns:a16="http://schemas.microsoft.com/office/drawing/2014/main" id="{00000000-0008-0000-0000-0000F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74" name="Picture 11" hidden="1">
          <a:extLst>
            <a:ext uri="{FF2B5EF4-FFF2-40B4-BE49-F238E27FC236}">
              <a16:creationId xmlns:a16="http://schemas.microsoft.com/office/drawing/2014/main" id="{00000000-0008-0000-0000-0000F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76" name="Picture 11" hidden="1">
          <a:extLst>
            <a:ext uri="{FF2B5EF4-FFF2-40B4-BE49-F238E27FC236}">
              <a16:creationId xmlns:a16="http://schemas.microsoft.com/office/drawing/2014/main" id="{00000000-0008-0000-0000-00000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78" name="Picture 11" hidden="1">
          <a:extLst>
            <a:ext uri="{FF2B5EF4-FFF2-40B4-BE49-F238E27FC236}">
              <a16:creationId xmlns:a16="http://schemas.microsoft.com/office/drawing/2014/main" id="{00000000-0008-0000-0000-00000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80" name="Picture 11" hidden="1">
          <a:extLst>
            <a:ext uri="{FF2B5EF4-FFF2-40B4-BE49-F238E27FC236}">
              <a16:creationId xmlns:a16="http://schemas.microsoft.com/office/drawing/2014/main" id="{00000000-0008-0000-0000-00000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82" name="Picture 11" hidden="1">
          <a:extLst>
            <a:ext uri="{FF2B5EF4-FFF2-40B4-BE49-F238E27FC236}">
              <a16:creationId xmlns:a16="http://schemas.microsoft.com/office/drawing/2014/main" id="{00000000-0008-0000-0000-00000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84" name="Picture 11" hidden="1">
          <a:extLst>
            <a:ext uri="{FF2B5EF4-FFF2-40B4-BE49-F238E27FC236}">
              <a16:creationId xmlns:a16="http://schemas.microsoft.com/office/drawing/2014/main" id="{00000000-0008-0000-0000-00000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86" name="Picture 11" hidden="1">
          <a:extLst>
            <a:ext uri="{FF2B5EF4-FFF2-40B4-BE49-F238E27FC236}">
              <a16:creationId xmlns:a16="http://schemas.microsoft.com/office/drawing/2014/main" id="{00000000-0008-0000-0000-00000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88" name="Picture 11" hidden="1">
          <a:extLst>
            <a:ext uri="{FF2B5EF4-FFF2-40B4-BE49-F238E27FC236}">
              <a16:creationId xmlns:a16="http://schemas.microsoft.com/office/drawing/2014/main" id="{00000000-0008-0000-0000-00000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90" name="Picture 11" hidden="1">
          <a:extLst>
            <a:ext uri="{FF2B5EF4-FFF2-40B4-BE49-F238E27FC236}">
              <a16:creationId xmlns:a16="http://schemas.microsoft.com/office/drawing/2014/main" id="{00000000-0008-0000-0000-00000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92" name="Picture 11" hidden="1">
          <a:extLst>
            <a:ext uri="{FF2B5EF4-FFF2-40B4-BE49-F238E27FC236}">
              <a16:creationId xmlns:a16="http://schemas.microsoft.com/office/drawing/2014/main" id="{00000000-0008-0000-0000-00001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94" name="Picture 11" hidden="1">
          <a:extLst>
            <a:ext uri="{FF2B5EF4-FFF2-40B4-BE49-F238E27FC236}">
              <a16:creationId xmlns:a16="http://schemas.microsoft.com/office/drawing/2014/main" id="{00000000-0008-0000-0000-00001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96" name="Picture 11" hidden="1">
          <a:extLst>
            <a:ext uri="{FF2B5EF4-FFF2-40B4-BE49-F238E27FC236}">
              <a16:creationId xmlns:a16="http://schemas.microsoft.com/office/drawing/2014/main" id="{00000000-0008-0000-0000-00001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98" name="Picture 11" hidden="1">
          <a:extLst>
            <a:ext uri="{FF2B5EF4-FFF2-40B4-BE49-F238E27FC236}">
              <a16:creationId xmlns:a16="http://schemas.microsoft.com/office/drawing/2014/main" id="{00000000-0008-0000-0000-00001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00" name="Picture 11" hidden="1">
          <a:extLst>
            <a:ext uri="{FF2B5EF4-FFF2-40B4-BE49-F238E27FC236}">
              <a16:creationId xmlns:a16="http://schemas.microsoft.com/office/drawing/2014/main" id="{00000000-0008-0000-0000-00001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02" name="Picture 11" hidden="1">
          <a:extLst>
            <a:ext uri="{FF2B5EF4-FFF2-40B4-BE49-F238E27FC236}">
              <a16:creationId xmlns:a16="http://schemas.microsoft.com/office/drawing/2014/main" id="{00000000-0008-0000-0000-00001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04" name="Picture 11" hidden="1">
          <a:extLst>
            <a:ext uri="{FF2B5EF4-FFF2-40B4-BE49-F238E27FC236}">
              <a16:creationId xmlns:a16="http://schemas.microsoft.com/office/drawing/2014/main" id="{00000000-0008-0000-0000-00001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5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5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5406" name="Picture 11" hidden="1">
          <a:extLst>
            <a:ext uri="{FF2B5EF4-FFF2-40B4-BE49-F238E27FC236}">
              <a16:creationId xmlns:a16="http://schemas.microsoft.com/office/drawing/2014/main" id="{00000000-0008-0000-0000-00001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08" name="Picture 11" hidden="1">
          <a:extLst>
            <a:ext uri="{FF2B5EF4-FFF2-40B4-BE49-F238E27FC236}">
              <a16:creationId xmlns:a16="http://schemas.microsoft.com/office/drawing/2014/main" id="{00000000-0008-0000-0000-00002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10" name="Picture 11" hidden="1">
          <a:extLst>
            <a:ext uri="{FF2B5EF4-FFF2-40B4-BE49-F238E27FC236}">
              <a16:creationId xmlns:a16="http://schemas.microsoft.com/office/drawing/2014/main" id="{00000000-0008-0000-0000-00002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12" name="Picture 11" hidden="1">
          <a:extLst>
            <a:ext uri="{FF2B5EF4-FFF2-40B4-BE49-F238E27FC236}">
              <a16:creationId xmlns:a16="http://schemas.microsoft.com/office/drawing/2014/main" id="{00000000-0008-0000-0000-00002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14" name="Picture 5413" hidden="1">
          <a:extLst>
            <a:ext uri="{FF2B5EF4-FFF2-40B4-BE49-F238E27FC236}">
              <a16:creationId xmlns:a16="http://schemas.microsoft.com/office/drawing/2014/main" id="{00000000-0008-0000-0000-00002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16" name="Picture 11" hidden="1">
          <a:extLst>
            <a:ext uri="{FF2B5EF4-FFF2-40B4-BE49-F238E27FC236}">
              <a16:creationId xmlns:a16="http://schemas.microsoft.com/office/drawing/2014/main" id="{00000000-0008-0000-0000-00002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18" name="Picture 11" hidden="1">
          <a:extLst>
            <a:ext uri="{FF2B5EF4-FFF2-40B4-BE49-F238E27FC236}">
              <a16:creationId xmlns:a16="http://schemas.microsoft.com/office/drawing/2014/main" id="{00000000-0008-0000-0000-00002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20" name="Picture 11" hidden="1">
          <a:extLst>
            <a:ext uri="{FF2B5EF4-FFF2-40B4-BE49-F238E27FC236}">
              <a16:creationId xmlns:a16="http://schemas.microsoft.com/office/drawing/2014/main" id="{00000000-0008-0000-0000-00002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22" name="Picture 11" hidden="1">
          <a:extLst>
            <a:ext uri="{FF2B5EF4-FFF2-40B4-BE49-F238E27FC236}">
              <a16:creationId xmlns:a16="http://schemas.microsoft.com/office/drawing/2014/main" id="{00000000-0008-0000-0000-00002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24" name="Picture 11" hidden="1">
          <a:extLst>
            <a:ext uri="{FF2B5EF4-FFF2-40B4-BE49-F238E27FC236}">
              <a16:creationId xmlns:a16="http://schemas.microsoft.com/office/drawing/2014/main" id="{00000000-0008-0000-0000-00003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26" name="Picture 11" hidden="1">
          <a:extLst>
            <a:ext uri="{FF2B5EF4-FFF2-40B4-BE49-F238E27FC236}">
              <a16:creationId xmlns:a16="http://schemas.microsoft.com/office/drawing/2014/main" id="{00000000-0008-0000-0000-00003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28" name="Picture 11" hidden="1">
          <a:extLst>
            <a:ext uri="{FF2B5EF4-FFF2-40B4-BE49-F238E27FC236}">
              <a16:creationId xmlns:a16="http://schemas.microsoft.com/office/drawing/2014/main" id="{00000000-0008-0000-0000-00003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30" name="Picture 11" hidden="1">
          <a:extLst>
            <a:ext uri="{FF2B5EF4-FFF2-40B4-BE49-F238E27FC236}">
              <a16:creationId xmlns:a16="http://schemas.microsoft.com/office/drawing/2014/main" id="{00000000-0008-0000-0000-00003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32" name="Picture 11" hidden="1">
          <a:extLst>
            <a:ext uri="{FF2B5EF4-FFF2-40B4-BE49-F238E27FC236}">
              <a16:creationId xmlns:a16="http://schemas.microsoft.com/office/drawing/2014/main" id="{00000000-0008-0000-0000-00003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34" name="Picture 11" hidden="1">
          <a:extLst>
            <a:ext uri="{FF2B5EF4-FFF2-40B4-BE49-F238E27FC236}">
              <a16:creationId xmlns:a16="http://schemas.microsoft.com/office/drawing/2014/main" id="{00000000-0008-0000-0000-00003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36" name="Picture 11" hidden="1">
          <a:extLst>
            <a:ext uri="{FF2B5EF4-FFF2-40B4-BE49-F238E27FC236}">
              <a16:creationId xmlns:a16="http://schemas.microsoft.com/office/drawing/2014/main" id="{00000000-0008-0000-0000-00003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38" name="Picture 11" hidden="1">
          <a:extLst>
            <a:ext uri="{FF2B5EF4-FFF2-40B4-BE49-F238E27FC236}">
              <a16:creationId xmlns:a16="http://schemas.microsoft.com/office/drawing/2014/main" id="{00000000-0008-0000-0000-00003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40" name="Picture 11" hidden="1">
          <a:extLst>
            <a:ext uri="{FF2B5EF4-FFF2-40B4-BE49-F238E27FC236}">
              <a16:creationId xmlns:a16="http://schemas.microsoft.com/office/drawing/2014/main" id="{00000000-0008-0000-0000-00004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42" name="Picture 11" hidden="1">
          <a:extLst>
            <a:ext uri="{FF2B5EF4-FFF2-40B4-BE49-F238E27FC236}">
              <a16:creationId xmlns:a16="http://schemas.microsoft.com/office/drawing/2014/main" id="{00000000-0008-0000-0000-00004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44" name="Picture 11" hidden="1">
          <a:extLst>
            <a:ext uri="{FF2B5EF4-FFF2-40B4-BE49-F238E27FC236}">
              <a16:creationId xmlns:a16="http://schemas.microsoft.com/office/drawing/2014/main" id="{00000000-0008-0000-0000-00004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46" name="Picture 11" hidden="1">
          <a:extLst>
            <a:ext uri="{FF2B5EF4-FFF2-40B4-BE49-F238E27FC236}">
              <a16:creationId xmlns:a16="http://schemas.microsoft.com/office/drawing/2014/main" id="{00000000-0008-0000-0000-00004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48" name="Picture 11" hidden="1">
          <a:extLst>
            <a:ext uri="{FF2B5EF4-FFF2-40B4-BE49-F238E27FC236}">
              <a16:creationId xmlns:a16="http://schemas.microsoft.com/office/drawing/2014/main" id="{00000000-0008-0000-0000-00004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50" name="Picture 11" hidden="1">
          <a:extLst>
            <a:ext uri="{FF2B5EF4-FFF2-40B4-BE49-F238E27FC236}">
              <a16:creationId xmlns:a16="http://schemas.microsoft.com/office/drawing/2014/main" id="{00000000-0008-0000-0000-00004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52" name="Picture 11" hidden="1">
          <a:extLst>
            <a:ext uri="{FF2B5EF4-FFF2-40B4-BE49-F238E27FC236}">
              <a16:creationId xmlns:a16="http://schemas.microsoft.com/office/drawing/2014/main" id="{00000000-0008-0000-0000-00004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54" name="Picture 11" hidden="1">
          <a:extLst>
            <a:ext uri="{FF2B5EF4-FFF2-40B4-BE49-F238E27FC236}">
              <a16:creationId xmlns:a16="http://schemas.microsoft.com/office/drawing/2014/main" id="{00000000-0008-0000-0000-00004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56" name="Picture 11" hidden="1">
          <a:extLst>
            <a:ext uri="{FF2B5EF4-FFF2-40B4-BE49-F238E27FC236}">
              <a16:creationId xmlns:a16="http://schemas.microsoft.com/office/drawing/2014/main" id="{00000000-0008-0000-0000-00005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58" name="Picture 11" hidden="1">
          <a:extLst>
            <a:ext uri="{FF2B5EF4-FFF2-40B4-BE49-F238E27FC236}">
              <a16:creationId xmlns:a16="http://schemas.microsoft.com/office/drawing/2014/main" id="{00000000-0008-0000-0000-00005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60" name="Picture 11" hidden="1">
          <a:extLst>
            <a:ext uri="{FF2B5EF4-FFF2-40B4-BE49-F238E27FC236}">
              <a16:creationId xmlns:a16="http://schemas.microsoft.com/office/drawing/2014/main" id="{00000000-0008-0000-0000-00005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62" name="Picture 11" hidden="1">
          <a:extLst>
            <a:ext uri="{FF2B5EF4-FFF2-40B4-BE49-F238E27FC236}">
              <a16:creationId xmlns:a16="http://schemas.microsoft.com/office/drawing/2014/main" id="{00000000-0008-0000-0000-00005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64" name="Picture 11" hidden="1">
          <a:extLst>
            <a:ext uri="{FF2B5EF4-FFF2-40B4-BE49-F238E27FC236}">
              <a16:creationId xmlns:a16="http://schemas.microsoft.com/office/drawing/2014/main" id="{00000000-0008-0000-0000-00005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66" name="Picture 11" hidden="1">
          <a:extLst>
            <a:ext uri="{FF2B5EF4-FFF2-40B4-BE49-F238E27FC236}">
              <a16:creationId xmlns:a16="http://schemas.microsoft.com/office/drawing/2014/main" id="{00000000-0008-0000-0000-00005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68" name="Picture 11" hidden="1">
          <a:extLst>
            <a:ext uri="{FF2B5EF4-FFF2-40B4-BE49-F238E27FC236}">
              <a16:creationId xmlns:a16="http://schemas.microsoft.com/office/drawing/2014/main" id="{00000000-0008-0000-0000-00005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70" name="Picture 11" hidden="1">
          <a:extLst>
            <a:ext uri="{FF2B5EF4-FFF2-40B4-BE49-F238E27FC236}">
              <a16:creationId xmlns:a16="http://schemas.microsoft.com/office/drawing/2014/main" id="{00000000-0008-0000-0000-00005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72" name="Picture 11" hidden="1">
          <a:extLst>
            <a:ext uri="{FF2B5EF4-FFF2-40B4-BE49-F238E27FC236}">
              <a16:creationId xmlns:a16="http://schemas.microsoft.com/office/drawing/2014/main" id="{00000000-0008-0000-0000-00006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74" name="Picture 11" hidden="1">
          <a:extLst>
            <a:ext uri="{FF2B5EF4-FFF2-40B4-BE49-F238E27FC236}">
              <a16:creationId xmlns:a16="http://schemas.microsoft.com/office/drawing/2014/main" id="{00000000-0008-0000-0000-00006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76" name="Picture 11" hidden="1">
          <a:extLst>
            <a:ext uri="{FF2B5EF4-FFF2-40B4-BE49-F238E27FC236}">
              <a16:creationId xmlns:a16="http://schemas.microsoft.com/office/drawing/2014/main" id="{00000000-0008-0000-0000-00006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78" name="Picture 11" hidden="1">
          <a:extLst>
            <a:ext uri="{FF2B5EF4-FFF2-40B4-BE49-F238E27FC236}">
              <a16:creationId xmlns:a16="http://schemas.microsoft.com/office/drawing/2014/main" id="{00000000-0008-0000-0000-00006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80" name="Picture 11" hidden="1">
          <a:extLst>
            <a:ext uri="{FF2B5EF4-FFF2-40B4-BE49-F238E27FC236}">
              <a16:creationId xmlns:a16="http://schemas.microsoft.com/office/drawing/2014/main" id="{00000000-0008-0000-0000-00006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82" name="Picture 11" hidden="1">
          <a:extLst>
            <a:ext uri="{FF2B5EF4-FFF2-40B4-BE49-F238E27FC236}">
              <a16:creationId xmlns:a16="http://schemas.microsoft.com/office/drawing/2014/main" id="{00000000-0008-0000-0000-00006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84" name="Picture 11" hidden="1">
          <a:extLst>
            <a:ext uri="{FF2B5EF4-FFF2-40B4-BE49-F238E27FC236}">
              <a16:creationId xmlns:a16="http://schemas.microsoft.com/office/drawing/2014/main" id="{00000000-0008-0000-0000-00006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86" name="Picture 11" hidden="1">
          <a:extLst>
            <a:ext uri="{FF2B5EF4-FFF2-40B4-BE49-F238E27FC236}">
              <a16:creationId xmlns:a16="http://schemas.microsoft.com/office/drawing/2014/main" id="{00000000-0008-0000-0000-00006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88" name="Picture 11" hidden="1">
          <a:extLst>
            <a:ext uri="{FF2B5EF4-FFF2-40B4-BE49-F238E27FC236}">
              <a16:creationId xmlns:a16="http://schemas.microsoft.com/office/drawing/2014/main" id="{00000000-0008-0000-0000-00007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90" name="Picture 11" hidden="1">
          <a:extLst>
            <a:ext uri="{FF2B5EF4-FFF2-40B4-BE49-F238E27FC236}">
              <a16:creationId xmlns:a16="http://schemas.microsoft.com/office/drawing/2014/main" id="{00000000-0008-0000-0000-00007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92" name="Picture 11" hidden="1">
          <a:extLst>
            <a:ext uri="{FF2B5EF4-FFF2-40B4-BE49-F238E27FC236}">
              <a16:creationId xmlns:a16="http://schemas.microsoft.com/office/drawing/2014/main" id="{00000000-0008-0000-0000-00007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94" name="Picture 11" hidden="1">
          <a:extLst>
            <a:ext uri="{FF2B5EF4-FFF2-40B4-BE49-F238E27FC236}">
              <a16:creationId xmlns:a16="http://schemas.microsoft.com/office/drawing/2014/main" id="{00000000-0008-0000-0000-00007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96" name="Picture 11" hidden="1">
          <a:extLst>
            <a:ext uri="{FF2B5EF4-FFF2-40B4-BE49-F238E27FC236}">
              <a16:creationId xmlns:a16="http://schemas.microsoft.com/office/drawing/2014/main" id="{00000000-0008-0000-0000-00007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98" name="Picture 11" hidden="1">
          <a:extLst>
            <a:ext uri="{FF2B5EF4-FFF2-40B4-BE49-F238E27FC236}">
              <a16:creationId xmlns:a16="http://schemas.microsoft.com/office/drawing/2014/main" id="{00000000-0008-0000-0000-00007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00" name="Picture 11" hidden="1">
          <a:extLst>
            <a:ext uri="{FF2B5EF4-FFF2-40B4-BE49-F238E27FC236}">
              <a16:creationId xmlns:a16="http://schemas.microsoft.com/office/drawing/2014/main" id="{00000000-0008-0000-0000-00007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02" name="Picture 11" hidden="1">
          <a:extLst>
            <a:ext uri="{FF2B5EF4-FFF2-40B4-BE49-F238E27FC236}">
              <a16:creationId xmlns:a16="http://schemas.microsoft.com/office/drawing/2014/main" id="{00000000-0008-0000-0000-00007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04" name="Picture 11" hidden="1">
          <a:extLst>
            <a:ext uri="{FF2B5EF4-FFF2-40B4-BE49-F238E27FC236}">
              <a16:creationId xmlns:a16="http://schemas.microsoft.com/office/drawing/2014/main" id="{00000000-0008-0000-0000-00008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06" name="Picture 11" hidden="1">
          <a:extLst>
            <a:ext uri="{FF2B5EF4-FFF2-40B4-BE49-F238E27FC236}">
              <a16:creationId xmlns:a16="http://schemas.microsoft.com/office/drawing/2014/main" id="{00000000-0008-0000-0000-00008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08" name="Picture 11" hidden="1">
          <a:extLst>
            <a:ext uri="{FF2B5EF4-FFF2-40B4-BE49-F238E27FC236}">
              <a16:creationId xmlns:a16="http://schemas.microsoft.com/office/drawing/2014/main" id="{00000000-0008-0000-0000-00008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10" name="Picture 11" hidden="1">
          <a:extLst>
            <a:ext uri="{FF2B5EF4-FFF2-40B4-BE49-F238E27FC236}">
              <a16:creationId xmlns:a16="http://schemas.microsoft.com/office/drawing/2014/main" id="{00000000-0008-0000-0000-00008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12" name="Picture 11" hidden="1">
          <a:extLst>
            <a:ext uri="{FF2B5EF4-FFF2-40B4-BE49-F238E27FC236}">
              <a16:creationId xmlns:a16="http://schemas.microsoft.com/office/drawing/2014/main" id="{00000000-0008-0000-0000-00008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14" name="Picture 11" hidden="1">
          <a:extLst>
            <a:ext uri="{FF2B5EF4-FFF2-40B4-BE49-F238E27FC236}">
              <a16:creationId xmlns:a16="http://schemas.microsoft.com/office/drawing/2014/main" id="{00000000-0008-0000-0000-00008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16" name="Picture 11" hidden="1">
          <a:extLst>
            <a:ext uri="{FF2B5EF4-FFF2-40B4-BE49-F238E27FC236}">
              <a16:creationId xmlns:a16="http://schemas.microsoft.com/office/drawing/2014/main" id="{00000000-0008-0000-0000-00008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18" name="Picture 11" hidden="1">
          <a:extLst>
            <a:ext uri="{FF2B5EF4-FFF2-40B4-BE49-F238E27FC236}">
              <a16:creationId xmlns:a16="http://schemas.microsoft.com/office/drawing/2014/main" id="{00000000-0008-0000-0000-00008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20" name="Picture 11" hidden="1">
          <a:extLst>
            <a:ext uri="{FF2B5EF4-FFF2-40B4-BE49-F238E27FC236}">
              <a16:creationId xmlns:a16="http://schemas.microsoft.com/office/drawing/2014/main" id="{00000000-0008-0000-0000-00009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22" name="Picture 5521" hidden="1">
          <a:extLst>
            <a:ext uri="{FF2B5EF4-FFF2-40B4-BE49-F238E27FC236}">
              <a16:creationId xmlns:a16="http://schemas.microsoft.com/office/drawing/2014/main" id="{00000000-0008-0000-0000-00009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24" name="Picture 11" hidden="1">
          <a:extLst>
            <a:ext uri="{FF2B5EF4-FFF2-40B4-BE49-F238E27FC236}">
              <a16:creationId xmlns:a16="http://schemas.microsoft.com/office/drawing/2014/main" id="{00000000-0008-0000-0000-00009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26" name="Picture 11" hidden="1">
          <a:extLst>
            <a:ext uri="{FF2B5EF4-FFF2-40B4-BE49-F238E27FC236}">
              <a16:creationId xmlns:a16="http://schemas.microsoft.com/office/drawing/2014/main" id="{00000000-0008-0000-0000-00009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28" name="Picture 11" hidden="1">
          <a:extLst>
            <a:ext uri="{FF2B5EF4-FFF2-40B4-BE49-F238E27FC236}">
              <a16:creationId xmlns:a16="http://schemas.microsoft.com/office/drawing/2014/main" id="{00000000-0008-0000-0000-00009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30" name="Picture 11" hidden="1">
          <a:extLst>
            <a:ext uri="{FF2B5EF4-FFF2-40B4-BE49-F238E27FC236}">
              <a16:creationId xmlns:a16="http://schemas.microsoft.com/office/drawing/2014/main" id="{00000000-0008-0000-0000-00009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32" name="Picture 11" hidden="1">
          <a:extLst>
            <a:ext uri="{FF2B5EF4-FFF2-40B4-BE49-F238E27FC236}">
              <a16:creationId xmlns:a16="http://schemas.microsoft.com/office/drawing/2014/main" id="{00000000-0008-0000-0000-00009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34" name="Picture 11" hidden="1">
          <a:extLst>
            <a:ext uri="{FF2B5EF4-FFF2-40B4-BE49-F238E27FC236}">
              <a16:creationId xmlns:a16="http://schemas.microsoft.com/office/drawing/2014/main" id="{00000000-0008-0000-0000-00009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36" name="Picture 11" hidden="1">
          <a:extLst>
            <a:ext uri="{FF2B5EF4-FFF2-40B4-BE49-F238E27FC236}">
              <a16:creationId xmlns:a16="http://schemas.microsoft.com/office/drawing/2014/main" id="{00000000-0008-0000-0000-0000A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38" name="Picture 11" hidden="1">
          <a:extLst>
            <a:ext uri="{FF2B5EF4-FFF2-40B4-BE49-F238E27FC236}">
              <a16:creationId xmlns:a16="http://schemas.microsoft.com/office/drawing/2014/main" id="{00000000-0008-0000-0000-0000A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40" name="Picture 11" hidden="1">
          <a:extLst>
            <a:ext uri="{FF2B5EF4-FFF2-40B4-BE49-F238E27FC236}">
              <a16:creationId xmlns:a16="http://schemas.microsoft.com/office/drawing/2014/main" id="{00000000-0008-0000-0000-0000A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42" name="Picture 11" hidden="1">
          <a:extLst>
            <a:ext uri="{FF2B5EF4-FFF2-40B4-BE49-F238E27FC236}">
              <a16:creationId xmlns:a16="http://schemas.microsoft.com/office/drawing/2014/main" id="{00000000-0008-0000-0000-0000A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44" name="Picture 11" hidden="1">
          <a:extLst>
            <a:ext uri="{FF2B5EF4-FFF2-40B4-BE49-F238E27FC236}">
              <a16:creationId xmlns:a16="http://schemas.microsoft.com/office/drawing/2014/main" id="{00000000-0008-0000-0000-0000A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46" name="Picture 11" hidden="1">
          <a:extLst>
            <a:ext uri="{FF2B5EF4-FFF2-40B4-BE49-F238E27FC236}">
              <a16:creationId xmlns:a16="http://schemas.microsoft.com/office/drawing/2014/main" id="{00000000-0008-0000-0000-0000A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48" name="Picture 11" hidden="1">
          <a:extLst>
            <a:ext uri="{FF2B5EF4-FFF2-40B4-BE49-F238E27FC236}">
              <a16:creationId xmlns:a16="http://schemas.microsoft.com/office/drawing/2014/main" id="{00000000-0008-0000-0000-0000A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50" name="Picture 11" hidden="1">
          <a:extLst>
            <a:ext uri="{FF2B5EF4-FFF2-40B4-BE49-F238E27FC236}">
              <a16:creationId xmlns:a16="http://schemas.microsoft.com/office/drawing/2014/main" id="{00000000-0008-0000-0000-0000A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52" name="Picture 11" hidden="1">
          <a:extLst>
            <a:ext uri="{FF2B5EF4-FFF2-40B4-BE49-F238E27FC236}">
              <a16:creationId xmlns:a16="http://schemas.microsoft.com/office/drawing/2014/main" id="{00000000-0008-0000-0000-0000B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54" name="Picture 11" hidden="1">
          <a:extLst>
            <a:ext uri="{FF2B5EF4-FFF2-40B4-BE49-F238E27FC236}">
              <a16:creationId xmlns:a16="http://schemas.microsoft.com/office/drawing/2014/main" id="{00000000-0008-0000-0000-0000B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56" name="Picture 11" hidden="1">
          <a:extLst>
            <a:ext uri="{FF2B5EF4-FFF2-40B4-BE49-F238E27FC236}">
              <a16:creationId xmlns:a16="http://schemas.microsoft.com/office/drawing/2014/main" id="{00000000-0008-0000-0000-0000B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58" name="Picture 11" hidden="1">
          <a:extLst>
            <a:ext uri="{FF2B5EF4-FFF2-40B4-BE49-F238E27FC236}">
              <a16:creationId xmlns:a16="http://schemas.microsoft.com/office/drawing/2014/main" id="{00000000-0008-0000-0000-0000B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60" name="Picture 11" hidden="1">
          <a:extLst>
            <a:ext uri="{FF2B5EF4-FFF2-40B4-BE49-F238E27FC236}">
              <a16:creationId xmlns:a16="http://schemas.microsoft.com/office/drawing/2014/main" id="{00000000-0008-0000-0000-0000B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62" name="Picture 11" hidden="1">
          <a:extLst>
            <a:ext uri="{FF2B5EF4-FFF2-40B4-BE49-F238E27FC236}">
              <a16:creationId xmlns:a16="http://schemas.microsoft.com/office/drawing/2014/main" id="{00000000-0008-0000-0000-0000B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64" name="Picture 11" hidden="1">
          <a:extLst>
            <a:ext uri="{FF2B5EF4-FFF2-40B4-BE49-F238E27FC236}">
              <a16:creationId xmlns:a16="http://schemas.microsoft.com/office/drawing/2014/main" id="{00000000-0008-0000-0000-0000B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66" name="Picture 11" hidden="1">
          <a:extLst>
            <a:ext uri="{FF2B5EF4-FFF2-40B4-BE49-F238E27FC236}">
              <a16:creationId xmlns:a16="http://schemas.microsoft.com/office/drawing/2014/main" id="{00000000-0008-0000-0000-0000B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68" name="Picture 11" hidden="1">
          <a:extLst>
            <a:ext uri="{FF2B5EF4-FFF2-40B4-BE49-F238E27FC236}">
              <a16:creationId xmlns:a16="http://schemas.microsoft.com/office/drawing/2014/main" id="{00000000-0008-0000-0000-0000C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70" name="Picture 11" hidden="1">
          <a:extLst>
            <a:ext uri="{FF2B5EF4-FFF2-40B4-BE49-F238E27FC236}">
              <a16:creationId xmlns:a16="http://schemas.microsoft.com/office/drawing/2014/main" id="{00000000-0008-0000-0000-0000C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72" name="Picture 11" hidden="1">
          <a:extLst>
            <a:ext uri="{FF2B5EF4-FFF2-40B4-BE49-F238E27FC236}">
              <a16:creationId xmlns:a16="http://schemas.microsoft.com/office/drawing/2014/main" id="{00000000-0008-0000-0000-0000C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74" name="Picture 11" hidden="1">
          <a:extLst>
            <a:ext uri="{FF2B5EF4-FFF2-40B4-BE49-F238E27FC236}">
              <a16:creationId xmlns:a16="http://schemas.microsoft.com/office/drawing/2014/main" id="{00000000-0008-0000-0000-0000C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76" name="Picture 11" hidden="1">
          <a:extLst>
            <a:ext uri="{FF2B5EF4-FFF2-40B4-BE49-F238E27FC236}">
              <a16:creationId xmlns:a16="http://schemas.microsoft.com/office/drawing/2014/main" id="{00000000-0008-0000-0000-0000C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78" name="Picture 11" hidden="1">
          <a:extLst>
            <a:ext uri="{FF2B5EF4-FFF2-40B4-BE49-F238E27FC236}">
              <a16:creationId xmlns:a16="http://schemas.microsoft.com/office/drawing/2014/main" id="{00000000-0008-0000-0000-0000C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80" name="Picture 11" hidden="1">
          <a:extLst>
            <a:ext uri="{FF2B5EF4-FFF2-40B4-BE49-F238E27FC236}">
              <a16:creationId xmlns:a16="http://schemas.microsoft.com/office/drawing/2014/main" id="{00000000-0008-0000-0000-0000C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82" name="Picture 11" hidden="1">
          <a:extLst>
            <a:ext uri="{FF2B5EF4-FFF2-40B4-BE49-F238E27FC236}">
              <a16:creationId xmlns:a16="http://schemas.microsoft.com/office/drawing/2014/main" id="{00000000-0008-0000-0000-0000C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84" name="Picture 11" hidden="1">
          <a:extLst>
            <a:ext uri="{FF2B5EF4-FFF2-40B4-BE49-F238E27FC236}">
              <a16:creationId xmlns:a16="http://schemas.microsoft.com/office/drawing/2014/main" id="{00000000-0008-0000-0000-0000D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86" name="Picture 11" hidden="1">
          <a:extLst>
            <a:ext uri="{FF2B5EF4-FFF2-40B4-BE49-F238E27FC236}">
              <a16:creationId xmlns:a16="http://schemas.microsoft.com/office/drawing/2014/main" id="{00000000-0008-0000-0000-0000D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88" name="Picture 11" hidden="1">
          <a:extLst>
            <a:ext uri="{FF2B5EF4-FFF2-40B4-BE49-F238E27FC236}">
              <a16:creationId xmlns:a16="http://schemas.microsoft.com/office/drawing/2014/main" id="{00000000-0008-0000-0000-0000D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90" name="Picture 11" hidden="1">
          <a:extLst>
            <a:ext uri="{FF2B5EF4-FFF2-40B4-BE49-F238E27FC236}">
              <a16:creationId xmlns:a16="http://schemas.microsoft.com/office/drawing/2014/main" id="{00000000-0008-0000-0000-0000D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92" name="Picture 11" hidden="1">
          <a:extLst>
            <a:ext uri="{FF2B5EF4-FFF2-40B4-BE49-F238E27FC236}">
              <a16:creationId xmlns:a16="http://schemas.microsoft.com/office/drawing/2014/main" id="{00000000-0008-0000-0000-0000D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94" name="Picture 11" hidden="1">
          <a:extLst>
            <a:ext uri="{FF2B5EF4-FFF2-40B4-BE49-F238E27FC236}">
              <a16:creationId xmlns:a16="http://schemas.microsoft.com/office/drawing/2014/main" id="{00000000-0008-0000-0000-0000D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96" name="Picture 11" hidden="1">
          <a:extLst>
            <a:ext uri="{FF2B5EF4-FFF2-40B4-BE49-F238E27FC236}">
              <a16:creationId xmlns:a16="http://schemas.microsoft.com/office/drawing/2014/main" id="{00000000-0008-0000-0000-0000D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98" name="Picture 11" hidden="1">
          <a:extLst>
            <a:ext uri="{FF2B5EF4-FFF2-40B4-BE49-F238E27FC236}">
              <a16:creationId xmlns:a16="http://schemas.microsoft.com/office/drawing/2014/main" id="{00000000-0008-0000-0000-0000D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00" name="Picture 11" hidden="1">
          <a:extLst>
            <a:ext uri="{FF2B5EF4-FFF2-40B4-BE49-F238E27FC236}">
              <a16:creationId xmlns:a16="http://schemas.microsoft.com/office/drawing/2014/main" id="{00000000-0008-0000-0000-0000E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02" name="Picture 11" hidden="1">
          <a:extLst>
            <a:ext uri="{FF2B5EF4-FFF2-40B4-BE49-F238E27FC236}">
              <a16:creationId xmlns:a16="http://schemas.microsoft.com/office/drawing/2014/main" id="{00000000-0008-0000-0000-0000E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04" name="Picture 11" hidden="1">
          <a:extLst>
            <a:ext uri="{FF2B5EF4-FFF2-40B4-BE49-F238E27FC236}">
              <a16:creationId xmlns:a16="http://schemas.microsoft.com/office/drawing/2014/main" id="{00000000-0008-0000-0000-0000E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06" name="Picture 11" hidden="1">
          <a:extLst>
            <a:ext uri="{FF2B5EF4-FFF2-40B4-BE49-F238E27FC236}">
              <a16:creationId xmlns:a16="http://schemas.microsoft.com/office/drawing/2014/main" id="{00000000-0008-0000-0000-0000E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08" name="Picture 11" hidden="1">
          <a:extLst>
            <a:ext uri="{FF2B5EF4-FFF2-40B4-BE49-F238E27FC236}">
              <a16:creationId xmlns:a16="http://schemas.microsoft.com/office/drawing/2014/main" id="{00000000-0008-0000-0000-0000E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10" name="Picture 11" hidden="1">
          <a:extLst>
            <a:ext uri="{FF2B5EF4-FFF2-40B4-BE49-F238E27FC236}">
              <a16:creationId xmlns:a16="http://schemas.microsoft.com/office/drawing/2014/main" id="{00000000-0008-0000-0000-0000E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12" name="Picture 11" hidden="1">
          <a:extLst>
            <a:ext uri="{FF2B5EF4-FFF2-40B4-BE49-F238E27FC236}">
              <a16:creationId xmlns:a16="http://schemas.microsoft.com/office/drawing/2014/main" id="{00000000-0008-0000-0000-0000E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14" name="Picture 11" hidden="1">
          <a:extLst>
            <a:ext uri="{FF2B5EF4-FFF2-40B4-BE49-F238E27FC236}">
              <a16:creationId xmlns:a16="http://schemas.microsoft.com/office/drawing/2014/main" id="{00000000-0008-0000-0000-0000E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16" name="Picture 11" hidden="1">
          <a:extLst>
            <a:ext uri="{FF2B5EF4-FFF2-40B4-BE49-F238E27FC236}">
              <a16:creationId xmlns:a16="http://schemas.microsoft.com/office/drawing/2014/main" id="{00000000-0008-0000-0000-0000F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18" name="Picture 11" hidden="1">
          <a:extLst>
            <a:ext uri="{FF2B5EF4-FFF2-40B4-BE49-F238E27FC236}">
              <a16:creationId xmlns:a16="http://schemas.microsoft.com/office/drawing/2014/main" id="{00000000-0008-0000-0000-0000F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20" name="Picture 11" hidden="1">
          <a:extLst>
            <a:ext uri="{FF2B5EF4-FFF2-40B4-BE49-F238E27FC236}">
              <a16:creationId xmlns:a16="http://schemas.microsoft.com/office/drawing/2014/main" id="{00000000-0008-0000-0000-0000F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22" name="Picture 11" hidden="1">
          <a:extLst>
            <a:ext uri="{FF2B5EF4-FFF2-40B4-BE49-F238E27FC236}">
              <a16:creationId xmlns:a16="http://schemas.microsoft.com/office/drawing/2014/main" id="{00000000-0008-0000-0000-0000F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24" name="Picture 11" hidden="1">
          <a:extLst>
            <a:ext uri="{FF2B5EF4-FFF2-40B4-BE49-F238E27FC236}">
              <a16:creationId xmlns:a16="http://schemas.microsoft.com/office/drawing/2014/main" id="{00000000-0008-0000-0000-0000F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26" name="Picture 11" hidden="1">
          <a:extLst>
            <a:ext uri="{FF2B5EF4-FFF2-40B4-BE49-F238E27FC236}">
              <a16:creationId xmlns:a16="http://schemas.microsoft.com/office/drawing/2014/main" id="{00000000-0008-0000-0000-0000F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28" name="Picture 11" hidden="1">
          <a:extLst>
            <a:ext uri="{FF2B5EF4-FFF2-40B4-BE49-F238E27FC236}">
              <a16:creationId xmlns:a16="http://schemas.microsoft.com/office/drawing/2014/main" id="{00000000-0008-0000-0000-0000F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30" name="Picture 5629" hidden="1">
          <a:extLst>
            <a:ext uri="{FF2B5EF4-FFF2-40B4-BE49-F238E27FC236}">
              <a16:creationId xmlns:a16="http://schemas.microsoft.com/office/drawing/2014/main" id="{00000000-0008-0000-0000-0000F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32" name="Picture 11" hidden="1">
          <a:extLst>
            <a:ext uri="{FF2B5EF4-FFF2-40B4-BE49-F238E27FC236}">
              <a16:creationId xmlns:a16="http://schemas.microsoft.com/office/drawing/2014/main" id="{00000000-0008-0000-0000-00000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34" name="Picture 11" hidden="1">
          <a:extLst>
            <a:ext uri="{FF2B5EF4-FFF2-40B4-BE49-F238E27FC236}">
              <a16:creationId xmlns:a16="http://schemas.microsoft.com/office/drawing/2014/main" id="{00000000-0008-0000-0000-00000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36" name="Picture 11" hidden="1">
          <a:extLst>
            <a:ext uri="{FF2B5EF4-FFF2-40B4-BE49-F238E27FC236}">
              <a16:creationId xmlns:a16="http://schemas.microsoft.com/office/drawing/2014/main" id="{00000000-0008-0000-0000-00000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38" name="Picture 11" hidden="1">
          <a:extLst>
            <a:ext uri="{FF2B5EF4-FFF2-40B4-BE49-F238E27FC236}">
              <a16:creationId xmlns:a16="http://schemas.microsoft.com/office/drawing/2014/main" id="{00000000-0008-0000-0000-00000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40" name="Picture 11" hidden="1">
          <a:extLst>
            <a:ext uri="{FF2B5EF4-FFF2-40B4-BE49-F238E27FC236}">
              <a16:creationId xmlns:a16="http://schemas.microsoft.com/office/drawing/2014/main" id="{00000000-0008-0000-0000-00000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42" name="Picture 11" hidden="1">
          <a:extLst>
            <a:ext uri="{FF2B5EF4-FFF2-40B4-BE49-F238E27FC236}">
              <a16:creationId xmlns:a16="http://schemas.microsoft.com/office/drawing/2014/main" id="{00000000-0008-0000-0000-00000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44" name="Picture 11" hidden="1">
          <a:extLst>
            <a:ext uri="{FF2B5EF4-FFF2-40B4-BE49-F238E27FC236}">
              <a16:creationId xmlns:a16="http://schemas.microsoft.com/office/drawing/2014/main" id="{00000000-0008-0000-0000-00000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46" name="Picture 11" hidden="1">
          <a:extLst>
            <a:ext uri="{FF2B5EF4-FFF2-40B4-BE49-F238E27FC236}">
              <a16:creationId xmlns:a16="http://schemas.microsoft.com/office/drawing/2014/main" id="{00000000-0008-0000-0000-00000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48" name="Picture 11" hidden="1">
          <a:extLst>
            <a:ext uri="{FF2B5EF4-FFF2-40B4-BE49-F238E27FC236}">
              <a16:creationId xmlns:a16="http://schemas.microsoft.com/office/drawing/2014/main" id="{00000000-0008-0000-0000-00001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50" name="Picture 11" hidden="1">
          <a:extLst>
            <a:ext uri="{FF2B5EF4-FFF2-40B4-BE49-F238E27FC236}">
              <a16:creationId xmlns:a16="http://schemas.microsoft.com/office/drawing/2014/main" id="{00000000-0008-0000-0000-00001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52" name="Picture 11" hidden="1">
          <a:extLst>
            <a:ext uri="{FF2B5EF4-FFF2-40B4-BE49-F238E27FC236}">
              <a16:creationId xmlns:a16="http://schemas.microsoft.com/office/drawing/2014/main" id="{00000000-0008-0000-0000-00001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54" name="Picture 11" hidden="1">
          <a:extLst>
            <a:ext uri="{FF2B5EF4-FFF2-40B4-BE49-F238E27FC236}">
              <a16:creationId xmlns:a16="http://schemas.microsoft.com/office/drawing/2014/main" id="{00000000-0008-0000-0000-00001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56" name="Picture 11" hidden="1">
          <a:extLst>
            <a:ext uri="{FF2B5EF4-FFF2-40B4-BE49-F238E27FC236}">
              <a16:creationId xmlns:a16="http://schemas.microsoft.com/office/drawing/2014/main" id="{00000000-0008-0000-0000-00001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58" name="Picture 11" hidden="1">
          <a:extLst>
            <a:ext uri="{FF2B5EF4-FFF2-40B4-BE49-F238E27FC236}">
              <a16:creationId xmlns:a16="http://schemas.microsoft.com/office/drawing/2014/main" id="{00000000-0008-0000-0000-00001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60" name="Picture 11" hidden="1">
          <a:extLst>
            <a:ext uri="{FF2B5EF4-FFF2-40B4-BE49-F238E27FC236}">
              <a16:creationId xmlns:a16="http://schemas.microsoft.com/office/drawing/2014/main" id="{00000000-0008-0000-0000-00001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62" name="Picture 11" hidden="1">
          <a:extLst>
            <a:ext uri="{FF2B5EF4-FFF2-40B4-BE49-F238E27FC236}">
              <a16:creationId xmlns:a16="http://schemas.microsoft.com/office/drawing/2014/main" id="{00000000-0008-0000-0000-00001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64" name="Picture 11" hidden="1">
          <a:extLst>
            <a:ext uri="{FF2B5EF4-FFF2-40B4-BE49-F238E27FC236}">
              <a16:creationId xmlns:a16="http://schemas.microsoft.com/office/drawing/2014/main" id="{00000000-0008-0000-0000-00002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66" name="Picture 11" hidden="1">
          <a:extLst>
            <a:ext uri="{FF2B5EF4-FFF2-40B4-BE49-F238E27FC236}">
              <a16:creationId xmlns:a16="http://schemas.microsoft.com/office/drawing/2014/main" id="{00000000-0008-0000-0000-00002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68" name="Picture 11" hidden="1">
          <a:extLst>
            <a:ext uri="{FF2B5EF4-FFF2-40B4-BE49-F238E27FC236}">
              <a16:creationId xmlns:a16="http://schemas.microsoft.com/office/drawing/2014/main" id="{00000000-0008-0000-0000-00002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70" name="Picture 11" hidden="1">
          <a:extLst>
            <a:ext uri="{FF2B5EF4-FFF2-40B4-BE49-F238E27FC236}">
              <a16:creationId xmlns:a16="http://schemas.microsoft.com/office/drawing/2014/main" id="{00000000-0008-0000-0000-00002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72" name="Picture 11" hidden="1">
          <a:extLst>
            <a:ext uri="{FF2B5EF4-FFF2-40B4-BE49-F238E27FC236}">
              <a16:creationId xmlns:a16="http://schemas.microsoft.com/office/drawing/2014/main" id="{00000000-0008-0000-0000-00002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74" name="Picture 11" hidden="1">
          <a:extLst>
            <a:ext uri="{FF2B5EF4-FFF2-40B4-BE49-F238E27FC236}">
              <a16:creationId xmlns:a16="http://schemas.microsoft.com/office/drawing/2014/main" id="{00000000-0008-0000-0000-00002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76" name="Picture 11" hidden="1">
          <a:extLst>
            <a:ext uri="{FF2B5EF4-FFF2-40B4-BE49-F238E27FC236}">
              <a16:creationId xmlns:a16="http://schemas.microsoft.com/office/drawing/2014/main" id="{00000000-0008-0000-0000-00002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78" name="Picture 11" hidden="1">
          <a:extLst>
            <a:ext uri="{FF2B5EF4-FFF2-40B4-BE49-F238E27FC236}">
              <a16:creationId xmlns:a16="http://schemas.microsoft.com/office/drawing/2014/main" id="{00000000-0008-0000-0000-00002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80" name="Picture 11" hidden="1">
          <a:extLst>
            <a:ext uri="{FF2B5EF4-FFF2-40B4-BE49-F238E27FC236}">
              <a16:creationId xmlns:a16="http://schemas.microsoft.com/office/drawing/2014/main" id="{00000000-0008-0000-0000-00003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82" name="Picture 11" hidden="1">
          <a:extLst>
            <a:ext uri="{FF2B5EF4-FFF2-40B4-BE49-F238E27FC236}">
              <a16:creationId xmlns:a16="http://schemas.microsoft.com/office/drawing/2014/main" id="{00000000-0008-0000-0000-00003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84" name="Picture 11" hidden="1">
          <a:extLst>
            <a:ext uri="{FF2B5EF4-FFF2-40B4-BE49-F238E27FC236}">
              <a16:creationId xmlns:a16="http://schemas.microsoft.com/office/drawing/2014/main" id="{00000000-0008-0000-0000-00003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86" name="Picture 11" hidden="1">
          <a:extLst>
            <a:ext uri="{FF2B5EF4-FFF2-40B4-BE49-F238E27FC236}">
              <a16:creationId xmlns:a16="http://schemas.microsoft.com/office/drawing/2014/main" id="{00000000-0008-0000-0000-00003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88" name="Picture 11" hidden="1">
          <a:extLst>
            <a:ext uri="{FF2B5EF4-FFF2-40B4-BE49-F238E27FC236}">
              <a16:creationId xmlns:a16="http://schemas.microsoft.com/office/drawing/2014/main" id="{00000000-0008-0000-0000-00003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90" name="Picture 11" hidden="1">
          <a:extLst>
            <a:ext uri="{FF2B5EF4-FFF2-40B4-BE49-F238E27FC236}">
              <a16:creationId xmlns:a16="http://schemas.microsoft.com/office/drawing/2014/main" id="{00000000-0008-0000-0000-00003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92" name="Picture 11" hidden="1">
          <a:extLst>
            <a:ext uri="{FF2B5EF4-FFF2-40B4-BE49-F238E27FC236}">
              <a16:creationId xmlns:a16="http://schemas.microsoft.com/office/drawing/2014/main" id="{00000000-0008-0000-0000-00003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94" name="Picture 11" hidden="1">
          <a:extLst>
            <a:ext uri="{FF2B5EF4-FFF2-40B4-BE49-F238E27FC236}">
              <a16:creationId xmlns:a16="http://schemas.microsoft.com/office/drawing/2014/main" id="{00000000-0008-0000-0000-00003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96" name="Picture 11" hidden="1">
          <a:extLst>
            <a:ext uri="{FF2B5EF4-FFF2-40B4-BE49-F238E27FC236}">
              <a16:creationId xmlns:a16="http://schemas.microsoft.com/office/drawing/2014/main" id="{00000000-0008-0000-0000-00004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98" name="Picture 11" hidden="1">
          <a:extLst>
            <a:ext uri="{FF2B5EF4-FFF2-40B4-BE49-F238E27FC236}">
              <a16:creationId xmlns:a16="http://schemas.microsoft.com/office/drawing/2014/main" id="{00000000-0008-0000-0000-00004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00" name="Picture 11" hidden="1">
          <a:extLst>
            <a:ext uri="{FF2B5EF4-FFF2-40B4-BE49-F238E27FC236}">
              <a16:creationId xmlns:a16="http://schemas.microsoft.com/office/drawing/2014/main" id="{00000000-0008-0000-0000-00004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02" name="Picture 11" hidden="1">
          <a:extLst>
            <a:ext uri="{FF2B5EF4-FFF2-40B4-BE49-F238E27FC236}">
              <a16:creationId xmlns:a16="http://schemas.microsoft.com/office/drawing/2014/main" id="{00000000-0008-0000-0000-00004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04" name="Picture 11" hidden="1">
          <a:extLst>
            <a:ext uri="{FF2B5EF4-FFF2-40B4-BE49-F238E27FC236}">
              <a16:creationId xmlns:a16="http://schemas.microsoft.com/office/drawing/2014/main" id="{00000000-0008-0000-0000-00004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06" name="Picture 11" hidden="1">
          <a:extLst>
            <a:ext uri="{FF2B5EF4-FFF2-40B4-BE49-F238E27FC236}">
              <a16:creationId xmlns:a16="http://schemas.microsoft.com/office/drawing/2014/main" id="{00000000-0008-0000-0000-00004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08" name="Picture 11" hidden="1">
          <a:extLst>
            <a:ext uri="{FF2B5EF4-FFF2-40B4-BE49-F238E27FC236}">
              <a16:creationId xmlns:a16="http://schemas.microsoft.com/office/drawing/2014/main" id="{00000000-0008-0000-0000-00004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10" name="Picture 11" hidden="1">
          <a:extLst>
            <a:ext uri="{FF2B5EF4-FFF2-40B4-BE49-F238E27FC236}">
              <a16:creationId xmlns:a16="http://schemas.microsoft.com/office/drawing/2014/main" id="{00000000-0008-0000-0000-00004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12" name="Picture 11" hidden="1">
          <a:extLst>
            <a:ext uri="{FF2B5EF4-FFF2-40B4-BE49-F238E27FC236}">
              <a16:creationId xmlns:a16="http://schemas.microsoft.com/office/drawing/2014/main" id="{00000000-0008-0000-0000-00005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14" name="Picture 11" hidden="1">
          <a:extLst>
            <a:ext uri="{FF2B5EF4-FFF2-40B4-BE49-F238E27FC236}">
              <a16:creationId xmlns:a16="http://schemas.microsoft.com/office/drawing/2014/main" id="{00000000-0008-0000-0000-00005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16" name="Picture 11" hidden="1">
          <a:extLst>
            <a:ext uri="{FF2B5EF4-FFF2-40B4-BE49-F238E27FC236}">
              <a16:creationId xmlns:a16="http://schemas.microsoft.com/office/drawing/2014/main" id="{00000000-0008-0000-0000-00005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18" name="Picture 11" hidden="1">
          <a:extLst>
            <a:ext uri="{FF2B5EF4-FFF2-40B4-BE49-F238E27FC236}">
              <a16:creationId xmlns:a16="http://schemas.microsoft.com/office/drawing/2014/main" id="{00000000-0008-0000-0000-00005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20" name="Picture 11" hidden="1">
          <a:extLst>
            <a:ext uri="{FF2B5EF4-FFF2-40B4-BE49-F238E27FC236}">
              <a16:creationId xmlns:a16="http://schemas.microsoft.com/office/drawing/2014/main" id="{00000000-0008-0000-0000-00005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22" name="Picture 11" hidden="1">
          <a:extLst>
            <a:ext uri="{FF2B5EF4-FFF2-40B4-BE49-F238E27FC236}">
              <a16:creationId xmlns:a16="http://schemas.microsoft.com/office/drawing/2014/main" id="{00000000-0008-0000-0000-00005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24" name="Picture 11" hidden="1">
          <a:extLst>
            <a:ext uri="{FF2B5EF4-FFF2-40B4-BE49-F238E27FC236}">
              <a16:creationId xmlns:a16="http://schemas.microsoft.com/office/drawing/2014/main" id="{00000000-0008-0000-0000-00005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26" name="Picture 11" hidden="1">
          <a:extLst>
            <a:ext uri="{FF2B5EF4-FFF2-40B4-BE49-F238E27FC236}">
              <a16:creationId xmlns:a16="http://schemas.microsoft.com/office/drawing/2014/main" id="{00000000-0008-0000-0000-00005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28" name="Picture 11" hidden="1">
          <a:extLst>
            <a:ext uri="{FF2B5EF4-FFF2-40B4-BE49-F238E27FC236}">
              <a16:creationId xmlns:a16="http://schemas.microsoft.com/office/drawing/2014/main" id="{00000000-0008-0000-0000-00006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30" name="Picture 11" hidden="1">
          <a:extLst>
            <a:ext uri="{FF2B5EF4-FFF2-40B4-BE49-F238E27FC236}">
              <a16:creationId xmlns:a16="http://schemas.microsoft.com/office/drawing/2014/main" id="{00000000-0008-0000-0000-00006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32" name="Picture 11" hidden="1">
          <a:extLst>
            <a:ext uri="{FF2B5EF4-FFF2-40B4-BE49-F238E27FC236}">
              <a16:creationId xmlns:a16="http://schemas.microsoft.com/office/drawing/2014/main" id="{00000000-0008-0000-0000-00006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34" name="Picture 11" hidden="1">
          <a:extLst>
            <a:ext uri="{FF2B5EF4-FFF2-40B4-BE49-F238E27FC236}">
              <a16:creationId xmlns:a16="http://schemas.microsoft.com/office/drawing/2014/main" id="{00000000-0008-0000-0000-00006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36" name="Picture 11" hidden="1">
          <a:extLst>
            <a:ext uri="{FF2B5EF4-FFF2-40B4-BE49-F238E27FC236}">
              <a16:creationId xmlns:a16="http://schemas.microsoft.com/office/drawing/2014/main" id="{00000000-0008-0000-0000-00006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38" name="Picture 5737" hidden="1">
          <a:extLst>
            <a:ext uri="{FF2B5EF4-FFF2-40B4-BE49-F238E27FC236}">
              <a16:creationId xmlns:a16="http://schemas.microsoft.com/office/drawing/2014/main" id="{00000000-0008-0000-0000-00006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40" name="Picture 11" hidden="1">
          <a:extLst>
            <a:ext uri="{FF2B5EF4-FFF2-40B4-BE49-F238E27FC236}">
              <a16:creationId xmlns:a16="http://schemas.microsoft.com/office/drawing/2014/main" id="{00000000-0008-0000-0000-00006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42" name="Picture 11" hidden="1">
          <a:extLst>
            <a:ext uri="{FF2B5EF4-FFF2-40B4-BE49-F238E27FC236}">
              <a16:creationId xmlns:a16="http://schemas.microsoft.com/office/drawing/2014/main" id="{00000000-0008-0000-0000-00006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44" name="Picture 11" hidden="1">
          <a:extLst>
            <a:ext uri="{FF2B5EF4-FFF2-40B4-BE49-F238E27FC236}">
              <a16:creationId xmlns:a16="http://schemas.microsoft.com/office/drawing/2014/main" id="{00000000-0008-0000-0000-00007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46" name="Picture 11" hidden="1">
          <a:extLst>
            <a:ext uri="{FF2B5EF4-FFF2-40B4-BE49-F238E27FC236}">
              <a16:creationId xmlns:a16="http://schemas.microsoft.com/office/drawing/2014/main" id="{00000000-0008-0000-0000-00007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48" name="Picture 11" hidden="1">
          <a:extLst>
            <a:ext uri="{FF2B5EF4-FFF2-40B4-BE49-F238E27FC236}">
              <a16:creationId xmlns:a16="http://schemas.microsoft.com/office/drawing/2014/main" id="{00000000-0008-0000-0000-00007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50" name="Picture 11" hidden="1">
          <a:extLst>
            <a:ext uri="{FF2B5EF4-FFF2-40B4-BE49-F238E27FC236}">
              <a16:creationId xmlns:a16="http://schemas.microsoft.com/office/drawing/2014/main" id="{00000000-0008-0000-0000-00007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52" name="Picture 11" hidden="1">
          <a:extLst>
            <a:ext uri="{FF2B5EF4-FFF2-40B4-BE49-F238E27FC236}">
              <a16:creationId xmlns:a16="http://schemas.microsoft.com/office/drawing/2014/main" id="{00000000-0008-0000-0000-00007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54" name="Picture 11" hidden="1">
          <a:extLst>
            <a:ext uri="{FF2B5EF4-FFF2-40B4-BE49-F238E27FC236}">
              <a16:creationId xmlns:a16="http://schemas.microsoft.com/office/drawing/2014/main" id="{00000000-0008-0000-0000-00007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56" name="Picture 11" hidden="1">
          <a:extLst>
            <a:ext uri="{FF2B5EF4-FFF2-40B4-BE49-F238E27FC236}">
              <a16:creationId xmlns:a16="http://schemas.microsoft.com/office/drawing/2014/main" id="{00000000-0008-0000-0000-00007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58" name="Picture 11" hidden="1">
          <a:extLst>
            <a:ext uri="{FF2B5EF4-FFF2-40B4-BE49-F238E27FC236}">
              <a16:creationId xmlns:a16="http://schemas.microsoft.com/office/drawing/2014/main" id="{00000000-0008-0000-0000-00007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60" name="Picture 11" hidden="1">
          <a:extLst>
            <a:ext uri="{FF2B5EF4-FFF2-40B4-BE49-F238E27FC236}">
              <a16:creationId xmlns:a16="http://schemas.microsoft.com/office/drawing/2014/main" id="{00000000-0008-0000-0000-00008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62" name="Picture 11" hidden="1">
          <a:extLst>
            <a:ext uri="{FF2B5EF4-FFF2-40B4-BE49-F238E27FC236}">
              <a16:creationId xmlns:a16="http://schemas.microsoft.com/office/drawing/2014/main" id="{00000000-0008-0000-0000-00008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64" name="Picture 11" hidden="1">
          <a:extLst>
            <a:ext uri="{FF2B5EF4-FFF2-40B4-BE49-F238E27FC236}">
              <a16:creationId xmlns:a16="http://schemas.microsoft.com/office/drawing/2014/main" id="{00000000-0008-0000-0000-00008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66" name="Picture 11" hidden="1">
          <a:extLst>
            <a:ext uri="{FF2B5EF4-FFF2-40B4-BE49-F238E27FC236}">
              <a16:creationId xmlns:a16="http://schemas.microsoft.com/office/drawing/2014/main" id="{00000000-0008-0000-0000-00008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68" name="Picture 11" hidden="1">
          <a:extLst>
            <a:ext uri="{FF2B5EF4-FFF2-40B4-BE49-F238E27FC236}">
              <a16:creationId xmlns:a16="http://schemas.microsoft.com/office/drawing/2014/main" id="{00000000-0008-0000-0000-00008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70" name="Picture 11" hidden="1">
          <a:extLst>
            <a:ext uri="{FF2B5EF4-FFF2-40B4-BE49-F238E27FC236}">
              <a16:creationId xmlns:a16="http://schemas.microsoft.com/office/drawing/2014/main" id="{00000000-0008-0000-0000-00008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72" name="Picture 11" hidden="1">
          <a:extLst>
            <a:ext uri="{FF2B5EF4-FFF2-40B4-BE49-F238E27FC236}">
              <a16:creationId xmlns:a16="http://schemas.microsoft.com/office/drawing/2014/main" id="{00000000-0008-0000-0000-00008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74" name="Picture 11" hidden="1">
          <a:extLst>
            <a:ext uri="{FF2B5EF4-FFF2-40B4-BE49-F238E27FC236}">
              <a16:creationId xmlns:a16="http://schemas.microsoft.com/office/drawing/2014/main" id="{00000000-0008-0000-0000-00008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76" name="Picture 11" hidden="1">
          <a:extLst>
            <a:ext uri="{FF2B5EF4-FFF2-40B4-BE49-F238E27FC236}">
              <a16:creationId xmlns:a16="http://schemas.microsoft.com/office/drawing/2014/main" id="{00000000-0008-0000-0000-00009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78" name="Picture 11" hidden="1">
          <a:extLst>
            <a:ext uri="{FF2B5EF4-FFF2-40B4-BE49-F238E27FC236}">
              <a16:creationId xmlns:a16="http://schemas.microsoft.com/office/drawing/2014/main" id="{00000000-0008-0000-0000-00009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80" name="Picture 11" hidden="1">
          <a:extLst>
            <a:ext uri="{FF2B5EF4-FFF2-40B4-BE49-F238E27FC236}">
              <a16:creationId xmlns:a16="http://schemas.microsoft.com/office/drawing/2014/main" id="{00000000-0008-0000-0000-00009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82" name="Picture 11" hidden="1">
          <a:extLst>
            <a:ext uri="{FF2B5EF4-FFF2-40B4-BE49-F238E27FC236}">
              <a16:creationId xmlns:a16="http://schemas.microsoft.com/office/drawing/2014/main" id="{00000000-0008-0000-0000-00009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84" name="Picture 11" hidden="1">
          <a:extLst>
            <a:ext uri="{FF2B5EF4-FFF2-40B4-BE49-F238E27FC236}">
              <a16:creationId xmlns:a16="http://schemas.microsoft.com/office/drawing/2014/main" id="{00000000-0008-0000-0000-00009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86" name="Picture 11" hidden="1">
          <a:extLst>
            <a:ext uri="{FF2B5EF4-FFF2-40B4-BE49-F238E27FC236}">
              <a16:creationId xmlns:a16="http://schemas.microsoft.com/office/drawing/2014/main" id="{00000000-0008-0000-0000-00009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88" name="Picture 11" hidden="1">
          <a:extLst>
            <a:ext uri="{FF2B5EF4-FFF2-40B4-BE49-F238E27FC236}">
              <a16:creationId xmlns:a16="http://schemas.microsoft.com/office/drawing/2014/main" id="{00000000-0008-0000-0000-00009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90" name="Picture 11" hidden="1">
          <a:extLst>
            <a:ext uri="{FF2B5EF4-FFF2-40B4-BE49-F238E27FC236}">
              <a16:creationId xmlns:a16="http://schemas.microsoft.com/office/drawing/2014/main" id="{00000000-0008-0000-0000-00009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92" name="Picture 11" hidden="1">
          <a:extLst>
            <a:ext uri="{FF2B5EF4-FFF2-40B4-BE49-F238E27FC236}">
              <a16:creationId xmlns:a16="http://schemas.microsoft.com/office/drawing/2014/main" id="{00000000-0008-0000-0000-0000A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94" name="Picture 11" hidden="1">
          <a:extLst>
            <a:ext uri="{FF2B5EF4-FFF2-40B4-BE49-F238E27FC236}">
              <a16:creationId xmlns:a16="http://schemas.microsoft.com/office/drawing/2014/main" id="{00000000-0008-0000-0000-0000A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96" name="Picture 11" hidden="1">
          <a:extLst>
            <a:ext uri="{FF2B5EF4-FFF2-40B4-BE49-F238E27FC236}">
              <a16:creationId xmlns:a16="http://schemas.microsoft.com/office/drawing/2014/main" id="{00000000-0008-0000-0000-0000A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98" name="Picture 11" hidden="1">
          <a:extLst>
            <a:ext uri="{FF2B5EF4-FFF2-40B4-BE49-F238E27FC236}">
              <a16:creationId xmlns:a16="http://schemas.microsoft.com/office/drawing/2014/main" id="{00000000-0008-0000-0000-0000A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00" name="Picture 11" hidden="1">
          <a:extLst>
            <a:ext uri="{FF2B5EF4-FFF2-40B4-BE49-F238E27FC236}">
              <a16:creationId xmlns:a16="http://schemas.microsoft.com/office/drawing/2014/main" id="{00000000-0008-0000-0000-0000A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02" name="Picture 11" hidden="1">
          <a:extLst>
            <a:ext uri="{FF2B5EF4-FFF2-40B4-BE49-F238E27FC236}">
              <a16:creationId xmlns:a16="http://schemas.microsoft.com/office/drawing/2014/main" id="{00000000-0008-0000-0000-0000A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04" name="Picture 11" hidden="1">
          <a:extLst>
            <a:ext uri="{FF2B5EF4-FFF2-40B4-BE49-F238E27FC236}">
              <a16:creationId xmlns:a16="http://schemas.microsoft.com/office/drawing/2014/main" id="{00000000-0008-0000-0000-0000A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06" name="Picture 11" hidden="1">
          <a:extLst>
            <a:ext uri="{FF2B5EF4-FFF2-40B4-BE49-F238E27FC236}">
              <a16:creationId xmlns:a16="http://schemas.microsoft.com/office/drawing/2014/main" id="{00000000-0008-0000-0000-0000A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08" name="Picture 11" hidden="1">
          <a:extLst>
            <a:ext uri="{FF2B5EF4-FFF2-40B4-BE49-F238E27FC236}">
              <a16:creationId xmlns:a16="http://schemas.microsoft.com/office/drawing/2014/main" id="{00000000-0008-0000-0000-0000B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10" name="Picture 11" hidden="1">
          <a:extLst>
            <a:ext uri="{FF2B5EF4-FFF2-40B4-BE49-F238E27FC236}">
              <a16:creationId xmlns:a16="http://schemas.microsoft.com/office/drawing/2014/main" id="{00000000-0008-0000-0000-0000B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12" name="Picture 11" hidden="1">
          <a:extLst>
            <a:ext uri="{FF2B5EF4-FFF2-40B4-BE49-F238E27FC236}">
              <a16:creationId xmlns:a16="http://schemas.microsoft.com/office/drawing/2014/main" id="{00000000-0008-0000-0000-0000B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14" name="Picture 11" hidden="1">
          <a:extLst>
            <a:ext uri="{FF2B5EF4-FFF2-40B4-BE49-F238E27FC236}">
              <a16:creationId xmlns:a16="http://schemas.microsoft.com/office/drawing/2014/main" id="{00000000-0008-0000-0000-0000B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16" name="Picture 11" hidden="1">
          <a:extLst>
            <a:ext uri="{FF2B5EF4-FFF2-40B4-BE49-F238E27FC236}">
              <a16:creationId xmlns:a16="http://schemas.microsoft.com/office/drawing/2014/main" id="{00000000-0008-0000-0000-0000B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18" name="Picture 11" hidden="1">
          <a:extLst>
            <a:ext uri="{FF2B5EF4-FFF2-40B4-BE49-F238E27FC236}">
              <a16:creationId xmlns:a16="http://schemas.microsoft.com/office/drawing/2014/main" id="{00000000-0008-0000-0000-0000B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20" name="Picture 11" hidden="1">
          <a:extLst>
            <a:ext uri="{FF2B5EF4-FFF2-40B4-BE49-F238E27FC236}">
              <a16:creationId xmlns:a16="http://schemas.microsoft.com/office/drawing/2014/main" id="{00000000-0008-0000-0000-0000B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22" name="Picture 11" hidden="1">
          <a:extLst>
            <a:ext uri="{FF2B5EF4-FFF2-40B4-BE49-F238E27FC236}">
              <a16:creationId xmlns:a16="http://schemas.microsoft.com/office/drawing/2014/main" id="{00000000-0008-0000-0000-0000B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24" name="Picture 11" hidden="1">
          <a:extLst>
            <a:ext uri="{FF2B5EF4-FFF2-40B4-BE49-F238E27FC236}">
              <a16:creationId xmlns:a16="http://schemas.microsoft.com/office/drawing/2014/main" id="{00000000-0008-0000-0000-0000C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26" name="Picture 11" hidden="1">
          <a:extLst>
            <a:ext uri="{FF2B5EF4-FFF2-40B4-BE49-F238E27FC236}">
              <a16:creationId xmlns:a16="http://schemas.microsoft.com/office/drawing/2014/main" id="{00000000-0008-0000-0000-0000C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28" name="Picture 11" hidden="1">
          <a:extLst>
            <a:ext uri="{FF2B5EF4-FFF2-40B4-BE49-F238E27FC236}">
              <a16:creationId xmlns:a16="http://schemas.microsoft.com/office/drawing/2014/main" id="{00000000-0008-0000-0000-0000C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30" name="Picture 11" hidden="1">
          <a:extLst>
            <a:ext uri="{FF2B5EF4-FFF2-40B4-BE49-F238E27FC236}">
              <a16:creationId xmlns:a16="http://schemas.microsoft.com/office/drawing/2014/main" id="{00000000-0008-0000-0000-0000C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32" name="Picture 11" hidden="1">
          <a:extLst>
            <a:ext uri="{FF2B5EF4-FFF2-40B4-BE49-F238E27FC236}">
              <a16:creationId xmlns:a16="http://schemas.microsoft.com/office/drawing/2014/main" id="{00000000-0008-0000-0000-0000C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34" name="Picture 11" hidden="1">
          <a:extLst>
            <a:ext uri="{FF2B5EF4-FFF2-40B4-BE49-F238E27FC236}">
              <a16:creationId xmlns:a16="http://schemas.microsoft.com/office/drawing/2014/main" id="{00000000-0008-0000-0000-0000C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36" name="Picture 11" hidden="1">
          <a:extLst>
            <a:ext uri="{FF2B5EF4-FFF2-40B4-BE49-F238E27FC236}">
              <a16:creationId xmlns:a16="http://schemas.microsoft.com/office/drawing/2014/main" id="{00000000-0008-0000-0000-0000C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5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6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5838" name="Picture 11" hidden="1">
          <a:extLst>
            <a:ext uri="{FF2B5EF4-FFF2-40B4-BE49-F238E27FC236}">
              <a16:creationId xmlns:a16="http://schemas.microsoft.com/office/drawing/2014/main" id="{00000000-0008-0000-0000-0000C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40" name="Picture 11" hidden="1">
          <a:extLst>
            <a:ext uri="{FF2B5EF4-FFF2-40B4-BE49-F238E27FC236}">
              <a16:creationId xmlns:a16="http://schemas.microsoft.com/office/drawing/2014/main" id="{00000000-0008-0000-0000-0000D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42" name="Picture 11" hidden="1">
          <a:extLst>
            <a:ext uri="{FF2B5EF4-FFF2-40B4-BE49-F238E27FC236}">
              <a16:creationId xmlns:a16="http://schemas.microsoft.com/office/drawing/2014/main" id="{00000000-0008-0000-0000-0000D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44" name="Picture 11" hidden="1">
          <a:extLst>
            <a:ext uri="{FF2B5EF4-FFF2-40B4-BE49-F238E27FC236}">
              <a16:creationId xmlns:a16="http://schemas.microsoft.com/office/drawing/2014/main" id="{00000000-0008-0000-0000-0000D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46" name="Picture 5845" hidden="1">
          <a:extLst>
            <a:ext uri="{FF2B5EF4-FFF2-40B4-BE49-F238E27FC236}">
              <a16:creationId xmlns:a16="http://schemas.microsoft.com/office/drawing/2014/main" id="{00000000-0008-0000-0000-0000D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48" name="Picture 11" hidden="1">
          <a:extLst>
            <a:ext uri="{FF2B5EF4-FFF2-40B4-BE49-F238E27FC236}">
              <a16:creationId xmlns:a16="http://schemas.microsoft.com/office/drawing/2014/main" id="{00000000-0008-0000-0000-0000D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50" name="Picture 11" hidden="1">
          <a:extLst>
            <a:ext uri="{FF2B5EF4-FFF2-40B4-BE49-F238E27FC236}">
              <a16:creationId xmlns:a16="http://schemas.microsoft.com/office/drawing/2014/main" id="{00000000-0008-0000-0000-0000D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52" name="Picture 11" hidden="1">
          <a:extLst>
            <a:ext uri="{FF2B5EF4-FFF2-40B4-BE49-F238E27FC236}">
              <a16:creationId xmlns:a16="http://schemas.microsoft.com/office/drawing/2014/main" id="{00000000-0008-0000-0000-0000D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54" name="Picture 11" hidden="1">
          <a:extLst>
            <a:ext uri="{FF2B5EF4-FFF2-40B4-BE49-F238E27FC236}">
              <a16:creationId xmlns:a16="http://schemas.microsoft.com/office/drawing/2014/main" id="{00000000-0008-0000-0000-0000D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56" name="Picture 11" hidden="1">
          <a:extLst>
            <a:ext uri="{FF2B5EF4-FFF2-40B4-BE49-F238E27FC236}">
              <a16:creationId xmlns:a16="http://schemas.microsoft.com/office/drawing/2014/main" id="{00000000-0008-0000-0000-0000E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58" name="Picture 11" hidden="1">
          <a:extLst>
            <a:ext uri="{FF2B5EF4-FFF2-40B4-BE49-F238E27FC236}">
              <a16:creationId xmlns:a16="http://schemas.microsoft.com/office/drawing/2014/main" id="{00000000-0008-0000-0000-0000E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60" name="Picture 11" hidden="1">
          <a:extLst>
            <a:ext uri="{FF2B5EF4-FFF2-40B4-BE49-F238E27FC236}">
              <a16:creationId xmlns:a16="http://schemas.microsoft.com/office/drawing/2014/main" id="{00000000-0008-0000-0000-0000E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62" name="Picture 11" hidden="1">
          <a:extLst>
            <a:ext uri="{FF2B5EF4-FFF2-40B4-BE49-F238E27FC236}">
              <a16:creationId xmlns:a16="http://schemas.microsoft.com/office/drawing/2014/main" id="{00000000-0008-0000-0000-0000E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64" name="Picture 11" hidden="1">
          <a:extLst>
            <a:ext uri="{FF2B5EF4-FFF2-40B4-BE49-F238E27FC236}">
              <a16:creationId xmlns:a16="http://schemas.microsoft.com/office/drawing/2014/main" id="{00000000-0008-0000-0000-0000E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66" name="Picture 11" hidden="1">
          <a:extLst>
            <a:ext uri="{FF2B5EF4-FFF2-40B4-BE49-F238E27FC236}">
              <a16:creationId xmlns:a16="http://schemas.microsoft.com/office/drawing/2014/main" id="{00000000-0008-0000-0000-0000E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68" name="Picture 11" hidden="1">
          <a:extLst>
            <a:ext uri="{FF2B5EF4-FFF2-40B4-BE49-F238E27FC236}">
              <a16:creationId xmlns:a16="http://schemas.microsoft.com/office/drawing/2014/main" id="{00000000-0008-0000-0000-0000E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70" name="Picture 11" hidden="1">
          <a:extLst>
            <a:ext uri="{FF2B5EF4-FFF2-40B4-BE49-F238E27FC236}">
              <a16:creationId xmlns:a16="http://schemas.microsoft.com/office/drawing/2014/main" id="{00000000-0008-0000-0000-0000E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72" name="Picture 11" hidden="1">
          <a:extLst>
            <a:ext uri="{FF2B5EF4-FFF2-40B4-BE49-F238E27FC236}">
              <a16:creationId xmlns:a16="http://schemas.microsoft.com/office/drawing/2014/main" id="{00000000-0008-0000-0000-0000F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74" name="Picture 11" hidden="1">
          <a:extLst>
            <a:ext uri="{FF2B5EF4-FFF2-40B4-BE49-F238E27FC236}">
              <a16:creationId xmlns:a16="http://schemas.microsoft.com/office/drawing/2014/main" id="{00000000-0008-0000-0000-0000F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76" name="Picture 11" hidden="1">
          <a:extLst>
            <a:ext uri="{FF2B5EF4-FFF2-40B4-BE49-F238E27FC236}">
              <a16:creationId xmlns:a16="http://schemas.microsoft.com/office/drawing/2014/main" id="{00000000-0008-0000-0000-0000F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78" name="Picture 11" hidden="1">
          <a:extLst>
            <a:ext uri="{FF2B5EF4-FFF2-40B4-BE49-F238E27FC236}">
              <a16:creationId xmlns:a16="http://schemas.microsoft.com/office/drawing/2014/main" id="{00000000-0008-0000-0000-0000F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80" name="Picture 11" hidden="1">
          <a:extLst>
            <a:ext uri="{FF2B5EF4-FFF2-40B4-BE49-F238E27FC236}">
              <a16:creationId xmlns:a16="http://schemas.microsoft.com/office/drawing/2014/main" id="{00000000-0008-0000-0000-0000F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82" name="Picture 11" hidden="1">
          <a:extLst>
            <a:ext uri="{FF2B5EF4-FFF2-40B4-BE49-F238E27FC236}">
              <a16:creationId xmlns:a16="http://schemas.microsoft.com/office/drawing/2014/main" id="{00000000-0008-0000-0000-0000F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84" name="Picture 11" hidden="1">
          <a:extLst>
            <a:ext uri="{FF2B5EF4-FFF2-40B4-BE49-F238E27FC236}">
              <a16:creationId xmlns:a16="http://schemas.microsoft.com/office/drawing/2014/main" id="{00000000-0008-0000-0000-0000F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86" name="Picture 11" hidden="1">
          <a:extLst>
            <a:ext uri="{FF2B5EF4-FFF2-40B4-BE49-F238E27FC236}">
              <a16:creationId xmlns:a16="http://schemas.microsoft.com/office/drawing/2014/main" id="{00000000-0008-0000-0000-0000F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88" name="Picture 11" hidden="1">
          <a:extLst>
            <a:ext uri="{FF2B5EF4-FFF2-40B4-BE49-F238E27FC236}">
              <a16:creationId xmlns:a16="http://schemas.microsoft.com/office/drawing/2014/main" id="{00000000-0008-0000-0000-00000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90" name="Picture 11" hidden="1">
          <a:extLst>
            <a:ext uri="{FF2B5EF4-FFF2-40B4-BE49-F238E27FC236}">
              <a16:creationId xmlns:a16="http://schemas.microsoft.com/office/drawing/2014/main" id="{00000000-0008-0000-0000-00000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92" name="Picture 11" hidden="1">
          <a:extLst>
            <a:ext uri="{FF2B5EF4-FFF2-40B4-BE49-F238E27FC236}">
              <a16:creationId xmlns:a16="http://schemas.microsoft.com/office/drawing/2014/main" id="{00000000-0008-0000-0000-00000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94" name="Picture 11" hidden="1">
          <a:extLst>
            <a:ext uri="{FF2B5EF4-FFF2-40B4-BE49-F238E27FC236}">
              <a16:creationId xmlns:a16="http://schemas.microsoft.com/office/drawing/2014/main" id="{00000000-0008-0000-0000-00000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96" name="Picture 11" hidden="1">
          <a:extLst>
            <a:ext uri="{FF2B5EF4-FFF2-40B4-BE49-F238E27FC236}">
              <a16:creationId xmlns:a16="http://schemas.microsoft.com/office/drawing/2014/main" id="{00000000-0008-0000-0000-00000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98" name="Picture 11" hidden="1">
          <a:extLst>
            <a:ext uri="{FF2B5EF4-FFF2-40B4-BE49-F238E27FC236}">
              <a16:creationId xmlns:a16="http://schemas.microsoft.com/office/drawing/2014/main" id="{00000000-0008-0000-0000-00000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00" name="Picture 11" hidden="1">
          <a:extLst>
            <a:ext uri="{FF2B5EF4-FFF2-40B4-BE49-F238E27FC236}">
              <a16:creationId xmlns:a16="http://schemas.microsoft.com/office/drawing/2014/main" id="{00000000-0008-0000-0000-00000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02" name="Picture 11" hidden="1">
          <a:extLst>
            <a:ext uri="{FF2B5EF4-FFF2-40B4-BE49-F238E27FC236}">
              <a16:creationId xmlns:a16="http://schemas.microsoft.com/office/drawing/2014/main" id="{00000000-0008-0000-0000-00000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04" name="Picture 11" hidden="1">
          <a:extLst>
            <a:ext uri="{FF2B5EF4-FFF2-40B4-BE49-F238E27FC236}">
              <a16:creationId xmlns:a16="http://schemas.microsoft.com/office/drawing/2014/main" id="{00000000-0008-0000-0000-00001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06" name="Picture 11" hidden="1">
          <a:extLst>
            <a:ext uri="{FF2B5EF4-FFF2-40B4-BE49-F238E27FC236}">
              <a16:creationId xmlns:a16="http://schemas.microsoft.com/office/drawing/2014/main" id="{00000000-0008-0000-0000-00001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08" name="Picture 11" hidden="1">
          <a:extLst>
            <a:ext uri="{FF2B5EF4-FFF2-40B4-BE49-F238E27FC236}">
              <a16:creationId xmlns:a16="http://schemas.microsoft.com/office/drawing/2014/main" id="{00000000-0008-0000-0000-00001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10" name="Picture 11" hidden="1">
          <a:extLst>
            <a:ext uri="{FF2B5EF4-FFF2-40B4-BE49-F238E27FC236}">
              <a16:creationId xmlns:a16="http://schemas.microsoft.com/office/drawing/2014/main" id="{00000000-0008-0000-0000-00001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12" name="Picture 11" hidden="1">
          <a:extLst>
            <a:ext uri="{FF2B5EF4-FFF2-40B4-BE49-F238E27FC236}">
              <a16:creationId xmlns:a16="http://schemas.microsoft.com/office/drawing/2014/main" id="{00000000-0008-0000-0000-00001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14" name="Picture 11" hidden="1">
          <a:extLst>
            <a:ext uri="{FF2B5EF4-FFF2-40B4-BE49-F238E27FC236}">
              <a16:creationId xmlns:a16="http://schemas.microsoft.com/office/drawing/2014/main" id="{00000000-0008-0000-0000-00001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16" name="Picture 11" hidden="1">
          <a:extLst>
            <a:ext uri="{FF2B5EF4-FFF2-40B4-BE49-F238E27FC236}">
              <a16:creationId xmlns:a16="http://schemas.microsoft.com/office/drawing/2014/main" id="{00000000-0008-0000-0000-00001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18" name="Picture 11" hidden="1">
          <a:extLst>
            <a:ext uri="{FF2B5EF4-FFF2-40B4-BE49-F238E27FC236}">
              <a16:creationId xmlns:a16="http://schemas.microsoft.com/office/drawing/2014/main" id="{00000000-0008-0000-0000-00001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20" name="Picture 11" hidden="1">
          <a:extLst>
            <a:ext uri="{FF2B5EF4-FFF2-40B4-BE49-F238E27FC236}">
              <a16:creationId xmlns:a16="http://schemas.microsoft.com/office/drawing/2014/main" id="{00000000-0008-0000-0000-00002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22" name="Picture 11" hidden="1">
          <a:extLst>
            <a:ext uri="{FF2B5EF4-FFF2-40B4-BE49-F238E27FC236}">
              <a16:creationId xmlns:a16="http://schemas.microsoft.com/office/drawing/2014/main" id="{00000000-0008-0000-0000-00002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24" name="Picture 11" hidden="1">
          <a:extLst>
            <a:ext uri="{FF2B5EF4-FFF2-40B4-BE49-F238E27FC236}">
              <a16:creationId xmlns:a16="http://schemas.microsoft.com/office/drawing/2014/main" id="{00000000-0008-0000-0000-00002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26" name="Picture 11" hidden="1">
          <a:extLst>
            <a:ext uri="{FF2B5EF4-FFF2-40B4-BE49-F238E27FC236}">
              <a16:creationId xmlns:a16="http://schemas.microsoft.com/office/drawing/2014/main" id="{00000000-0008-0000-0000-00002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28" name="Picture 11" hidden="1">
          <a:extLst>
            <a:ext uri="{FF2B5EF4-FFF2-40B4-BE49-F238E27FC236}">
              <a16:creationId xmlns:a16="http://schemas.microsoft.com/office/drawing/2014/main" id="{00000000-0008-0000-0000-00002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30" name="Picture 11" hidden="1">
          <a:extLst>
            <a:ext uri="{FF2B5EF4-FFF2-40B4-BE49-F238E27FC236}">
              <a16:creationId xmlns:a16="http://schemas.microsoft.com/office/drawing/2014/main" id="{00000000-0008-0000-0000-00002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32" name="Picture 11" hidden="1">
          <a:extLst>
            <a:ext uri="{FF2B5EF4-FFF2-40B4-BE49-F238E27FC236}">
              <a16:creationId xmlns:a16="http://schemas.microsoft.com/office/drawing/2014/main" id="{00000000-0008-0000-0000-00002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34" name="Picture 11" hidden="1">
          <a:extLst>
            <a:ext uri="{FF2B5EF4-FFF2-40B4-BE49-F238E27FC236}">
              <a16:creationId xmlns:a16="http://schemas.microsoft.com/office/drawing/2014/main" id="{00000000-0008-0000-0000-00002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36" name="Picture 11" hidden="1">
          <a:extLst>
            <a:ext uri="{FF2B5EF4-FFF2-40B4-BE49-F238E27FC236}">
              <a16:creationId xmlns:a16="http://schemas.microsoft.com/office/drawing/2014/main" id="{00000000-0008-0000-0000-00003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38" name="Picture 11" hidden="1">
          <a:extLst>
            <a:ext uri="{FF2B5EF4-FFF2-40B4-BE49-F238E27FC236}">
              <a16:creationId xmlns:a16="http://schemas.microsoft.com/office/drawing/2014/main" id="{00000000-0008-0000-0000-00003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40" name="Picture 11" hidden="1">
          <a:extLst>
            <a:ext uri="{FF2B5EF4-FFF2-40B4-BE49-F238E27FC236}">
              <a16:creationId xmlns:a16="http://schemas.microsoft.com/office/drawing/2014/main" id="{00000000-0008-0000-0000-00003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42" name="Picture 11" hidden="1">
          <a:extLst>
            <a:ext uri="{FF2B5EF4-FFF2-40B4-BE49-F238E27FC236}">
              <a16:creationId xmlns:a16="http://schemas.microsoft.com/office/drawing/2014/main" id="{00000000-0008-0000-0000-00003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44" name="Picture 11" hidden="1">
          <a:extLst>
            <a:ext uri="{FF2B5EF4-FFF2-40B4-BE49-F238E27FC236}">
              <a16:creationId xmlns:a16="http://schemas.microsoft.com/office/drawing/2014/main" id="{00000000-0008-0000-0000-00003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46" name="Picture 11" hidden="1">
          <a:extLst>
            <a:ext uri="{FF2B5EF4-FFF2-40B4-BE49-F238E27FC236}">
              <a16:creationId xmlns:a16="http://schemas.microsoft.com/office/drawing/2014/main" id="{00000000-0008-0000-0000-00003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48" name="Picture 11" hidden="1">
          <a:extLst>
            <a:ext uri="{FF2B5EF4-FFF2-40B4-BE49-F238E27FC236}">
              <a16:creationId xmlns:a16="http://schemas.microsoft.com/office/drawing/2014/main" id="{00000000-0008-0000-0000-00003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50" name="Picture 11" hidden="1">
          <a:extLst>
            <a:ext uri="{FF2B5EF4-FFF2-40B4-BE49-F238E27FC236}">
              <a16:creationId xmlns:a16="http://schemas.microsoft.com/office/drawing/2014/main" id="{00000000-0008-0000-0000-00003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52" name="Picture 11" hidden="1">
          <a:extLst>
            <a:ext uri="{FF2B5EF4-FFF2-40B4-BE49-F238E27FC236}">
              <a16:creationId xmlns:a16="http://schemas.microsoft.com/office/drawing/2014/main" id="{00000000-0008-0000-0000-00004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54" name="Picture 5953" hidden="1">
          <a:extLst>
            <a:ext uri="{FF2B5EF4-FFF2-40B4-BE49-F238E27FC236}">
              <a16:creationId xmlns:a16="http://schemas.microsoft.com/office/drawing/2014/main" id="{00000000-0008-0000-0000-00004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56" name="Picture 11" hidden="1">
          <a:extLst>
            <a:ext uri="{FF2B5EF4-FFF2-40B4-BE49-F238E27FC236}">
              <a16:creationId xmlns:a16="http://schemas.microsoft.com/office/drawing/2014/main" id="{00000000-0008-0000-0000-00004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58" name="Picture 11" hidden="1">
          <a:extLst>
            <a:ext uri="{FF2B5EF4-FFF2-40B4-BE49-F238E27FC236}">
              <a16:creationId xmlns:a16="http://schemas.microsoft.com/office/drawing/2014/main" id="{00000000-0008-0000-0000-00004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60" name="Picture 11" hidden="1">
          <a:extLst>
            <a:ext uri="{FF2B5EF4-FFF2-40B4-BE49-F238E27FC236}">
              <a16:creationId xmlns:a16="http://schemas.microsoft.com/office/drawing/2014/main" id="{00000000-0008-0000-0000-00004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62" name="Picture 11" hidden="1">
          <a:extLst>
            <a:ext uri="{FF2B5EF4-FFF2-40B4-BE49-F238E27FC236}">
              <a16:creationId xmlns:a16="http://schemas.microsoft.com/office/drawing/2014/main" id="{00000000-0008-0000-0000-00004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64" name="Picture 11" hidden="1">
          <a:extLst>
            <a:ext uri="{FF2B5EF4-FFF2-40B4-BE49-F238E27FC236}">
              <a16:creationId xmlns:a16="http://schemas.microsoft.com/office/drawing/2014/main" id="{00000000-0008-0000-0000-00004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66" name="Picture 11" hidden="1">
          <a:extLst>
            <a:ext uri="{FF2B5EF4-FFF2-40B4-BE49-F238E27FC236}">
              <a16:creationId xmlns:a16="http://schemas.microsoft.com/office/drawing/2014/main" id="{00000000-0008-0000-0000-00004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68" name="Picture 11" hidden="1">
          <a:extLst>
            <a:ext uri="{FF2B5EF4-FFF2-40B4-BE49-F238E27FC236}">
              <a16:creationId xmlns:a16="http://schemas.microsoft.com/office/drawing/2014/main" id="{00000000-0008-0000-0000-00005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70" name="Picture 11" hidden="1">
          <a:extLst>
            <a:ext uri="{FF2B5EF4-FFF2-40B4-BE49-F238E27FC236}">
              <a16:creationId xmlns:a16="http://schemas.microsoft.com/office/drawing/2014/main" id="{00000000-0008-0000-0000-00005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72" name="Picture 11" hidden="1">
          <a:extLst>
            <a:ext uri="{FF2B5EF4-FFF2-40B4-BE49-F238E27FC236}">
              <a16:creationId xmlns:a16="http://schemas.microsoft.com/office/drawing/2014/main" id="{00000000-0008-0000-0000-00005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74" name="Picture 11" hidden="1">
          <a:extLst>
            <a:ext uri="{FF2B5EF4-FFF2-40B4-BE49-F238E27FC236}">
              <a16:creationId xmlns:a16="http://schemas.microsoft.com/office/drawing/2014/main" id="{00000000-0008-0000-0000-00005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76" name="Picture 11" hidden="1">
          <a:extLst>
            <a:ext uri="{FF2B5EF4-FFF2-40B4-BE49-F238E27FC236}">
              <a16:creationId xmlns:a16="http://schemas.microsoft.com/office/drawing/2014/main" id="{00000000-0008-0000-0000-00005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78" name="Picture 11" hidden="1">
          <a:extLst>
            <a:ext uri="{FF2B5EF4-FFF2-40B4-BE49-F238E27FC236}">
              <a16:creationId xmlns:a16="http://schemas.microsoft.com/office/drawing/2014/main" id="{00000000-0008-0000-0000-00005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80" name="Picture 11" hidden="1">
          <a:extLst>
            <a:ext uri="{FF2B5EF4-FFF2-40B4-BE49-F238E27FC236}">
              <a16:creationId xmlns:a16="http://schemas.microsoft.com/office/drawing/2014/main" id="{00000000-0008-0000-0000-00005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82" name="Picture 11" hidden="1">
          <a:extLst>
            <a:ext uri="{FF2B5EF4-FFF2-40B4-BE49-F238E27FC236}">
              <a16:creationId xmlns:a16="http://schemas.microsoft.com/office/drawing/2014/main" id="{00000000-0008-0000-0000-00005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84" name="Picture 11" hidden="1">
          <a:extLst>
            <a:ext uri="{FF2B5EF4-FFF2-40B4-BE49-F238E27FC236}">
              <a16:creationId xmlns:a16="http://schemas.microsoft.com/office/drawing/2014/main" id="{00000000-0008-0000-0000-00006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86" name="Picture 11" hidden="1">
          <a:extLst>
            <a:ext uri="{FF2B5EF4-FFF2-40B4-BE49-F238E27FC236}">
              <a16:creationId xmlns:a16="http://schemas.microsoft.com/office/drawing/2014/main" id="{00000000-0008-0000-0000-00006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88" name="Picture 11" hidden="1">
          <a:extLst>
            <a:ext uri="{FF2B5EF4-FFF2-40B4-BE49-F238E27FC236}">
              <a16:creationId xmlns:a16="http://schemas.microsoft.com/office/drawing/2014/main" id="{00000000-0008-0000-0000-00006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90" name="Picture 11" hidden="1">
          <a:extLst>
            <a:ext uri="{FF2B5EF4-FFF2-40B4-BE49-F238E27FC236}">
              <a16:creationId xmlns:a16="http://schemas.microsoft.com/office/drawing/2014/main" id="{00000000-0008-0000-0000-00006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92" name="Picture 11" hidden="1">
          <a:extLst>
            <a:ext uri="{FF2B5EF4-FFF2-40B4-BE49-F238E27FC236}">
              <a16:creationId xmlns:a16="http://schemas.microsoft.com/office/drawing/2014/main" id="{00000000-0008-0000-0000-00006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94" name="Picture 11" hidden="1">
          <a:extLst>
            <a:ext uri="{FF2B5EF4-FFF2-40B4-BE49-F238E27FC236}">
              <a16:creationId xmlns:a16="http://schemas.microsoft.com/office/drawing/2014/main" id="{00000000-0008-0000-0000-00006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96" name="Picture 11" hidden="1">
          <a:extLst>
            <a:ext uri="{FF2B5EF4-FFF2-40B4-BE49-F238E27FC236}">
              <a16:creationId xmlns:a16="http://schemas.microsoft.com/office/drawing/2014/main" id="{00000000-0008-0000-0000-00006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98" name="Picture 11" hidden="1">
          <a:extLst>
            <a:ext uri="{FF2B5EF4-FFF2-40B4-BE49-F238E27FC236}">
              <a16:creationId xmlns:a16="http://schemas.microsoft.com/office/drawing/2014/main" id="{00000000-0008-0000-0000-00006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00" name="Picture 11" hidden="1">
          <a:extLst>
            <a:ext uri="{FF2B5EF4-FFF2-40B4-BE49-F238E27FC236}">
              <a16:creationId xmlns:a16="http://schemas.microsoft.com/office/drawing/2014/main" id="{00000000-0008-0000-0000-00007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02" name="Picture 11" hidden="1">
          <a:extLst>
            <a:ext uri="{FF2B5EF4-FFF2-40B4-BE49-F238E27FC236}">
              <a16:creationId xmlns:a16="http://schemas.microsoft.com/office/drawing/2014/main" id="{00000000-0008-0000-0000-00007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04" name="Picture 11" hidden="1">
          <a:extLst>
            <a:ext uri="{FF2B5EF4-FFF2-40B4-BE49-F238E27FC236}">
              <a16:creationId xmlns:a16="http://schemas.microsoft.com/office/drawing/2014/main" id="{00000000-0008-0000-0000-00007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06" name="Picture 11" hidden="1">
          <a:extLst>
            <a:ext uri="{FF2B5EF4-FFF2-40B4-BE49-F238E27FC236}">
              <a16:creationId xmlns:a16="http://schemas.microsoft.com/office/drawing/2014/main" id="{00000000-0008-0000-0000-00007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08" name="Picture 11" hidden="1">
          <a:extLst>
            <a:ext uri="{FF2B5EF4-FFF2-40B4-BE49-F238E27FC236}">
              <a16:creationId xmlns:a16="http://schemas.microsoft.com/office/drawing/2014/main" id="{00000000-0008-0000-0000-00007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10" name="Picture 11" hidden="1">
          <a:extLst>
            <a:ext uri="{FF2B5EF4-FFF2-40B4-BE49-F238E27FC236}">
              <a16:creationId xmlns:a16="http://schemas.microsoft.com/office/drawing/2014/main" id="{00000000-0008-0000-0000-00007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12" name="Picture 11" hidden="1">
          <a:extLst>
            <a:ext uri="{FF2B5EF4-FFF2-40B4-BE49-F238E27FC236}">
              <a16:creationId xmlns:a16="http://schemas.microsoft.com/office/drawing/2014/main" id="{00000000-0008-0000-0000-00007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14" name="Picture 11" hidden="1">
          <a:extLst>
            <a:ext uri="{FF2B5EF4-FFF2-40B4-BE49-F238E27FC236}">
              <a16:creationId xmlns:a16="http://schemas.microsoft.com/office/drawing/2014/main" id="{00000000-0008-0000-0000-00007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16" name="Picture 11" hidden="1">
          <a:extLst>
            <a:ext uri="{FF2B5EF4-FFF2-40B4-BE49-F238E27FC236}">
              <a16:creationId xmlns:a16="http://schemas.microsoft.com/office/drawing/2014/main" id="{00000000-0008-0000-0000-00008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18" name="Picture 11" hidden="1">
          <a:extLst>
            <a:ext uri="{FF2B5EF4-FFF2-40B4-BE49-F238E27FC236}">
              <a16:creationId xmlns:a16="http://schemas.microsoft.com/office/drawing/2014/main" id="{00000000-0008-0000-0000-00008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20" name="Picture 11" hidden="1">
          <a:extLst>
            <a:ext uri="{FF2B5EF4-FFF2-40B4-BE49-F238E27FC236}">
              <a16:creationId xmlns:a16="http://schemas.microsoft.com/office/drawing/2014/main" id="{00000000-0008-0000-0000-00008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22" name="Picture 11" hidden="1">
          <a:extLst>
            <a:ext uri="{FF2B5EF4-FFF2-40B4-BE49-F238E27FC236}">
              <a16:creationId xmlns:a16="http://schemas.microsoft.com/office/drawing/2014/main" id="{00000000-0008-0000-0000-00008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24" name="Picture 11" hidden="1">
          <a:extLst>
            <a:ext uri="{FF2B5EF4-FFF2-40B4-BE49-F238E27FC236}">
              <a16:creationId xmlns:a16="http://schemas.microsoft.com/office/drawing/2014/main" id="{00000000-0008-0000-0000-00008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26" name="Picture 11" hidden="1">
          <a:extLst>
            <a:ext uri="{FF2B5EF4-FFF2-40B4-BE49-F238E27FC236}">
              <a16:creationId xmlns:a16="http://schemas.microsoft.com/office/drawing/2014/main" id="{00000000-0008-0000-0000-00008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28" name="Picture 11" hidden="1">
          <a:extLst>
            <a:ext uri="{FF2B5EF4-FFF2-40B4-BE49-F238E27FC236}">
              <a16:creationId xmlns:a16="http://schemas.microsoft.com/office/drawing/2014/main" id="{00000000-0008-0000-0000-00008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30" name="Picture 11" hidden="1">
          <a:extLst>
            <a:ext uri="{FF2B5EF4-FFF2-40B4-BE49-F238E27FC236}">
              <a16:creationId xmlns:a16="http://schemas.microsoft.com/office/drawing/2014/main" id="{00000000-0008-0000-0000-00008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32" name="Picture 11" hidden="1">
          <a:extLst>
            <a:ext uri="{FF2B5EF4-FFF2-40B4-BE49-F238E27FC236}">
              <a16:creationId xmlns:a16="http://schemas.microsoft.com/office/drawing/2014/main" id="{00000000-0008-0000-0000-00009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34" name="Picture 11" hidden="1">
          <a:extLst>
            <a:ext uri="{FF2B5EF4-FFF2-40B4-BE49-F238E27FC236}">
              <a16:creationId xmlns:a16="http://schemas.microsoft.com/office/drawing/2014/main" id="{00000000-0008-0000-0000-00009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36" name="Picture 11" hidden="1">
          <a:extLst>
            <a:ext uri="{FF2B5EF4-FFF2-40B4-BE49-F238E27FC236}">
              <a16:creationId xmlns:a16="http://schemas.microsoft.com/office/drawing/2014/main" id="{00000000-0008-0000-0000-00009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38" name="Picture 11" hidden="1">
          <a:extLst>
            <a:ext uri="{FF2B5EF4-FFF2-40B4-BE49-F238E27FC236}">
              <a16:creationId xmlns:a16="http://schemas.microsoft.com/office/drawing/2014/main" id="{00000000-0008-0000-0000-00009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40" name="Picture 11" hidden="1">
          <a:extLst>
            <a:ext uri="{FF2B5EF4-FFF2-40B4-BE49-F238E27FC236}">
              <a16:creationId xmlns:a16="http://schemas.microsoft.com/office/drawing/2014/main" id="{00000000-0008-0000-0000-00009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42" name="Picture 11" hidden="1">
          <a:extLst>
            <a:ext uri="{FF2B5EF4-FFF2-40B4-BE49-F238E27FC236}">
              <a16:creationId xmlns:a16="http://schemas.microsoft.com/office/drawing/2014/main" id="{00000000-0008-0000-0000-00009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44" name="Picture 11" hidden="1">
          <a:extLst>
            <a:ext uri="{FF2B5EF4-FFF2-40B4-BE49-F238E27FC236}">
              <a16:creationId xmlns:a16="http://schemas.microsoft.com/office/drawing/2014/main" id="{00000000-0008-0000-0000-00009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46" name="Picture 11" hidden="1">
          <a:extLst>
            <a:ext uri="{FF2B5EF4-FFF2-40B4-BE49-F238E27FC236}">
              <a16:creationId xmlns:a16="http://schemas.microsoft.com/office/drawing/2014/main" id="{00000000-0008-0000-0000-00009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48" name="Picture 11" hidden="1">
          <a:extLst>
            <a:ext uri="{FF2B5EF4-FFF2-40B4-BE49-F238E27FC236}">
              <a16:creationId xmlns:a16="http://schemas.microsoft.com/office/drawing/2014/main" id="{00000000-0008-0000-0000-0000A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50" name="Picture 11" hidden="1">
          <a:extLst>
            <a:ext uri="{FF2B5EF4-FFF2-40B4-BE49-F238E27FC236}">
              <a16:creationId xmlns:a16="http://schemas.microsoft.com/office/drawing/2014/main" id="{00000000-0008-0000-0000-0000A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52" name="Picture 11" hidden="1">
          <a:extLst>
            <a:ext uri="{FF2B5EF4-FFF2-40B4-BE49-F238E27FC236}">
              <a16:creationId xmlns:a16="http://schemas.microsoft.com/office/drawing/2014/main" id="{00000000-0008-0000-0000-0000A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54" name="Picture 11" hidden="1">
          <a:extLst>
            <a:ext uri="{FF2B5EF4-FFF2-40B4-BE49-F238E27FC236}">
              <a16:creationId xmlns:a16="http://schemas.microsoft.com/office/drawing/2014/main" id="{00000000-0008-0000-0000-0000A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56" name="Picture 11" hidden="1">
          <a:extLst>
            <a:ext uri="{FF2B5EF4-FFF2-40B4-BE49-F238E27FC236}">
              <a16:creationId xmlns:a16="http://schemas.microsoft.com/office/drawing/2014/main" id="{00000000-0008-0000-0000-0000A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58" name="Picture 11" hidden="1">
          <a:extLst>
            <a:ext uri="{FF2B5EF4-FFF2-40B4-BE49-F238E27FC236}">
              <a16:creationId xmlns:a16="http://schemas.microsoft.com/office/drawing/2014/main" id="{00000000-0008-0000-0000-0000A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60" name="Picture 11" hidden="1">
          <a:extLst>
            <a:ext uri="{FF2B5EF4-FFF2-40B4-BE49-F238E27FC236}">
              <a16:creationId xmlns:a16="http://schemas.microsoft.com/office/drawing/2014/main" id="{00000000-0008-0000-0000-0000A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62" name="Picture 6061" hidden="1">
          <a:extLst>
            <a:ext uri="{FF2B5EF4-FFF2-40B4-BE49-F238E27FC236}">
              <a16:creationId xmlns:a16="http://schemas.microsoft.com/office/drawing/2014/main" id="{00000000-0008-0000-0000-0000A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64" name="Picture 11" hidden="1">
          <a:extLst>
            <a:ext uri="{FF2B5EF4-FFF2-40B4-BE49-F238E27FC236}">
              <a16:creationId xmlns:a16="http://schemas.microsoft.com/office/drawing/2014/main" id="{00000000-0008-0000-0000-0000B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66" name="Picture 11" hidden="1">
          <a:extLst>
            <a:ext uri="{FF2B5EF4-FFF2-40B4-BE49-F238E27FC236}">
              <a16:creationId xmlns:a16="http://schemas.microsoft.com/office/drawing/2014/main" id="{00000000-0008-0000-0000-0000B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68" name="Picture 11" hidden="1">
          <a:extLst>
            <a:ext uri="{FF2B5EF4-FFF2-40B4-BE49-F238E27FC236}">
              <a16:creationId xmlns:a16="http://schemas.microsoft.com/office/drawing/2014/main" id="{00000000-0008-0000-0000-0000B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70" name="Picture 11" hidden="1">
          <a:extLst>
            <a:ext uri="{FF2B5EF4-FFF2-40B4-BE49-F238E27FC236}">
              <a16:creationId xmlns:a16="http://schemas.microsoft.com/office/drawing/2014/main" id="{00000000-0008-0000-0000-0000B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72" name="Picture 11" hidden="1">
          <a:extLst>
            <a:ext uri="{FF2B5EF4-FFF2-40B4-BE49-F238E27FC236}">
              <a16:creationId xmlns:a16="http://schemas.microsoft.com/office/drawing/2014/main" id="{00000000-0008-0000-0000-0000B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74" name="Picture 11" hidden="1">
          <a:extLst>
            <a:ext uri="{FF2B5EF4-FFF2-40B4-BE49-F238E27FC236}">
              <a16:creationId xmlns:a16="http://schemas.microsoft.com/office/drawing/2014/main" id="{00000000-0008-0000-0000-0000B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76" name="Picture 11" hidden="1">
          <a:extLst>
            <a:ext uri="{FF2B5EF4-FFF2-40B4-BE49-F238E27FC236}">
              <a16:creationId xmlns:a16="http://schemas.microsoft.com/office/drawing/2014/main" id="{00000000-0008-0000-0000-0000B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78" name="Picture 11" hidden="1">
          <a:extLst>
            <a:ext uri="{FF2B5EF4-FFF2-40B4-BE49-F238E27FC236}">
              <a16:creationId xmlns:a16="http://schemas.microsoft.com/office/drawing/2014/main" id="{00000000-0008-0000-0000-0000B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80" name="Picture 11" hidden="1">
          <a:extLst>
            <a:ext uri="{FF2B5EF4-FFF2-40B4-BE49-F238E27FC236}">
              <a16:creationId xmlns:a16="http://schemas.microsoft.com/office/drawing/2014/main" id="{00000000-0008-0000-0000-0000C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82" name="Picture 11" hidden="1">
          <a:extLst>
            <a:ext uri="{FF2B5EF4-FFF2-40B4-BE49-F238E27FC236}">
              <a16:creationId xmlns:a16="http://schemas.microsoft.com/office/drawing/2014/main" id="{00000000-0008-0000-0000-0000C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84" name="Picture 11" hidden="1">
          <a:extLst>
            <a:ext uri="{FF2B5EF4-FFF2-40B4-BE49-F238E27FC236}">
              <a16:creationId xmlns:a16="http://schemas.microsoft.com/office/drawing/2014/main" id="{00000000-0008-0000-0000-0000C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86" name="Picture 11" hidden="1">
          <a:extLst>
            <a:ext uri="{FF2B5EF4-FFF2-40B4-BE49-F238E27FC236}">
              <a16:creationId xmlns:a16="http://schemas.microsoft.com/office/drawing/2014/main" id="{00000000-0008-0000-0000-0000C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88" name="Picture 11" hidden="1">
          <a:extLst>
            <a:ext uri="{FF2B5EF4-FFF2-40B4-BE49-F238E27FC236}">
              <a16:creationId xmlns:a16="http://schemas.microsoft.com/office/drawing/2014/main" id="{00000000-0008-0000-0000-0000C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90" name="Picture 11" hidden="1">
          <a:extLst>
            <a:ext uri="{FF2B5EF4-FFF2-40B4-BE49-F238E27FC236}">
              <a16:creationId xmlns:a16="http://schemas.microsoft.com/office/drawing/2014/main" id="{00000000-0008-0000-0000-0000C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92" name="Picture 11" hidden="1">
          <a:extLst>
            <a:ext uri="{FF2B5EF4-FFF2-40B4-BE49-F238E27FC236}">
              <a16:creationId xmlns:a16="http://schemas.microsoft.com/office/drawing/2014/main" id="{00000000-0008-0000-0000-0000C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94" name="Picture 11" hidden="1">
          <a:extLst>
            <a:ext uri="{FF2B5EF4-FFF2-40B4-BE49-F238E27FC236}">
              <a16:creationId xmlns:a16="http://schemas.microsoft.com/office/drawing/2014/main" id="{00000000-0008-0000-0000-0000C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96" name="Picture 11" hidden="1">
          <a:extLst>
            <a:ext uri="{FF2B5EF4-FFF2-40B4-BE49-F238E27FC236}">
              <a16:creationId xmlns:a16="http://schemas.microsoft.com/office/drawing/2014/main" id="{00000000-0008-0000-0000-0000D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98" name="Picture 11" hidden="1">
          <a:extLst>
            <a:ext uri="{FF2B5EF4-FFF2-40B4-BE49-F238E27FC236}">
              <a16:creationId xmlns:a16="http://schemas.microsoft.com/office/drawing/2014/main" id="{00000000-0008-0000-0000-0000D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00" name="Picture 11" hidden="1">
          <a:extLst>
            <a:ext uri="{FF2B5EF4-FFF2-40B4-BE49-F238E27FC236}">
              <a16:creationId xmlns:a16="http://schemas.microsoft.com/office/drawing/2014/main" id="{00000000-0008-0000-0000-0000D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02" name="Picture 11" hidden="1">
          <a:extLst>
            <a:ext uri="{FF2B5EF4-FFF2-40B4-BE49-F238E27FC236}">
              <a16:creationId xmlns:a16="http://schemas.microsoft.com/office/drawing/2014/main" id="{00000000-0008-0000-0000-0000D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04" name="Picture 11" hidden="1">
          <a:extLst>
            <a:ext uri="{FF2B5EF4-FFF2-40B4-BE49-F238E27FC236}">
              <a16:creationId xmlns:a16="http://schemas.microsoft.com/office/drawing/2014/main" id="{00000000-0008-0000-0000-0000D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06" name="Picture 11" hidden="1">
          <a:extLst>
            <a:ext uri="{FF2B5EF4-FFF2-40B4-BE49-F238E27FC236}">
              <a16:creationId xmlns:a16="http://schemas.microsoft.com/office/drawing/2014/main" id="{00000000-0008-0000-0000-0000D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08" name="Picture 11" hidden="1">
          <a:extLst>
            <a:ext uri="{FF2B5EF4-FFF2-40B4-BE49-F238E27FC236}">
              <a16:creationId xmlns:a16="http://schemas.microsoft.com/office/drawing/2014/main" id="{00000000-0008-0000-0000-0000D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10" name="Picture 11" hidden="1">
          <a:extLst>
            <a:ext uri="{FF2B5EF4-FFF2-40B4-BE49-F238E27FC236}">
              <a16:creationId xmlns:a16="http://schemas.microsoft.com/office/drawing/2014/main" id="{00000000-0008-0000-0000-0000D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12" name="Picture 11" hidden="1">
          <a:extLst>
            <a:ext uri="{FF2B5EF4-FFF2-40B4-BE49-F238E27FC236}">
              <a16:creationId xmlns:a16="http://schemas.microsoft.com/office/drawing/2014/main" id="{00000000-0008-0000-0000-0000E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14" name="Picture 11" hidden="1">
          <a:extLst>
            <a:ext uri="{FF2B5EF4-FFF2-40B4-BE49-F238E27FC236}">
              <a16:creationId xmlns:a16="http://schemas.microsoft.com/office/drawing/2014/main" id="{00000000-0008-0000-0000-0000E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16" name="Picture 11" hidden="1">
          <a:extLst>
            <a:ext uri="{FF2B5EF4-FFF2-40B4-BE49-F238E27FC236}">
              <a16:creationId xmlns:a16="http://schemas.microsoft.com/office/drawing/2014/main" id="{00000000-0008-0000-0000-0000E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18" name="Picture 11" hidden="1">
          <a:extLst>
            <a:ext uri="{FF2B5EF4-FFF2-40B4-BE49-F238E27FC236}">
              <a16:creationId xmlns:a16="http://schemas.microsoft.com/office/drawing/2014/main" id="{00000000-0008-0000-0000-0000E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20" name="Picture 11" hidden="1">
          <a:extLst>
            <a:ext uri="{FF2B5EF4-FFF2-40B4-BE49-F238E27FC236}">
              <a16:creationId xmlns:a16="http://schemas.microsoft.com/office/drawing/2014/main" id="{00000000-0008-0000-0000-0000E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22" name="Picture 11" hidden="1">
          <a:extLst>
            <a:ext uri="{FF2B5EF4-FFF2-40B4-BE49-F238E27FC236}">
              <a16:creationId xmlns:a16="http://schemas.microsoft.com/office/drawing/2014/main" id="{00000000-0008-0000-0000-0000E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24" name="Picture 11" hidden="1">
          <a:extLst>
            <a:ext uri="{FF2B5EF4-FFF2-40B4-BE49-F238E27FC236}">
              <a16:creationId xmlns:a16="http://schemas.microsoft.com/office/drawing/2014/main" id="{00000000-0008-0000-0000-0000E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26" name="Picture 11" hidden="1">
          <a:extLst>
            <a:ext uri="{FF2B5EF4-FFF2-40B4-BE49-F238E27FC236}">
              <a16:creationId xmlns:a16="http://schemas.microsoft.com/office/drawing/2014/main" id="{00000000-0008-0000-0000-0000E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28" name="Picture 11" hidden="1">
          <a:extLst>
            <a:ext uri="{FF2B5EF4-FFF2-40B4-BE49-F238E27FC236}">
              <a16:creationId xmlns:a16="http://schemas.microsoft.com/office/drawing/2014/main" id="{00000000-0008-0000-0000-0000F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30" name="Picture 11" hidden="1">
          <a:extLst>
            <a:ext uri="{FF2B5EF4-FFF2-40B4-BE49-F238E27FC236}">
              <a16:creationId xmlns:a16="http://schemas.microsoft.com/office/drawing/2014/main" id="{00000000-0008-0000-0000-0000F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32" name="Picture 11" hidden="1">
          <a:extLst>
            <a:ext uri="{FF2B5EF4-FFF2-40B4-BE49-F238E27FC236}">
              <a16:creationId xmlns:a16="http://schemas.microsoft.com/office/drawing/2014/main" id="{00000000-0008-0000-0000-0000F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34" name="Picture 11" hidden="1">
          <a:extLst>
            <a:ext uri="{FF2B5EF4-FFF2-40B4-BE49-F238E27FC236}">
              <a16:creationId xmlns:a16="http://schemas.microsoft.com/office/drawing/2014/main" id="{00000000-0008-0000-0000-0000F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36" name="Picture 11" hidden="1">
          <a:extLst>
            <a:ext uri="{FF2B5EF4-FFF2-40B4-BE49-F238E27FC236}">
              <a16:creationId xmlns:a16="http://schemas.microsoft.com/office/drawing/2014/main" id="{00000000-0008-0000-0000-0000F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38" name="Picture 11" hidden="1">
          <a:extLst>
            <a:ext uri="{FF2B5EF4-FFF2-40B4-BE49-F238E27FC236}">
              <a16:creationId xmlns:a16="http://schemas.microsoft.com/office/drawing/2014/main" id="{00000000-0008-0000-0000-0000F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40" name="Picture 11" hidden="1">
          <a:extLst>
            <a:ext uri="{FF2B5EF4-FFF2-40B4-BE49-F238E27FC236}">
              <a16:creationId xmlns:a16="http://schemas.microsoft.com/office/drawing/2014/main" id="{00000000-0008-0000-0000-0000F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42" name="Picture 11" hidden="1">
          <a:extLst>
            <a:ext uri="{FF2B5EF4-FFF2-40B4-BE49-F238E27FC236}">
              <a16:creationId xmlns:a16="http://schemas.microsoft.com/office/drawing/2014/main" id="{00000000-0008-0000-0000-0000F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44" name="Picture 11" hidden="1">
          <a:extLst>
            <a:ext uri="{FF2B5EF4-FFF2-40B4-BE49-F238E27FC236}">
              <a16:creationId xmlns:a16="http://schemas.microsoft.com/office/drawing/2014/main" id="{00000000-0008-0000-0000-00000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46" name="Picture 11" hidden="1">
          <a:extLst>
            <a:ext uri="{FF2B5EF4-FFF2-40B4-BE49-F238E27FC236}">
              <a16:creationId xmlns:a16="http://schemas.microsoft.com/office/drawing/2014/main" id="{00000000-0008-0000-0000-00000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48" name="Picture 11" hidden="1">
          <a:extLst>
            <a:ext uri="{FF2B5EF4-FFF2-40B4-BE49-F238E27FC236}">
              <a16:creationId xmlns:a16="http://schemas.microsoft.com/office/drawing/2014/main" id="{00000000-0008-0000-0000-00000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50" name="Picture 11" hidden="1">
          <a:extLst>
            <a:ext uri="{FF2B5EF4-FFF2-40B4-BE49-F238E27FC236}">
              <a16:creationId xmlns:a16="http://schemas.microsoft.com/office/drawing/2014/main" id="{00000000-0008-0000-0000-00000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52" name="Picture 11" hidden="1">
          <a:extLst>
            <a:ext uri="{FF2B5EF4-FFF2-40B4-BE49-F238E27FC236}">
              <a16:creationId xmlns:a16="http://schemas.microsoft.com/office/drawing/2014/main" id="{00000000-0008-0000-0000-00000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54" name="Picture 11" hidden="1">
          <a:extLst>
            <a:ext uri="{FF2B5EF4-FFF2-40B4-BE49-F238E27FC236}">
              <a16:creationId xmlns:a16="http://schemas.microsoft.com/office/drawing/2014/main" id="{00000000-0008-0000-0000-00000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56" name="Picture 11" hidden="1">
          <a:extLst>
            <a:ext uri="{FF2B5EF4-FFF2-40B4-BE49-F238E27FC236}">
              <a16:creationId xmlns:a16="http://schemas.microsoft.com/office/drawing/2014/main" id="{00000000-0008-0000-0000-00000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58" name="Picture 11" hidden="1">
          <a:extLst>
            <a:ext uri="{FF2B5EF4-FFF2-40B4-BE49-F238E27FC236}">
              <a16:creationId xmlns:a16="http://schemas.microsoft.com/office/drawing/2014/main" id="{00000000-0008-0000-0000-00000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60" name="Picture 11" hidden="1">
          <a:extLst>
            <a:ext uri="{FF2B5EF4-FFF2-40B4-BE49-F238E27FC236}">
              <a16:creationId xmlns:a16="http://schemas.microsoft.com/office/drawing/2014/main" id="{00000000-0008-0000-0000-00001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62" name="Picture 11" hidden="1">
          <a:extLst>
            <a:ext uri="{FF2B5EF4-FFF2-40B4-BE49-F238E27FC236}">
              <a16:creationId xmlns:a16="http://schemas.microsoft.com/office/drawing/2014/main" id="{00000000-0008-0000-0000-00001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64" name="Picture 11" hidden="1">
          <a:extLst>
            <a:ext uri="{FF2B5EF4-FFF2-40B4-BE49-F238E27FC236}">
              <a16:creationId xmlns:a16="http://schemas.microsoft.com/office/drawing/2014/main" id="{00000000-0008-0000-0000-00001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66" name="Picture 11" hidden="1">
          <a:extLst>
            <a:ext uri="{FF2B5EF4-FFF2-40B4-BE49-F238E27FC236}">
              <a16:creationId xmlns:a16="http://schemas.microsoft.com/office/drawing/2014/main" id="{00000000-0008-0000-0000-00001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68" name="Picture 11" hidden="1">
          <a:extLst>
            <a:ext uri="{FF2B5EF4-FFF2-40B4-BE49-F238E27FC236}">
              <a16:creationId xmlns:a16="http://schemas.microsoft.com/office/drawing/2014/main" id="{00000000-0008-0000-0000-00001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70" name="Picture 6169" hidden="1">
          <a:extLst>
            <a:ext uri="{FF2B5EF4-FFF2-40B4-BE49-F238E27FC236}">
              <a16:creationId xmlns:a16="http://schemas.microsoft.com/office/drawing/2014/main" id="{00000000-0008-0000-0000-00001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72" name="Picture 11" hidden="1">
          <a:extLst>
            <a:ext uri="{FF2B5EF4-FFF2-40B4-BE49-F238E27FC236}">
              <a16:creationId xmlns:a16="http://schemas.microsoft.com/office/drawing/2014/main" id="{00000000-0008-0000-0000-00001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74" name="Picture 11" hidden="1">
          <a:extLst>
            <a:ext uri="{FF2B5EF4-FFF2-40B4-BE49-F238E27FC236}">
              <a16:creationId xmlns:a16="http://schemas.microsoft.com/office/drawing/2014/main" id="{00000000-0008-0000-0000-00001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76" name="Picture 11" hidden="1">
          <a:extLst>
            <a:ext uri="{FF2B5EF4-FFF2-40B4-BE49-F238E27FC236}">
              <a16:creationId xmlns:a16="http://schemas.microsoft.com/office/drawing/2014/main" id="{00000000-0008-0000-0000-00002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78" name="Picture 11" hidden="1">
          <a:extLst>
            <a:ext uri="{FF2B5EF4-FFF2-40B4-BE49-F238E27FC236}">
              <a16:creationId xmlns:a16="http://schemas.microsoft.com/office/drawing/2014/main" id="{00000000-0008-0000-0000-00002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80" name="Picture 11" hidden="1">
          <a:extLst>
            <a:ext uri="{FF2B5EF4-FFF2-40B4-BE49-F238E27FC236}">
              <a16:creationId xmlns:a16="http://schemas.microsoft.com/office/drawing/2014/main" id="{00000000-0008-0000-0000-00002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82" name="Picture 11" hidden="1">
          <a:extLst>
            <a:ext uri="{FF2B5EF4-FFF2-40B4-BE49-F238E27FC236}">
              <a16:creationId xmlns:a16="http://schemas.microsoft.com/office/drawing/2014/main" id="{00000000-0008-0000-0000-00002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84" name="Picture 11" hidden="1">
          <a:extLst>
            <a:ext uri="{FF2B5EF4-FFF2-40B4-BE49-F238E27FC236}">
              <a16:creationId xmlns:a16="http://schemas.microsoft.com/office/drawing/2014/main" id="{00000000-0008-0000-0000-00002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86" name="Picture 11" hidden="1">
          <a:extLst>
            <a:ext uri="{FF2B5EF4-FFF2-40B4-BE49-F238E27FC236}">
              <a16:creationId xmlns:a16="http://schemas.microsoft.com/office/drawing/2014/main" id="{00000000-0008-0000-0000-00002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88" name="Picture 11" hidden="1">
          <a:extLst>
            <a:ext uri="{FF2B5EF4-FFF2-40B4-BE49-F238E27FC236}">
              <a16:creationId xmlns:a16="http://schemas.microsoft.com/office/drawing/2014/main" id="{00000000-0008-0000-0000-00002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90" name="Picture 11" hidden="1">
          <a:extLst>
            <a:ext uri="{FF2B5EF4-FFF2-40B4-BE49-F238E27FC236}">
              <a16:creationId xmlns:a16="http://schemas.microsoft.com/office/drawing/2014/main" id="{00000000-0008-0000-0000-00002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92" name="Picture 11" hidden="1">
          <a:extLst>
            <a:ext uri="{FF2B5EF4-FFF2-40B4-BE49-F238E27FC236}">
              <a16:creationId xmlns:a16="http://schemas.microsoft.com/office/drawing/2014/main" id="{00000000-0008-0000-0000-00003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94" name="Picture 11" hidden="1">
          <a:extLst>
            <a:ext uri="{FF2B5EF4-FFF2-40B4-BE49-F238E27FC236}">
              <a16:creationId xmlns:a16="http://schemas.microsoft.com/office/drawing/2014/main" id="{00000000-0008-0000-0000-00003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96" name="Picture 11" hidden="1">
          <a:extLst>
            <a:ext uri="{FF2B5EF4-FFF2-40B4-BE49-F238E27FC236}">
              <a16:creationId xmlns:a16="http://schemas.microsoft.com/office/drawing/2014/main" id="{00000000-0008-0000-0000-00003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98" name="Picture 11" hidden="1">
          <a:extLst>
            <a:ext uri="{FF2B5EF4-FFF2-40B4-BE49-F238E27FC236}">
              <a16:creationId xmlns:a16="http://schemas.microsoft.com/office/drawing/2014/main" id="{00000000-0008-0000-0000-00003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00" name="Picture 11" hidden="1">
          <a:extLst>
            <a:ext uri="{FF2B5EF4-FFF2-40B4-BE49-F238E27FC236}">
              <a16:creationId xmlns:a16="http://schemas.microsoft.com/office/drawing/2014/main" id="{00000000-0008-0000-0000-00003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02" name="Picture 11" hidden="1">
          <a:extLst>
            <a:ext uri="{FF2B5EF4-FFF2-40B4-BE49-F238E27FC236}">
              <a16:creationId xmlns:a16="http://schemas.microsoft.com/office/drawing/2014/main" id="{00000000-0008-0000-0000-00003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04" name="Picture 11" hidden="1">
          <a:extLst>
            <a:ext uri="{FF2B5EF4-FFF2-40B4-BE49-F238E27FC236}">
              <a16:creationId xmlns:a16="http://schemas.microsoft.com/office/drawing/2014/main" id="{00000000-0008-0000-0000-00003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06" name="Picture 11" hidden="1">
          <a:extLst>
            <a:ext uri="{FF2B5EF4-FFF2-40B4-BE49-F238E27FC236}">
              <a16:creationId xmlns:a16="http://schemas.microsoft.com/office/drawing/2014/main" id="{00000000-0008-0000-0000-00003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08" name="Picture 11" hidden="1">
          <a:extLst>
            <a:ext uri="{FF2B5EF4-FFF2-40B4-BE49-F238E27FC236}">
              <a16:creationId xmlns:a16="http://schemas.microsoft.com/office/drawing/2014/main" id="{00000000-0008-0000-0000-00004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10" name="Picture 11" hidden="1">
          <a:extLst>
            <a:ext uri="{FF2B5EF4-FFF2-40B4-BE49-F238E27FC236}">
              <a16:creationId xmlns:a16="http://schemas.microsoft.com/office/drawing/2014/main" id="{00000000-0008-0000-0000-00004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12" name="Picture 11" hidden="1">
          <a:extLst>
            <a:ext uri="{FF2B5EF4-FFF2-40B4-BE49-F238E27FC236}">
              <a16:creationId xmlns:a16="http://schemas.microsoft.com/office/drawing/2014/main" id="{00000000-0008-0000-0000-00004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14" name="Picture 11" hidden="1">
          <a:extLst>
            <a:ext uri="{FF2B5EF4-FFF2-40B4-BE49-F238E27FC236}">
              <a16:creationId xmlns:a16="http://schemas.microsoft.com/office/drawing/2014/main" id="{00000000-0008-0000-0000-00004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16" name="Picture 11" hidden="1">
          <a:extLst>
            <a:ext uri="{FF2B5EF4-FFF2-40B4-BE49-F238E27FC236}">
              <a16:creationId xmlns:a16="http://schemas.microsoft.com/office/drawing/2014/main" id="{00000000-0008-0000-0000-00004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18" name="Picture 11" hidden="1">
          <a:extLst>
            <a:ext uri="{FF2B5EF4-FFF2-40B4-BE49-F238E27FC236}">
              <a16:creationId xmlns:a16="http://schemas.microsoft.com/office/drawing/2014/main" id="{00000000-0008-0000-0000-00004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20" name="Picture 11" hidden="1">
          <a:extLst>
            <a:ext uri="{FF2B5EF4-FFF2-40B4-BE49-F238E27FC236}">
              <a16:creationId xmlns:a16="http://schemas.microsoft.com/office/drawing/2014/main" id="{00000000-0008-0000-0000-00004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22" name="Picture 11" hidden="1">
          <a:extLst>
            <a:ext uri="{FF2B5EF4-FFF2-40B4-BE49-F238E27FC236}">
              <a16:creationId xmlns:a16="http://schemas.microsoft.com/office/drawing/2014/main" id="{00000000-0008-0000-0000-00004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24" name="Picture 11" hidden="1">
          <a:extLst>
            <a:ext uri="{FF2B5EF4-FFF2-40B4-BE49-F238E27FC236}">
              <a16:creationId xmlns:a16="http://schemas.microsoft.com/office/drawing/2014/main" id="{00000000-0008-0000-0000-00005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26" name="Picture 11" hidden="1">
          <a:extLst>
            <a:ext uri="{FF2B5EF4-FFF2-40B4-BE49-F238E27FC236}">
              <a16:creationId xmlns:a16="http://schemas.microsoft.com/office/drawing/2014/main" id="{00000000-0008-0000-0000-00005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28" name="Picture 11" hidden="1">
          <a:extLst>
            <a:ext uri="{FF2B5EF4-FFF2-40B4-BE49-F238E27FC236}">
              <a16:creationId xmlns:a16="http://schemas.microsoft.com/office/drawing/2014/main" id="{00000000-0008-0000-0000-00005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30" name="Picture 11" hidden="1">
          <a:extLst>
            <a:ext uri="{FF2B5EF4-FFF2-40B4-BE49-F238E27FC236}">
              <a16:creationId xmlns:a16="http://schemas.microsoft.com/office/drawing/2014/main" id="{00000000-0008-0000-0000-00005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32" name="Picture 11" hidden="1">
          <a:extLst>
            <a:ext uri="{FF2B5EF4-FFF2-40B4-BE49-F238E27FC236}">
              <a16:creationId xmlns:a16="http://schemas.microsoft.com/office/drawing/2014/main" id="{00000000-0008-0000-0000-00005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34" name="Picture 11" hidden="1">
          <a:extLst>
            <a:ext uri="{FF2B5EF4-FFF2-40B4-BE49-F238E27FC236}">
              <a16:creationId xmlns:a16="http://schemas.microsoft.com/office/drawing/2014/main" id="{00000000-0008-0000-0000-00005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36" name="Picture 11" hidden="1">
          <a:extLst>
            <a:ext uri="{FF2B5EF4-FFF2-40B4-BE49-F238E27FC236}">
              <a16:creationId xmlns:a16="http://schemas.microsoft.com/office/drawing/2014/main" id="{00000000-0008-0000-0000-00005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38" name="Picture 11" hidden="1">
          <a:extLst>
            <a:ext uri="{FF2B5EF4-FFF2-40B4-BE49-F238E27FC236}">
              <a16:creationId xmlns:a16="http://schemas.microsoft.com/office/drawing/2014/main" id="{00000000-0008-0000-0000-00005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40" name="Picture 11" hidden="1">
          <a:extLst>
            <a:ext uri="{FF2B5EF4-FFF2-40B4-BE49-F238E27FC236}">
              <a16:creationId xmlns:a16="http://schemas.microsoft.com/office/drawing/2014/main" id="{00000000-0008-0000-0000-00006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42" name="Picture 11" hidden="1">
          <a:extLst>
            <a:ext uri="{FF2B5EF4-FFF2-40B4-BE49-F238E27FC236}">
              <a16:creationId xmlns:a16="http://schemas.microsoft.com/office/drawing/2014/main" id="{00000000-0008-0000-0000-00006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44" name="Picture 11" hidden="1">
          <a:extLst>
            <a:ext uri="{FF2B5EF4-FFF2-40B4-BE49-F238E27FC236}">
              <a16:creationId xmlns:a16="http://schemas.microsoft.com/office/drawing/2014/main" id="{00000000-0008-0000-0000-00006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46" name="Picture 11" hidden="1">
          <a:extLst>
            <a:ext uri="{FF2B5EF4-FFF2-40B4-BE49-F238E27FC236}">
              <a16:creationId xmlns:a16="http://schemas.microsoft.com/office/drawing/2014/main" id="{00000000-0008-0000-0000-00006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48" name="Picture 11" hidden="1">
          <a:extLst>
            <a:ext uri="{FF2B5EF4-FFF2-40B4-BE49-F238E27FC236}">
              <a16:creationId xmlns:a16="http://schemas.microsoft.com/office/drawing/2014/main" id="{00000000-0008-0000-0000-00006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50" name="Picture 11" hidden="1">
          <a:extLst>
            <a:ext uri="{FF2B5EF4-FFF2-40B4-BE49-F238E27FC236}">
              <a16:creationId xmlns:a16="http://schemas.microsoft.com/office/drawing/2014/main" id="{00000000-0008-0000-0000-00006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52" name="Picture 11" hidden="1">
          <a:extLst>
            <a:ext uri="{FF2B5EF4-FFF2-40B4-BE49-F238E27FC236}">
              <a16:creationId xmlns:a16="http://schemas.microsoft.com/office/drawing/2014/main" id="{00000000-0008-0000-0000-00006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54" name="Picture 11" hidden="1">
          <a:extLst>
            <a:ext uri="{FF2B5EF4-FFF2-40B4-BE49-F238E27FC236}">
              <a16:creationId xmlns:a16="http://schemas.microsoft.com/office/drawing/2014/main" id="{00000000-0008-0000-0000-00006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56" name="Picture 11" hidden="1">
          <a:extLst>
            <a:ext uri="{FF2B5EF4-FFF2-40B4-BE49-F238E27FC236}">
              <a16:creationId xmlns:a16="http://schemas.microsoft.com/office/drawing/2014/main" id="{00000000-0008-0000-0000-00007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58" name="Picture 11" hidden="1">
          <a:extLst>
            <a:ext uri="{FF2B5EF4-FFF2-40B4-BE49-F238E27FC236}">
              <a16:creationId xmlns:a16="http://schemas.microsoft.com/office/drawing/2014/main" id="{00000000-0008-0000-0000-00007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60" name="Picture 11" hidden="1">
          <a:extLst>
            <a:ext uri="{FF2B5EF4-FFF2-40B4-BE49-F238E27FC236}">
              <a16:creationId xmlns:a16="http://schemas.microsoft.com/office/drawing/2014/main" id="{00000000-0008-0000-0000-00007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62" name="Picture 11" hidden="1">
          <a:extLst>
            <a:ext uri="{FF2B5EF4-FFF2-40B4-BE49-F238E27FC236}">
              <a16:creationId xmlns:a16="http://schemas.microsoft.com/office/drawing/2014/main" id="{00000000-0008-0000-0000-00007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64" name="Picture 11" hidden="1">
          <a:extLst>
            <a:ext uri="{FF2B5EF4-FFF2-40B4-BE49-F238E27FC236}">
              <a16:creationId xmlns:a16="http://schemas.microsoft.com/office/drawing/2014/main" id="{00000000-0008-0000-0000-00007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66" name="Picture 11" hidden="1">
          <a:extLst>
            <a:ext uri="{FF2B5EF4-FFF2-40B4-BE49-F238E27FC236}">
              <a16:creationId xmlns:a16="http://schemas.microsoft.com/office/drawing/2014/main" id="{00000000-0008-0000-0000-00007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68" name="Picture 11" hidden="1">
          <a:extLst>
            <a:ext uri="{FF2B5EF4-FFF2-40B4-BE49-F238E27FC236}">
              <a16:creationId xmlns:a16="http://schemas.microsoft.com/office/drawing/2014/main" id="{00000000-0008-0000-0000-00007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6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8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6270" name="Picture 11" hidden="1">
          <a:extLst>
            <a:ext uri="{FF2B5EF4-FFF2-40B4-BE49-F238E27FC236}">
              <a16:creationId xmlns:a16="http://schemas.microsoft.com/office/drawing/2014/main" id="{00000000-0008-0000-0000-00007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72" name="Picture 11" hidden="1">
          <a:extLst>
            <a:ext uri="{FF2B5EF4-FFF2-40B4-BE49-F238E27FC236}">
              <a16:creationId xmlns:a16="http://schemas.microsoft.com/office/drawing/2014/main" id="{00000000-0008-0000-0000-00008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74" name="Picture 11" hidden="1">
          <a:extLst>
            <a:ext uri="{FF2B5EF4-FFF2-40B4-BE49-F238E27FC236}">
              <a16:creationId xmlns:a16="http://schemas.microsoft.com/office/drawing/2014/main" id="{00000000-0008-0000-0000-00008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76" name="Picture 11" hidden="1">
          <a:extLst>
            <a:ext uri="{FF2B5EF4-FFF2-40B4-BE49-F238E27FC236}">
              <a16:creationId xmlns:a16="http://schemas.microsoft.com/office/drawing/2014/main" id="{00000000-0008-0000-0000-00008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78" name="Picture 6277" hidden="1">
          <a:extLst>
            <a:ext uri="{FF2B5EF4-FFF2-40B4-BE49-F238E27FC236}">
              <a16:creationId xmlns:a16="http://schemas.microsoft.com/office/drawing/2014/main" id="{00000000-0008-0000-0000-00008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80" name="Picture 11" hidden="1">
          <a:extLst>
            <a:ext uri="{FF2B5EF4-FFF2-40B4-BE49-F238E27FC236}">
              <a16:creationId xmlns:a16="http://schemas.microsoft.com/office/drawing/2014/main" id="{00000000-0008-0000-0000-00008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82" name="Picture 11" hidden="1">
          <a:extLst>
            <a:ext uri="{FF2B5EF4-FFF2-40B4-BE49-F238E27FC236}">
              <a16:creationId xmlns:a16="http://schemas.microsoft.com/office/drawing/2014/main" id="{00000000-0008-0000-0000-00008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84" name="Picture 11" hidden="1">
          <a:extLst>
            <a:ext uri="{FF2B5EF4-FFF2-40B4-BE49-F238E27FC236}">
              <a16:creationId xmlns:a16="http://schemas.microsoft.com/office/drawing/2014/main" id="{00000000-0008-0000-0000-00008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86" name="Picture 11" hidden="1">
          <a:extLst>
            <a:ext uri="{FF2B5EF4-FFF2-40B4-BE49-F238E27FC236}">
              <a16:creationId xmlns:a16="http://schemas.microsoft.com/office/drawing/2014/main" id="{00000000-0008-0000-0000-00008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88" name="Picture 11" hidden="1">
          <a:extLst>
            <a:ext uri="{FF2B5EF4-FFF2-40B4-BE49-F238E27FC236}">
              <a16:creationId xmlns:a16="http://schemas.microsoft.com/office/drawing/2014/main" id="{00000000-0008-0000-0000-00009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90" name="Picture 11" hidden="1">
          <a:extLst>
            <a:ext uri="{FF2B5EF4-FFF2-40B4-BE49-F238E27FC236}">
              <a16:creationId xmlns:a16="http://schemas.microsoft.com/office/drawing/2014/main" id="{00000000-0008-0000-0000-00009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92" name="Picture 11" hidden="1">
          <a:extLst>
            <a:ext uri="{FF2B5EF4-FFF2-40B4-BE49-F238E27FC236}">
              <a16:creationId xmlns:a16="http://schemas.microsoft.com/office/drawing/2014/main" id="{00000000-0008-0000-0000-00009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94" name="Picture 11" hidden="1">
          <a:extLst>
            <a:ext uri="{FF2B5EF4-FFF2-40B4-BE49-F238E27FC236}">
              <a16:creationId xmlns:a16="http://schemas.microsoft.com/office/drawing/2014/main" id="{00000000-0008-0000-0000-00009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96" name="Picture 11" hidden="1">
          <a:extLst>
            <a:ext uri="{FF2B5EF4-FFF2-40B4-BE49-F238E27FC236}">
              <a16:creationId xmlns:a16="http://schemas.microsoft.com/office/drawing/2014/main" id="{00000000-0008-0000-0000-00009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98" name="Picture 11" hidden="1">
          <a:extLst>
            <a:ext uri="{FF2B5EF4-FFF2-40B4-BE49-F238E27FC236}">
              <a16:creationId xmlns:a16="http://schemas.microsoft.com/office/drawing/2014/main" id="{00000000-0008-0000-0000-00009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00" name="Picture 11" hidden="1">
          <a:extLst>
            <a:ext uri="{FF2B5EF4-FFF2-40B4-BE49-F238E27FC236}">
              <a16:creationId xmlns:a16="http://schemas.microsoft.com/office/drawing/2014/main" id="{00000000-0008-0000-0000-00009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02" name="Picture 11" hidden="1">
          <a:extLst>
            <a:ext uri="{FF2B5EF4-FFF2-40B4-BE49-F238E27FC236}">
              <a16:creationId xmlns:a16="http://schemas.microsoft.com/office/drawing/2014/main" id="{00000000-0008-0000-0000-00009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04" name="Picture 11" hidden="1">
          <a:extLst>
            <a:ext uri="{FF2B5EF4-FFF2-40B4-BE49-F238E27FC236}">
              <a16:creationId xmlns:a16="http://schemas.microsoft.com/office/drawing/2014/main" id="{00000000-0008-0000-0000-0000A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06" name="Picture 11" hidden="1">
          <a:extLst>
            <a:ext uri="{FF2B5EF4-FFF2-40B4-BE49-F238E27FC236}">
              <a16:creationId xmlns:a16="http://schemas.microsoft.com/office/drawing/2014/main" id="{00000000-0008-0000-0000-0000A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08" name="Picture 11" hidden="1">
          <a:extLst>
            <a:ext uri="{FF2B5EF4-FFF2-40B4-BE49-F238E27FC236}">
              <a16:creationId xmlns:a16="http://schemas.microsoft.com/office/drawing/2014/main" id="{00000000-0008-0000-0000-0000A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10" name="Picture 11" hidden="1">
          <a:extLst>
            <a:ext uri="{FF2B5EF4-FFF2-40B4-BE49-F238E27FC236}">
              <a16:creationId xmlns:a16="http://schemas.microsoft.com/office/drawing/2014/main" id="{00000000-0008-0000-0000-0000A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12" name="Picture 11" hidden="1">
          <a:extLst>
            <a:ext uri="{FF2B5EF4-FFF2-40B4-BE49-F238E27FC236}">
              <a16:creationId xmlns:a16="http://schemas.microsoft.com/office/drawing/2014/main" id="{00000000-0008-0000-0000-0000A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14" name="Picture 11" hidden="1">
          <a:extLst>
            <a:ext uri="{FF2B5EF4-FFF2-40B4-BE49-F238E27FC236}">
              <a16:creationId xmlns:a16="http://schemas.microsoft.com/office/drawing/2014/main" id="{00000000-0008-0000-0000-0000A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16" name="Picture 11" hidden="1">
          <a:extLst>
            <a:ext uri="{FF2B5EF4-FFF2-40B4-BE49-F238E27FC236}">
              <a16:creationId xmlns:a16="http://schemas.microsoft.com/office/drawing/2014/main" id="{00000000-0008-0000-0000-0000A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18" name="Picture 11" hidden="1">
          <a:extLst>
            <a:ext uri="{FF2B5EF4-FFF2-40B4-BE49-F238E27FC236}">
              <a16:creationId xmlns:a16="http://schemas.microsoft.com/office/drawing/2014/main" id="{00000000-0008-0000-0000-0000A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20" name="Picture 11" hidden="1">
          <a:extLst>
            <a:ext uri="{FF2B5EF4-FFF2-40B4-BE49-F238E27FC236}">
              <a16:creationId xmlns:a16="http://schemas.microsoft.com/office/drawing/2014/main" id="{00000000-0008-0000-0000-0000B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22" name="Picture 11" hidden="1">
          <a:extLst>
            <a:ext uri="{FF2B5EF4-FFF2-40B4-BE49-F238E27FC236}">
              <a16:creationId xmlns:a16="http://schemas.microsoft.com/office/drawing/2014/main" id="{00000000-0008-0000-0000-0000B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24" name="Picture 11" hidden="1">
          <a:extLst>
            <a:ext uri="{FF2B5EF4-FFF2-40B4-BE49-F238E27FC236}">
              <a16:creationId xmlns:a16="http://schemas.microsoft.com/office/drawing/2014/main" id="{00000000-0008-0000-0000-0000B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26" name="Picture 11" hidden="1">
          <a:extLst>
            <a:ext uri="{FF2B5EF4-FFF2-40B4-BE49-F238E27FC236}">
              <a16:creationId xmlns:a16="http://schemas.microsoft.com/office/drawing/2014/main" id="{00000000-0008-0000-0000-0000B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28" name="Picture 11" hidden="1">
          <a:extLst>
            <a:ext uri="{FF2B5EF4-FFF2-40B4-BE49-F238E27FC236}">
              <a16:creationId xmlns:a16="http://schemas.microsoft.com/office/drawing/2014/main" id="{00000000-0008-0000-0000-0000B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30" name="Picture 11" hidden="1">
          <a:extLst>
            <a:ext uri="{FF2B5EF4-FFF2-40B4-BE49-F238E27FC236}">
              <a16:creationId xmlns:a16="http://schemas.microsoft.com/office/drawing/2014/main" id="{00000000-0008-0000-0000-0000B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32" name="Picture 11" hidden="1">
          <a:extLst>
            <a:ext uri="{FF2B5EF4-FFF2-40B4-BE49-F238E27FC236}">
              <a16:creationId xmlns:a16="http://schemas.microsoft.com/office/drawing/2014/main" id="{00000000-0008-0000-0000-0000B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34" name="Picture 11" hidden="1">
          <a:extLst>
            <a:ext uri="{FF2B5EF4-FFF2-40B4-BE49-F238E27FC236}">
              <a16:creationId xmlns:a16="http://schemas.microsoft.com/office/drawing/2014/main" id="{00000000-0008-0000-0000-0000B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36" name="Picture 11" hidden="1">
          <a:extLst>
            <a:ext uri="{FF2B5EF4-FFF2-40B4-BE49-F238E27FC236}">
              <a16:creationId xmlns:a16="http://schemas.microsoft.com/office/drawing/2014/main" id="{00000000-0008-0000-0000-0000C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38" name="Picture 11" hidden="1">
          <a:extLst>
            <a:ext uri="{FF2B5EF4-FFF2-40B4-BE49-F238E27FC236}">
              <a16:creationId xmlns:a16="http://schemas.microsoft.com/office/drawing/2014/main" id="{00000000-0008-0000-0000-0000C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40" name="Picture 11" hidden="1">
          <a:extLst>
            <a:ext uri="{FF2B5EF4-FFF2-40B4-BE49-F238E27FC236}">
              <a16:creationId xmlns:a16="http://schemas.microsoft.com/office/drawing/2014/main" id="{00000000-0008-0000-0000-0000C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42" name="Picture 11" hidden="1">
          <a:extLst>
            <a:ext uri="{FF2B5EF4-FFF2-40B4-BE49-F238E27FC236}">
              <a16:creationId xmlns:a16="http://schemas.microsoft.com/office/drawing/2014/main" id="{00000000-0008-0000-0000-0000C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44" name="Picture 11" hidden="1">
          <a:extLst>
            <a:ext uri="{FF2B5EF4-FFF2-40B4-BE49-F238E27FC236}">
              <a16:creationId xmlns:a16="http://schemas.microsoft.com/office/drawing/2014/main" id="{00000000-0008-0000-0000-0000C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46" name="Picture 11" hidden="1">
          <a:extLst>
            <a:ext uri="{FF2B5EF4-FFF2-40B4-BE49-F238E27FC236}">
              <a16:creationId xmlns:a16="http://schemas.microsoft.com/office/drawing/2014/main" id="{00000000-0008-0000-0000-0000C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48" name="Picture 11" hidden="1">
          <a:extLst>
            <a:ext uri="{FF2B5EF4-FFF2-40B4-BE49-F238E27FC236}">
              <a16:creationId xmlns:a16="http://schemas.microsoft.com/office/drawing/2014/main" id="{00000000-0008-0000-0000-0000C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50" name="Picture 11" hidden="1">
          <a:extLst>
            <a:ext uri="{FF2B5EF4-FFF2-40B4-BE49-F238E27FC236}">
              <a16:creationId xmlns:a16="http://schemas.microsoft.com/office/drawing/2014/main" id="{00000000-0008-0000-0000-0000C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52" name="Picture 11" hidden="1">
          <a:extLst>
            <a:ext uri="{FF2B5EF4-FFF2-40B4-BE49-F238E27FC236}">
              <a16:creationId xmlns:a16="http://schemas.microsoft.com/office/drawing/2014/main" id="{00000000-0008-0000-0000-0000D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54" name="Picture 11" hidden="1">
          <a:extLst>
            <a:ext uri="{FF2B5EF4-FFF2-40B4-BE49-F238E27FC236}">
              <a16:creationId xmlns:a16="http://schemas.microsoft.com/office/drawing/2014/main" id="{00000000-0008-0000-0000-0000D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56" name="Picture 11" hidden="1">
          <a:extLst>
            <a:ext uri="{FF2B5EF4-FFF2-40B4-BE49-F238E27FC236}">
              <a16:creationId xmlns:a16="http://schemas.microsoft.com/office/drawing/2014/main" id="{00000000-0008-0000-0000-0000D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58" name="Picture 11" hidden="1">
          <a:extLst>
            <a:ext uri="{FF2B5EF4-FFF2-40B4-BE49-F238E27FC236}">
              <a16:creationId xmlns:a16="http://schemas.microsoft.com/office/drawing/2014/main" id="{00000000-0008-0000-0000-0000D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60" name="Picture 11" hidden="1">
          <a:extLst>
            <a:ext uri="{FF2B5EF4-FFF2-40B4-BE49-F238E27FC236}">
              <a16:creationId xmlns:a16="http://schemas.microsoft.com/office/drawing/2014/main" id="{00000000-0008-0000-0000-0000D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62" name="Picture 11" hidden="1">
          <a:extLst>
            <a:ext uri="{FF2B5EF4-FFF2-40B4-BE49-F238E27FC236}">
              <a16:creationId xmlns:a16="http://schemas.microsoft.com/office/drawing/2014/main" id="{00000000-0008-0000-0000-0000D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64" name="Picture 11" hidden="1">
          <a:extLst>
            <a:ext uri="{FF2B5EF4-FFF2-40B4-BE49-F238E27FC236}">
              <a16:creationId xmlns:a16="http://schemas.microsoft.com/office/drawing/2014/main" id="{00000000-0008-0000-0000-0000D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66" name="Picture 11" hidden="1">
          <a:extLst>
            <a:ext uri="{FF2B5EF4-FFF2-40B4-BE49-F238E27FC236}">
              <a16:creationId xmlns:a16="http://schemas.microsoft.com/office/drawing/2014/main" id="{00000000-0008-0000-0000-0000D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68" name="Picture 11" hidden="1">
          <a:extLst>
            <a:ext uri="{FF2B5EF4-FFF2-40B4-BE49-F238E27FC236}">
              <a16:creationId xmlns:a16="http://schemas.microsoft.com/office/drawing/2014/main" id="{00000000-0008-0000-0000-0000E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70" name="Picture 11" hidden="1">
          <a:extLst>
            <a:ext uri="{FF2B5EF4-FFF2-40B4-BE49-F238E27FC236}">
              <a16:creationId xmlns:a16="http://schemas.microsoft.com/office/drawing/2014/main" id="{00000000-0008-0000-0000-0000E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72" name="Picture 11" hidden="1">
          <a:extLst>
            <a:ext uri="{FF2B5EF4-FFF2-40B4-BE49-F238E27FC236}">
              <a16:creationId xmlns:a16="http://schemas.microsoft.com/office/drawing/2014/main" id="{00000000-0008-0000-0000-0000E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74" name="Picture 11" hidden="1">
          <a:extLst>
            <a:ext uri="{FF2B5EF4-FFF2-40B4-BE49-F238E27FC236}">
              <a16:creationId xmlns:a16="http://schemas.microsoft.com/office/drawing/2014/main" id="{00000000-0008-0000-0000-0000E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76" name="Picture 11" hidden="1">
          <a:extLst>
            <a:ext uri="{FF2B5EF4-FFF2-40B4-BE49-F238E27FC236}">
              <a16:creationId xmlns:a16="http://schemas.microsoft.com/office/drawing/2014/main" id="{00000000-0008-0000-0000-0000E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78" name="Picture 11" hidden="1">
          <a:extLst>
            <a:ext uri="{FF2B5EF4-FFF2-40B4-BE49-F238E27FC236}">
              <a16:creationId xmlns:a16="http://schemas.microsoft.com/office/drawing/2014/main" id="{00000000-0008-0000-0000-0000E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80" name="Picture 11" hidden="1">
          <a:extLst>
            <a:ext uri="{FF2B5EF4-FFF2-40B4-BE49-F238E27FC236}">
              <a16:creationId xmlns:a16="http://schemas.microsoft.com/office/drawing/2014/main" id="{00000000-0008-0000-0000-0000E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82" name="Picture 11" hidden="1">
          <a:extLst>
            <a:ext uri="{FF2B5EF4-FFF2-40B4-BE49-F238E27FC236}">
              <a16:creationId xmlns:a16="http://schemas.microsoft.com/office/drawing/2014/main" id="{00000000-0008-0000-0000-0000E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84" name="Picture 11" hidden="1">
          <a:extLst>
            <a:ext uri="{FF2B5EF4-FFF2-40B4-BE49-F238E27FC236}">
              <a16:creationId xmlns:a16="http://schemas.microsoft.com/office/drawing/2014/main" id="{00000000-0008-0000-0000-0000F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86" name="Picture 6385" hidden="1">
          <a:extLst>
            <a:ext uri="{FF2B5EF4-FFF2-40B4-BE49-F238E27FC236}">
              <a16:creationId xmlns:a16="http://schemas.microsoft.com/office/drawing/2014/main" id="{00000000-0008-0000-0000-0000F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88" name="Picture 11" hidden="1">
          <a:extLst>
            <a:ext uri="{FF2B5EF4-FFF2-40B4-BE49-F238E27FC236}">
              <a16:creationId xmlns:a16="http://schemas.microsoft.com/office/drawing/2014/main" id="{00000000-0008-0000-0000-0000F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90" name="Picture 11" hidden="1">
          <a:extLst>
            <a:ext uri="{FF2B5EF4-FFF2-40B4-BE49-F238E27FC236}">
              <a16:creationId xmlns:a16="http://schemas.microsoft.com/office/drawing/2014/main" id="{00000000-0008-0000-0000-0000F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92" name="Picture 11" hidden="1">
          <a:extLst>
            <a:ext uri="{FF2B5EF4-FFF2-40B4-BE49-F238E27FC236}">
              <a16:creationId xmlns:a16="http://schemas.microsoft.com/office/drawing/2014/main" id="{00000000-0008-0000-0000-0000F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94" name="Picture 11" hidden="1">
          <a:extLst>
            <a:ext uri="{FF2B5EF4-FFF2-40B4-BE49-F238E27FC236}">
              <a16:creationId xmlns:a16="http://schemas.microsoft.com/office/drawing/2014/main" id="{00000000-0008-0000-0000-0000F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96" name="Picture 11" hidden="1">
          <a:extLst>
            <a:ext uri="{FF2B5EF4-FFF2-40B4-BE49-F238E27FC236}">
              <a16:creationId xmlns:a16="http://schemas.microsoft.com/office/drawing/2014/main" id="{00000000-0008-0000-0000-0000F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98" name="Picture 11" hidden="1">
          <a:extLst>
            <a:ext uri="{FF2B5EF4-FFF2-40B4-BE49-F238E27FC236}">
              <a16:creationId xmlns:a16="http://schemas.microsoft.com/office/drawing/2014/main" id="{00000000-0008-0000-0000-0000F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00" name="Picture 11" hidden="1">
          <a:extLst>
            <a:ext uri="{FF2B5EF4-FFF2-40B4-BE49-F238E27FC236}">
              <a16:creationId xmlns:a16="http://schemas.microsoft.com/office/drawing/2014/main" id="{00000000-0008-0000-0000-00000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02" name="Picture 11" hidden="1">
          <a:extLst>
            <a:ext uri="{FF2B5EF4-FFF2-40B4-BE49-F238E27FC236}">
              <a16:creationId xmlns:a16="http://schemas.microsoft.com/office/drawing/2014/main" id="{00000000-0008-0000-0000-00000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04" name="Picture 11" hidden="1">
          <a:extLst>
            <a:ext uri="{FF2B5EF4-FFF2-40B4-BE49-F238E27FC236}">
              <a16:creationId xmlns:a16="http://schemas.microsoft.com/office/drawing/2014/main" id="{00000000-0008-0000-0000-00000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06" name="Picture 11" hidden="1">
          <a:extLst>
            <a:ext uri="{FF2B5EF4-FFF2-40B4-BE49-F238E27FC236}">
              <a16:creationId xmlns:a16="http://schemas.microsoft.com/office/drawing/2014/main" id="{00000000-0008-0000-0000-00000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08" name="Picture 11" hidden="1">
          <a:extLst>
            <a:ext uri="{FF2B5EF4-FFF2-40B4-BE49-F238E27FC236}">
              <a16:creationId xmlns:a16="http://schemas.microsoft.com/office/drawing/2014/main" id="{00000000-0008-0000-0000-00000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10" name="Picture 11" hidden="1">
          <a:extLst>
            <a:ext uri="{FF2B5EF4-FFF2-40B4-BE49-F238E27FC236}">
              <a16:creationId xmlns:a16="http://schemas.microsoft.com/office/drawing/2014/main" id="{00000000-0008-0000-0000-00000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12" name="Picture 11" hidden="1">
          <a:extLst>
            <a:ext uri="{FF2B5EF4-FFF2-40B4-BE49-F238E27FC236}">
              <a16:creationId xmlns:a16="http://schemas.microsoft.com/office/drawing/2014/main" id="{00000000-0008-0000-0000-00000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14" name="Picture 11" hidden="1">
          <a:extLst>
            <a:ext uri="{FF2B5EF4-FFF2-40B4-BE49-F238E27FC236}">
              <a16:creationId xmlns:a16="http://schemas.microsoft.com/office/drawing/2014/main" id="{00000000-0008-0000-0000-00000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16" name="Picture 11" hidden="1">
          <a:extLst>
            <a:ext uri="{FF2B5EF4-FFF2-40B4-BE49-F238E27FC236}">
              <a16:creationId xmlns:a16="http://schemas.microsoft.com/office/drawing/2014/main" id="{00000000-0008-0000-0000-00001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18" name="Picture 11" hidden="1">
          <a:extLst>
            <a:ext uri="{FF2B5EF4-FFF2-40B4-BE49-F238E27FC236}">
              <a16:creationId xmlns:a16="http://schemas.microsoft.com/office/drawing/2014/main" id="{00000000-0008-0000-0000-00001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20" name="Picture 11" hidden="1">
          <a:extLst>
            <a:ext uri="{FF2B5EF4-FFF2-40B4-BE49-F238E27FC236}">
              <a16:creationId xmlns:a16="http://schemas.microsoft.com/office/drawing/2014/main" id="{00000000-0008-0000-0000-00001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22" name="Picture 11" hidden="1">
          <a:extLst>
            <a:ext uri="{FF2B5EF4-FFF2-40B4-BE49-F238E27FC236}">
              <a16:creationId xmlns:a16="http://schemas.microsoft.com/office/drawing/2014/main" id="{00000000-0008-0000-0000-00001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24" name="Picture 11" hidden="1">
          <a:extLst>
            <a:ext uri="{FF2B5EF4-FFF2-40B4-BE49-F238E27FC236}">
              <a16:creationId xmlns:a16="http://schemas.microsoft.com/office/drawing/2014/main" id="{00000000-0008-0000-0000-00001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26" name="Picture 11" hidden="1">
          <a:extLst>
            <a:ext uri="{FF2B5EF4-FFF2-40B4-BE49-F238E27FC236}">
              <a16:creationId xmlns:a16="http://schemas.microsoft.com/office/drawing/2014/main" id="{00000000-0008-0000-0000-00001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28" name="Picture 11" hidden="1">
          <a:extLst>
            <a:ext uri="{FF2B5EF4-FFF2-40B4-BE49-F238E27FC236}">
              <a16:creationId xmlns:a16="http://schemas.microsoft.com/office/drawing/2014/main" id="{00000000-0008-0000-0000-00001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30" name="Picture 11" hidden="1">
          <a:extLst>
            <a:ext uri="{FF2B5EF4-FFF2-40B4-BE49-F238E27FC236}">
              <a16:creationId xmlns:a16="http://schemas.microsoft.com/office/drawing/2014/main" id="{00000000-0008-0000-0000-00001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32" name="Picture 11" hidden="1">
          <a:extLst>
            <a:ext uri="{FF2B5EF4-FFF2-40B4-BE49-F238E27FC236}">
              <a16:creationId xmlns:a16="http://schemas.microsoft.com/office/drawing/2014/main" id="{00000000-0008-0000-0000-00002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34" name="Picture 11" hidden="1">
          <a:extLst>
            <a:ext uri="{FF2B5EF4-FFF2-40B4-BE49-F238E27FC236}">
              <a16:creationId xmlns:a16="http://schemas.microsoft.com/office/drawing/2014/main" id="{00000000-0008-0000-0000-00002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36" name="Picture 11" hidden="1">
          <a:extLst>
            <a:ext uri="{FF2B5EF4-FFF2-40B4-BE49-F238E27FC236}">
              <a16:creationId xmlns:a16="http://schemas.microsoft.com/office/drawing/2014/main" id="{00000000-0008-0000-0000-00002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38" name="Picture 11" hidden="1">
          <a:extLst>
            <a:ext uri="{FF2B5EF4-FFF2-40B4-BE49-F238E27FC236}">
              <a16:creationId xmlns:a16="http://schemas.microsoft.com/office/drawing/2014/main" id="{00000000-0008-0000-0000-00002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40" name="Picture 11" hidden="1">
          <a:extLst>
            <a:ext uri="{FF2B5EF4-FFF2-40B4-BE49-F238E27FC236}">
              <a16:creationId xmlns:a16="http://schemas.microsoft.com/office/drawing/2014/main" id="{00000000-0008-0000-0000-00002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42" name="Picture 11" hidden="1">
          <a:extLst>
            <a:ext uri="{FF2B5EF4-FFF2-40B4-BE49-F238E27FC236}">
              <a16:creationId xmlns:a16="http://schemas.microsoft.com/office/drawing/2014/main" id="{00000000-0008-0000-0000-00002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44" name="Picture 11" hidden="1">
          <a:extLst>
            <a:ext uri="{FF2B5EF4-FFF2-40B4-BE49-F238E27FC236}">
              <a16:creationId xmlns:a16="http://schemas.microsoft.com/office/drawing/2014/main" id="{00000000-0008-0000-0000-00002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46" name="Picture 11" hidden="1">
          <a:extLst>
            <a:ext uri="{FF2B5EF4-FFF2-40B4-BE49-F238E27FC236}">
              <a16:creationId xmlns:a16="http://schemas.microsoft.com/office/drawing/2014/main" id="{00000000-0008-0000-0000-00002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48" name="Picture 11" hidden="1">
          <a:extLst>
            <a:ext uri="{FF2B5EF4-FFF2-40B4-BE49-F238E27FC236}">
              <a16:creationId xmlns:a16="http://schemas.microsoft.com/office/drawing/2014/main" id="{00000000-0008-0000-0000-00003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50" name="Picture 11" hidden="1">
          <a:extLst>
            <a:ext uri="{FF2B5EF4-FFF2-40B4-BE49-F238E27FC236}">
              <a16:creationId xmlns:a16="http://schemas.microsoft.com/office/drawing/2014/main" id="{00000000-0008-0000-0000-00003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52" name="Picture 11" hidden="1">
          <a:extLst>
            <a:ext uri="{FF2B5EF4-FFF2-40B4-BE49-F238E27FC236}">
              <a16:creationId xmlns:a16="http://schemas.microsoft.com/office/drawing/2014/main" id="{00000000-0008-0000-0000-00003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54" name="Picture 11" hidden="1">
          <a:extLst>
            <a:ext uri="{FF2B5EF4-FFF2-40B4-BE49-F238E27FC236}">
              <a16:creationId xmlns:a16="http://schemas.microsoft.com/office/drawing/2014/main" id="{00000000-0008-0000-0000-00003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56" name="Picture 11" hidden="1">
          <a:extLst>
            <a:ext uri="{FF2B5EF4-FFF2-40B4-BE49-F238E27FC236}">
              <a16:creationId xmlns:a16="http://schemas.microsoft.com/office/drawing/2014/main" id="{00000000-0008-0000-0000-00003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58" name="Picture 11" hidden="1">
          <a:extLst>
            <a:ext uri="{FF2B5EF4-FFF2-40B4-BE49-F238E27FC236}">
              <a16:creationId xmlns:a16="http://schemas.microsoft.com/office/drawing/2014/main" id="{00000000-0008-0000-0000-00003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60" name="Picture 11" hidden="1">
          <a:extLst>
            <a:ext uri="{FF2B5EF4-FFF2-40B4-BE49-F238E27FC236}">
              <a16:creationId xmlns:a16="http://schemas.microsoft.com/office/drawing/2014/main" id="{00000000-0008-0000-0000-00003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62" name="Picture 11" hidden="1">
          <a:extLst>
            <a:ext uri="{FF2B5EF4-FFF2-40B4-BE49-F238E27FC236}">
              <a16:creationId xmlns:a16="http://schemas.microsoft.com/office/drawing/2014/main" id="{00000000-0008-0000-0000-00003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64" name="Picture 11" hidden="1">
          <a:extLst>
            <a:ext uri="{FF2B5EF4-FFF2-40B4-BE49-F238E27FC236}">
              <a16:creationId xmlns:a16="http://schemas.microsoft.com/office/drawing/2014/main" id="{00000000-0008-0000-0000-00004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66" name="Picture 11" hidden="1">
          <a:extLst>
            <a:ext uri="{FF2B5EF4-FFF2-40B4-BE49-F238E27FC236}">
              <a16:creationId xmlns:a16="http://schemas.microsoft.com/office/drawing/2014/main" id="{00000000-0008-0000-0000-00004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68" name="Picture 11" hidden="1">
          <a:extLst>
            <a:ext uri="{FF2B5EF4-FFF2-40B4-BE49-F238E27FC236}">
              <a16:creationId xmlns:a16="http://schemas.microsoft.com/office/drawing/2014/main" id="{00000000-0008-0000-0000-00004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70" name="Picture 11" hidden="1">
          <a:extLst>
            <a:ext uri="{FF2B5EF4-FFF2-40B4-BE49-F238E27FC236}">
              <a16:creationId xmlns:a16="http://schemas.microsoft.com/office/drawing/2014/main" id="{00000000-0008-0000-0000-00004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72" name="Picture 11" hidden="1">
          <a:extLst>
            <a:ext uri="{FF2B5EF4-FFF2-40B4-BE49-F238E27FC236}">
              <a16:creationId xmlns:a16="http://schemas.microsoft.com/office/drawing/2014/main" id="{00000000-0008-0000-0000-00004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74" name="Picture 11" hidden="1">
          <a:extLst>
            <a:ext uri="{FF2B5EF4-FFF2-40B4-BE49-F238E27FC236}">
              <a16:creationId xmlns:a16="http://schemas.microsoft.com/office/drawing/2014/main" id="{00000000-0008-0000-0000-00004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76" name="Picture 11" hidden="1">
          <a:extLst>
            <a:ext uri="{FF2B5EF4-FFF2-40B4-BE49-F238E27FC236}">
              <a16:creationId xmlns:a16="http://schemas.microsoft.com/office/drawing/2014/main" id="{00000000-0008-0000-0000-00004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78" name="Picture 11" hidden="1">
          <a:extLst>
            <a:ext uri="{FF2B5EF4-FFF2-40B4-BE49-F238E27FC236}">
              <a16:creationId xmlns:a16="http://schemas.microsoft.com/office/drawing/2014/main" id="{00000000-0008-0000-0000-00004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80" name="Picture 11" hidden="1">
          <a:extLst>
            <a:ext uri="{FF2B5EF4-FFF2-40B4-BE49-F238E27FC236}">
              <a16:creationId xmlns:a16="http://schemas.microsoft.com/office/drawing/2014/main" id="{00000000-0008-0000-0000-00005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82" name="Picture 11" hidden="1">
          <a:extLst>
            <a:ext uri="{FF2B5EF4-FFF2-40B4-BE49-F238E27FC236}">
              <a16:creationId xmlns:a16="http://schemas.microsoft.com/office/drawing/2014/main" id="{00000000-0008-0000-0000-00005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84" name="Picture 11" hidden="1">
          <a:extLst>
            <a:ext uri="{FF2B5EF4-FFF2-40B4-BE49-F238E27FC236}">
              <a16:creationId xmlns:a16="http://schemas.microsoft.com/office/drawing/2014/main" id="{00000000-0008-0000-0000-00005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86" name="Picture 11" hidden="1">
          <a:extLst>
            <a:ext uri="{FF2B5EF4-FFF2-40B4-BE49-F238E27FC236}">
              <a16:creationId xmlns:a16="http://schemas.microsoft.com/office/drawing/2014/main" id="{00000000-0008-0000-0000-00005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88" name="Picture 11" hidden="1">
          <a:extLst>
            <a:ext uri="{FF2B5EF4-FFF2-40B4-BE49-F238E27FC236}">
              <a16:creationId xmlns:a16="http://schemas.microsoft.com/office/drawing/2014/main" id="{00000000-0008-0000-0000-00005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90" name="Picture 11" hidden="1">
          <a:extLst>
            <a:ext uri="{FF2B5EF4-FFF2-40B4-BE49-F238E27FC236}">
              <a16:creationId xmlns:a16="http://schemas.microsoft.com/office/drawing/2014/main" id="{00000000-0008-0000-0000-00005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92" name="Picture 11" hidden="1">
          <a:extLst>
            <a:ext uri="{FF2B5EF4-FFF2-40B4-BE49-F238E27FC236}">
              <a16:creationId xmlns:a16="http://schemas.microsoft.com/office/drawing/2014/main" id="{00000000-0008-0000-0000-00005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94" name="Picture 6493" hidden="1">
          <a:extLst>
            <a:ext uri="{FF2B5EF4-FFF2-40B4-BE49-F238E27FC236}">
              <a16:creationId xmlns:a16="http://schemas.microsoft.com/office/drawing/2014/main" id="{00000000-0008-0000-0000-00005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96" name="Picture 11" hidden="1">
          <a:extLst>
            <a:ext uri="{FF2B5EF4-FFF2-40B4-BE49-F238E27FC236}">
              <a16:creationId xmlns:a16="http://schemas.microsoft.com/office/drawing/2014/main" id="{00000000-0008-0000-0000-00006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98" name="Picture 11" hidden="1">
          <a:extLst>
            <a:ext uri="{FF2B5EF4-FFF2-40B4-BE49-F238E27FC236}">
              <a16:creationId xmlns:a16="http://schemas.microsoft.com/office/drawing/2014/main" id="{00000000-0008-0000-0000-00006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00" name="Picture 11" hidden="1">
          <a:extLst>
            <a:ext uri="{FF2B5EF4-FFF2-40B4-BE49-F238E27FC236}">
              <a16:creationId xmlns:a16="http://schemas.microsoft.com/office/drawing/2014/main" id="{00000000-0008-0000-0000-00006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02" name="Picture 11" hidden="1">
          <a:extLst>
            <a:ext uri="{FF2B5EF4-FFF2-40B4-BE49-F238E27FC236}">
              <a16:creationId xmlns:a16="http://schemas.microsoft.com/office/drawing/2014/main" id="{00000000-0008-0000-0000-00006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04" name="Picture 11" hidden="1">
          <a:extLst>
            <a:ext uri="{FF2B5EF4-FFF2-40B4-BE49-F238E27FC236}">
              <a16:creationId xmlns:a16="http://schemas.microsoft.com/office/drawing/2014/main" id="{00000000-0008-0000-0000-00006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06" name="Picture 11" hidden="1">
          <a:extLst>
            <a:ext uri="{FF2B5EF4-FFF2-40B4-BE49-F238E27FC236}">
              <a16:creationId xmlns:a16="http://schemas.microsoft.com/office/drawing/2014/main" id="{00000000-0008-0000-0000-00006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08" name="Picture 11" hidden="1">
          <a:extLst>
            <a:ext uri="{FF2B5EF4-FFF2-40B4-BE49-F238E27FC236}">
              <a16:creationId xmlns:a16="http://schemas.microsoft.com/office/drawing/2014/main" id="{00000000-0008-0000-0000-00006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10" name="Picture 11" hidden="1">
          <a:extLst>
            <a:ext uri="{FF2B5EF4-FFF2-40B4-BE49-F238E27FC236}">
              <a16:creationId xmlns:a16="http://schemas.microsoft.com/office/drawing/2014/main" id="{00000000-0008-0000-0000-00006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12" name="Picture 11" hidden="1">
          <a:extLst>
            <a:ext uri="{FF2B5EF4-FFF2-40B4-BE49-F238E27FC236}">
              <a16:creationId xmlns:a16="http://schemas.microsoft.com/office/drawing/2014/main" id="{00000000-0008-0000-0000-00007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14" name="Picture 11" hidden="1">
          <a:extLst>
            <a:ext uri="{FF2B5EF4-FFF2-40B4-BE49-F238E27FC236}">
              <a16:creationId xmlns:a16="http://schemas.microsoft.com/office/drawing/2014/main" id="{00000000-0008-0000-0000-00007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16" name="Picture 11" hidden="1">
          <a:extLst>
            <a:ext uri="{FF2B5EF4-FFF2-40B4-BE49-F238E27FC236}">
              <a16:creationId xmlns:a16="http://schemas.microsoft.com/office/drawing/2014/main" id="{00000000-0008-0000-0000-00007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18" name="Picture 11" hidden="1">
          <a:extLst>
            <a:ext uri="{FF2B5EF4-FFF2-40B4-BE49-F238E27FC236}">
              <a16:creationId xmlns:a16="http://schemas.microsoft.com/office/drawing/2014/main" id="{00000000-0008-0000-0000-00007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20" name="Picture 11" hidden="1">
          <a:extLst>
            <a:ext uri="{FF2B5EF4-FFF2-40B4-BE49-F238E27FC236}">
              <a16:creationId xmlns:a16="http://schemas.microsoft.com/office/drawing/2014/main" id="{00000000-0008-0000-0000-00007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22" name="Picture 11" hidden="1">
          <a:extLst>
            <a:ext uri="{FF2B5EF4-FFF2-40B4-BE49-F238E27FC236}">
              <a16:creationId xmlns:a16="http://schemas.microsoft.com/office/drawing/2014/main" id="{00000000-0008-0000-0000-00007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24" name="Picture 11" hidden="1">
          <a:extLst>
            <a:ext uri="{FF2B5EF4-FFF2-40B4-BE49-F238E27FC236}">
              <a16:creationId xmlns:a16="http://schemas.microsoft.com/office/drawing/2014/main" id="{00000000-0008-0000-0000-00007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26" name="Picture 11" hidden="1">
          <a:extLst>
            <a:ext uri="{FF2B5EF4-FFF2-40B4-BE49-F238E27FC236}">
              <a16:creationId xmlns:a16="http://schemas.microsoft.com/office/drawing/2014/main" id="{00000000-0008-0000-0000-00007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28" name="Picture 11" hidden="1">
          <a:extLst>
            <a:ext uri="{FF2B5EF4-FFF2-40B4-BE49-F238E27FC236}">
              <a16:creationId xmlns:a16="http://schemas.microsoft.com/office/drawing/2014/main" id="{00000000-0008-0000-0000-00008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30" name="Picture 11" hidden="1">
          <a:extLst>
            <a:ext uri="{FF2B5EF4-FFF2-40B4-BE49-F238E27FC236}">
              <a16:creationId xmlns:a16="http://schemas.microsoft.com/office/drawing/2014/main" id="{00000000-0008-0000-0000-00008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32" name="Picture 11" hidden="1">
          <a:extLst>
            <a:ext uri="{FF2B5EF4-FFF2-40B4-BE49-F238E27FC236}">
              <a16:creationId xmlns:a16="http://schemas.microsoft.com/office/drawing/2014/main" id="{00000000-0008-0000-0000-00008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34" name="Picture 11" hidden="1">
          <a:extLst>
            <a:ext uri="{FF2B5EF4-FFF2-40B4-BE49-F238E27FC236}">
              <a16:creationId xmlns:a16="http://schemas.microsoft.com/office/drawing/2014/main" id="{00000000-0008-0000-0000-00008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36" name="Picture 11" hidden="1">
          <a:extLst>
            <a:ext uri="{FF2B5EF4-FFF2-40B4-BE49-F238E27FC236}">
              <a16:creationId xmlns:a16="http://schemas.microsoft.com/office/drawing/2014/main" id="{00000000-0008-0000-0000-00008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38" name="Picture 11" hidden="1">
          <a:extLst>
            <a:ext uri="{FF2B5EF4-FFF2-40B4-BE49-F238E27FC236}">
              <a16:creationId xmlns:a16="http://schemas.microsoft.com/office/drawing/2014/main" id="{00000000-0008-0000-0000-00008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40" name="Picture 11" hidden="1">
          <a:extLst>
            <a:ext uri="{FF2B5EF4-FFF2-40B4-BE49-F238E27FC236}">
              <a16:creationId xmlns:a16="http://schemas.microsoft.com/office/drawing/2014/main" id="{00000000-0008-0000-0000-00008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42" name="Picture 11" hidden="1">
          <a:extLst>
            <a:ext uri="{FF2B5EF4-FFF2-40B4-BE49-F238E27FC236}">
              <a16:creationId xmlns:a16="http://schemas.microsoft.com/office/drawing/2014/main" id="{00000000-0008-0000-0000-00008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44" name="Picture 11" hidden="1">
          <a:extLst>
            <a:ext uri="{FF2B5EF4-FFF2-40B4-BE49-F238E27FC236}">
              <a16:creationId xmlns:a16="http://schemas.microsoft.com/office/drawing/2014/main" id="{00000000-0008-0000-0000-00009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46" name="Picture 11" hidden="1">
          <a:extLst>
            <a:ext uri="{FF2B5EF4-FFF2-40B4-BE49-F238E27FC236}">
              <a16:creationId xmlns:a16="http://schemas.microsoft.com/office/drawing/2014/main" id="{00000000-0008-0000-0000-00009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48" name="Picture 11" hidden="1">
          <a:extLst>
            <a:ext uri="{FF2B5EF4-FFF2-40B4-BE49-F238E27FC236}">
              <a16:creationId xmlns:a16="http://schemas.microsoft.com/office/drawing/2014/main" id="{00000000-0008-0000-0000-00009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50" name="Picture 11" hidden="1">
          <a:extLst>
            <a:ext uri="{FF2B5EF4-FFF2-40B4-BE49-F238E27FC236}">
              <a16:creationId xmlns:a16="http://schemas.microsoft.com/office/drawing/2014/main" id="{00000000-0008-0000-0000-00009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52" name="Picture 11" hidden="1">
          <a:extLst>
            <a:ext uri="{FF2B5EF4-FFF2-40B4-BE49-F238E27FC236}">
              <a16:creationId xmlns:a16="http://schemas.microsoft.com/office/drawing/2014/main" id="{00000000-0008-0000-0000-00009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54" name="Picture 11" hidden="1">
          <a:extLst>
            <a:ext uri="{FF2B5EF4-FFF2-40B4-BE49-F238E27FC236}">
              <a16:creationId xmlns:a16="http://schemas.microsoft.com/office/drawing/2014/main" id="{00000000-0008-0000-0000-00009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56" name="Picture 11" hidden="1">
          <a:extLst>
            <a:ext uri="{FF2B5EF4-FFF2-40B4-BE49-F238E27FC236}">
              <a16:creationId xmlns:a16="http://schemas.microsoft.com/office/drawing/2014/main" id="{00000000-0008-0000-0000-00009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58" name="Picture 11" hidden="1">
          <a:extLst>
            <a:ext uri="{FF2B5EF4-FFF2-40B4-BE49-F238E27FC236}">
              <a16:creationId xmlns:a16="http://schemas.microsoft.com/office/drawing/2014/main" id="{00000000-0008-0000-0000-00009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60" name="Picture 11" hidden="1">
          <a:extLst>
            <a:ext uri="{FF2B5EF4-FFF2-40B4-BE49-F238E27FC236}">
              <a16:creationId xmlns:a16="http://schemas.microsoft.com/office/drawing/2014/main" id="{00000000-0008-0000-0000-0000A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62" name="Picture 11" hidden="1">
          <a:extLst>
            <a:ext uri="{FF2B5EF4-FFF2-40B4-BE49-F238E27FC236}">
              <a16:creationId xmlns:a16="http://schemas.microsoft.com/office/drawing/2014/main" id="{00000000-0008-0000-0000-0000A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64" name="Picture 11" hidden="1">
          <a:extLst>
            <a:ext uri="{FF2B5EF4-FFF2-40B4-BE49-F238E27FC236}">
              <a16:creationId xmlns:a16="http://schemas.microsoft.com/office/drawing/2014/main" id="{00000000-0008-0000-0000-0000A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66" name="Picture 11" hidden="1">
          <a:extLst>
            <a:ext uri="{FF2B5EF4-FFF2-40B4-BE49-F238E27FC236}">
              <a16:creationId xmlns:a16="http://schemas.microsoft.com/office/drawing/2014/main" id="{00000000-0008-0000-0000-0000A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68" name="Picture 11" hidden="1">
          <a:extLst>
            <a:ext uri="{FF2B5EF4-FFF2-40B4-BE49-F238E27FC236}">
              <a16:creationId xmlns:a16="http://schemas.microsoft.com/office/drawing/2014/main" id="{00000000-0008-0000-0000-0000A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70" name="Picture 11" hidden="1">
          <a:extLst>
            <a:ext uri="{FF2B5EF4-FFF2-40B4-BE49-F238E27FC236}">
              <a16:creationId xmlns:a16="http://schemas.microsoft.com/office/drawing/2014/main" id="{00000000-0008-0000-0000-0000A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72" name="Picture 11" hidden="1">
          <a:extLst>
            <a:ext uri="{FF2B5EF4-FFF2-40B4-BE49-F238E27FC236}">
              <a16:creationId xmlns:a16="http://schemas.microsoft.com/office/drawing/2014/main" id="{00000000-0008-0000-0000-0000A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74" name="Picture 11" hidden="1">
          <a:extLst>
            <a:ext uri="{FF2B5EF4-FFF2-40B4-BE49-F238E27FC236}">
              <a16:creationId xmlns:a16="http://schemas.microsoft.com/office/drawing/2014/main" id="{00000000-0008-0000-0000-0000A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76" name="Picture 11" hidden="1">
          <a:extLst>
            <a:ext uri="{FF2B5EF4-FFF2-40B4-BE49-F238E27FC236}">
              <a16:creationId xmlns:a16="http://schemas.microsoft.com/office/drawing/2014/main" id="{00000000-0008-0000-0000-0000B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78" name="Picture 11" hidden="1">
          <a:extLst>
            <a:ext uri="{FF2B5EF4-FFF2-40B4-BE49-F238E27FC236}">
              <a16:creationId xmlns:a16="http://schemas.microsoft.com/office/drawing/2014/main" id="{00000000-0008-0000-0000-0000B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80" name="Picture 11" hidden="1">
          <a:extLst>
            <a:ext uri="{FF2B5EF4-FFF2-40B4-BE49-F238E27FC236}">
              <a16:creationId xmlns:a16="http://schemas.microsoft.com/office/drawing/2014/main" id="{00000000-0008-0000-0000-0000B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82" name="Picture 11" hidden="1">
          <a:extLst>
            <a:ext uri="{FF2B5EF4-FFF2-40B4-BE49-F238E27FC236}">
              <a16:creationId xmlns:a16="http://schemas.microsoft.com/office/drawing/2014/main" id="{00000000-0008-0000-0000-0000B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84" name="Picture 11" hidden="1">
          <a:extLst>
            <a:ext uri="{FF2B5EF4-FFF2-40B4-BE49-F238E27FC236}">
              <a16:creationId xmlns:a16="http://schemas.microsoft.com/office/drawing/2014/main" id="{00000000-0008-0000-0000-0000B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86" name="Picture 11" hidden="1">
          <a:extLst>
            <a:ext uri="{FF2B5EF4-FFF2-40B4-BE49-F238E27FC236}">
              <a16:creationId xmlns:a16="http://schemas.microsoft.com/office/drawing/2014/main" id="{00000000-0008-0000-0000-0000B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88" name="Picture 11" hidden="1">
          <a:extLst>
            <a:ext uri="{FF2B5EF4-FFF2-40B4-BE49-F238E27FC236}">
              <a16:creationId xmlns:a16="http://schemas.microsoft.com/office/drawing/2014/main" id="{00000000-0008-0000-0000-0000B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90" name="Picture 11" hidden="1">
          <a:extLst>
            <a:ext uri="{FF2B5EF4-FFF2-40B4-BE49-F238E27FC236}">
              <a16:creationId xmlns:a16="http://schemas.microsoft.com/office/drawing/2014/main" id="{00000000-0008-0000-0000-0000B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92" name="Picture 11" hidden="1">
          <a:extLst>
            <a:ext uri="{FF2B5EF4-FFF2-40B4-BE49-F238E27FC236}">
              <a16:creationId xmlns:a16="http://schemas.microsoft.com/office/drawing/2014/main" id="{00000000-0008-0000-0000-0000C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94" name="Picture 11" hidden="1">
          <a:extLst>
            <a:ext uri="{FF2B5EF4-FFF2-40B4-BE49-F238E27FC236}">
              <a16:creationId xmlns:a16="http://schemas.microsoft.com/office/drawing/2014/main" id="{00000000-0008-0000-0000-0000C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96" name="Picture 11" hidden="1">
          <a:extLst>
            <a:ext uri="{FF2B5EF4-FFF2-40B4-BE49-F238E27FC236}">
              <a16:creationId xmlns:a16="http://schemas.microsoft.com/office/drawing/2014/main" id="{00000000-0008-0000-0000-0000C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98" name="Picture 11" hidden="1">
          <a:extLst>
            <a:ext uri="{FF2B5EF4-FFF2-40B4-BE49-F238E27FC236}">
              <a16:creationId xmlns:a16="http://schemas.microsoft.com/office/drawing/2014/main" id="{00000000-0008-0000-0000-0000C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00" name="Picture 11" hidden="1">
          <a:extLst>
            <a:ext uri="{FF2B5EF4-FFF2-40B4-BE49-F238E27FC236}">
              <a16:creationId xmlns:a16="http://schemas.microsoft.com/office/drawing/2014/main" id="{00000000-0008-0000-0000-0000C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02" name="Picture 6601" hidden="1">
          <a:extLst>
            <a:ext uri="{FF2B5EF4-FFF2-40B4-BE49-F238E27FC236}">
              <a16:creationId xmlns:a16="http://schemas.microsoft.com/office/drawing/2014/main" id="{00000000-0008-0000-0000-0000C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04" name="Picture 11" hidden="1">
          <a:extLst>
            <a:ext uri="{FF2B5EF4-FFF2-40B4-BE49-F238E27FC236}">
              <a16:creationId xmlns:a16="http://schemas.microsoft.com/office/drawing/2014/main" id="{00000000-0008-0000-0000-0000C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06" name="Picture 11" hidden="1">
          <a:extLst>
            <a:ext uri="{FF2B5EF4-FFF2-40B4-BE49-F238E27FC236}">
              <a16:creationId xmlns:a16="http://schemas.microsoft.com/office/drawing/2014/main" id="{00000000-0008-0000-0000-0000C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08" name="Picture 11" hidden="1">
          <a:extLst>
            <a:ext uri="{FF2B5EF4-FFF2-40B4-BE49-F238E27FC236}">
              <a16:creationId xmlns:a16="http://schemas.microsoft.com/office/drawing/2014/main" id="{00000000-0008-0000-0000-0000D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10" name="Picture 11" hidden="1">
          <a:extLst>
            <a:ext uri="{FF2B5EF4-FFF2-40B4-BE49-F238E27FC236}">
              <a16:creationId xmlns:a16="http://schemas.microsoft.com/office/drawing/2014/main" id="{00000000-0008-0000-0000-0000D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12" name="Picture 11" hidden="1">
          <a:extLst>
            <a:ext uri="{FF2B5EF4-FFF2-40B4-BE49-F238E27FC236}">
              <a16:creationId xmlns:a16="http://schemas.microsoft.com/office/drawing/2014/main" id="{00000000-0008-0000-0000-0000D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14" name="Picture 11" hidden="1">
          <a:extLst>
            <a:ext uri="{FF2B5EF4-FFF2-40B4-BE49-F238E27FC236}">
              <a16:creationId xmlns:a16="http://schemas.microsoft.com/office/drawing/2014/main" id="{00000000-0008-0000-0000-0000D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16" name="Picture 11" hidden="1">
          <a:extLst>
            <a:ext uri="{FF2B5EF4-FFF2-40B4-BE49-F238E27FC236}">
              <a16:creationId xmlns:a16="http://schemas.microsoft.com/office/drawing/2014/main" id="{00000000-0008-0000-0000-0000D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18" name="Picture 11" hidden="1">
          <a:extLst>
            <a:ext uri="{FF2B5EF4-FFF2-40B4-BE49-F238E27FC236}">
              <a16:creationId xmlns:a16="http://schemas.microsoft.com/office/drawing/2014/main" id="{00000000-0008-0000-0000-0000D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20" name="Picture 11" hidden="1">
          <a:extLst>
            <a:ext uri="{FF2B5EF4-FFF2-40B4-BE49-F238E27FC236}">
              <a16:creationId xmlns:a16="http://schemas.microsoft.com/office/drawing/2014/main" id="{00000000-0008-0000-0000-0000D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22" name="Picture 11" hidden="1">
          <a:extLst>
            <a:ext uri="{FF2B5EF4-FFF2-40B4-BE49-F238E27FC236}">
              <a16:creationId xmlns:a16="http://schemas.microsoft.com/office/drawing/2014/main" id="{00000000-0008-0000-0000-0000D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24" name="Picture 11" hidden="1">
          <a:extLst>
            <a:ext uri="{FF2B5EF4-FFF2-40B4-BE49-F238E27FC236}">
              <a16:creationId xmlns:a16="http://schemas.microsoft.com/office/drawing/2014/main" id="{00000000-0008-0000-0000-0000E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26" name="Picture 11" hidden="1">
          <a:extLst>
            <a:ext uri="{FF2B5EF4-FFF2-40B4-BE49-F238E27FC236}">
              <a16:creationId xmlns:a16="http://schemas.microsoft.com/office/drawing/2014/main" id="{00000000-0008-0000-0000-0000E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28" name="Picture 11" hidden="1">
          <a:extLst>
            <a:ext uri="{FF2B5EF4-FFF2-40B4-BE49-F238E27FC236}">
              <a16:creationId xmlns:a16="http://schemas.microsoft.com/office/drawing/2014/main" id="{00000000-0008-0000-0000-0000E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30" name="Picture 11" hidden="1">
          <a:extLst>
            <a:ext uri="{FF2B5EF4-FFF2-40B4-BE49-F238E27FC236}">
              <a16:creationId xmlns:a16="http://schemas.microsoft.com/office/drawing/2014/main" id="{00000000-0008-0000-0000-0000E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32" name="Picture 11" hidden="1">
          <a:extLst>
            <a:ext uri="{FF2B5EF4-FFF2-40B4-BE49-F238E27FC236}">
              <a16:creationId xmlns:a16="http://schemas.microsoft.com/office/drawing/2014/main" id="{00000000-0008-0000-0000-0000E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34" name="Picture 11" hidden="1">
          <a:extLst>
            <a:ext uri="{FF2B5EF4-FFF2-40B4-BE49-F238E27FC236}">
              <a16:creationId xmlns:a16="http://schemas.microsoft.com/office/drawing/2014/main" id="{00000000-0008-0000-0000-0000E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36" name="Picture 11" hidden="1">
          <a:extLst>
            <a:ext uri="{FF2B5EF4-FFF2-40B4-BE49-F238E27FC236}">
              <a16:creationId xmlns:a16="http://schemas.microsoft.com/office/drawing/2014/main" id="{00000000-0008-0000-0000-0000E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38" name="Picture 11" hidden="1">
          <a:extLst>
            <a:ext uri="{FF2B5EF4-FFF2-40B4-BE49-F238E27FC236}">
              <a16:creationId xmlns:a16="http://schemas.microsoft.com/office/drawing/2014/main" id="{00000000-0008-0000-0000-0000E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40" name="Picture 11" hidden="1">
          <a:extLst>
            <a:ext uri="{FF2B5EF4-FFF2-40B4-BE49-F238E27FC236}">
              <a16:creationId xmlns:a16="http://schemas.microsoft.com/office/drawing/2014/main" id="{00000000-0008-0000-0000-0000F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42" name="Picture 11" hidden="1">
          <a:extLst>
            <a:ext uri="{FF2B5EF4-FFF2-40B4-BE49-F238E27FC236}">
              <a16:creationId xmlns:a16="http://schemas.microsoft.com/office/drawing/2014/main" id="{00000000-0008-0000-0000-0000F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44" name="Picture 11" hidden="1">
          <a:extLst>
            <a:ext uri="{FF2B5EF4-FFF2-40B4-BE49-F238E27FC236}">
              <a16:creationId xmlns:a16="http://schemas.microsoft.com/office/drawing/2014/main" id="{00000000-0008-0000-0000-0000F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46" name="Picture 11" hidden="1">
          <a:extLst>
            <a:ext uri="{FF2B5EF4-FFF2-40B4-BE49-F238E27FC236}">
              <a16:creationId xmlns:a16="http://schemas.microsoft.com/office/drawing/2014/main" id="{00000000-0008-0000-0000-0000F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48" name="Picture 11" hidden="1">
          <a:extLst>
            <a:ext uri="{FF2B5EF4-FFF2-40B4-BE49-F238E27FC236}">
              <a16:creationId xmlns:a16="http://schemas.microsoft.com/office/drawing/2014/main" id="{00000000-0008-0000-0000-0000F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50" name="Picture 11" hidden="1">
          <a:extLst>
            <a:ext uri="{FF2B5EF4-FFF2-40B4-BE49-F238E27FC236}">
              <a16:creationId xmlns:a16="http://schemas.microsoft.com/office/drawing/2014/main" id="{00000000-0008-0000-0000-0000F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52" name="Picture 11" hidden="1">
          <a:extLst>
            <a:ext uri="{FF2B5EF4-FFF2-40B4-BE49-F238E27FC236}">
              <a16:creationId xmlns:a16="http://schemas.microsoft.com/office/drawing/2014/main" id="{00000000-0008-0000-0000-0000F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54" name="Picture 11" hidden="1">
          <a:extLst>
            <a:ext uri="{FF2B5EF4-FFF2-40B4-BE49-F238E27FC236}">
              <a16:creationId xmlns:a16="http://schemas.microsoft.com/office/drawing/2014/main" id="{00000000-0008-0000-0000-0000F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56" name="Picture 11" hidden="1">
          <a:extLst>
            <a:ext uri="{FF2B5EF4-FFF2-40B4-BE49-F238E27FC236}">
              <a16:creationId xmlns:a16="http://schemas.microsoft.com/office/drawing/2014/main" id="{00000000-0008-0000-0000-00000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58" name="Picture 11" hidden="1">
          <a:extLst>
            <a:ext uri="{FF2B5EF4-FFF2-40B4-BE49-F238E27FC236}">
              <a16:creationId xmlns:a16="http://schemas.microsoft.com/office/drawing/2014/main" id="{00000000-0008-0000-0000-00000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60" name="Picture 11" hidden="1">
          <a:extLst>
            <a:ext uri="{FF2B5EF4-FFF2-40B4-BE49-F238E27FC236}">
              <a16:creationId xmlns:a16="http://schemas.microsoft.com/office/drawing/2014/main" id="{00000000-0008-0000-0000-00000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62" name="Picture 11" hidden="1">
          <a:extLst>
            <a:ext uri="{FF2B5EF4-FFF2-40B4-BE49-F238E27FC236}">
              <a16:creationId xmlns:a16="http://schemas.microsoft.com/office/drawing/2014/main" id="{00000000-0008-0000-0000-00000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64" name="Picture 11" hidden="1">
          <a:extLst>
            <a:ext uri="{FF2B5EF4-FFF2-40B4-BE49-F238E27FC236}">
              <a16:creationId xmlns:a16="http://schemas.microsoft.com/office/drawing/2014/main" id="{00000000-0008-0000-0000-00000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66" name="Picture 11" hidden="1">
          <a:extLst>
            <a:ext uri="{FF2B5EF4-FFF2-40B4-BE49-F238E27FC236}">
              <a16:creationId xmlns:a16="http://schemas.microsoft.com/office/drawing/2014/main" id="{00000000-0008-0000-0000-00000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68" name="Picture 11" hidden="1">
          <a:extLst>
            <a:ext uri="{FF2B5EF4-FFF2-40B4-BE49-F238E27FC236}">
              <a16:creationId xmlns:a16="http://schemas.microsoft.com/office/drawing/2014/main" id="{00000000-0008-0000-0000-00000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70" name="Picture 11" hidden="1">
          <a:extLst>
            <a:ext uri="{FF2B5EF4-FFF2-40B4-BE49-F238E27FC236}">
              <a16:creationId xmlns:a16="http://schemas.microsoft.com/office/drawing/2014/main" id="{00000000-0008-0000-0000-00000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72" name="Picture 11" hidden="1">
          <a:extLst>
            <a:ext uri="{FF2B5EF4-FFF2-40B4-BE49-F238E27FC236}">
              <a16:creationId xmlns:a16="http://schemas.microsoft.com/office/drawing/2014/main" id="{00000000-0008-0000-0000-00001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74" name="Picture 11" hidden="1">
          <a:extLst>
            <a:ext uri="{FF2B5EF4-FFF2-40B4-BE49-F238E27FC236}">
              <a16:creationId xmlns:a16="http://schemas.microsoft.com/office/drawing/2014/main" id="{00000000-0008-0000-0000-00001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76" name="Picture 11" hidden="1">
          <a:extLst>
            <a:ext uri="{FF2B5EF4-FFF2-40B4-BE49-F238E27FC236}">
              <a16:creationId xmlns:a16="http://schemas.microsoft.com/office/drawing/2014/main" id="{00000000-0008-0000-0000-00001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78" name="Picture 11" hidden="1">
          <a:extLst>
            <a:ext uri="{FF2B5EF4-FFF2-40B4-BE49-F238E27FC236}">
              <a16:creationId xmlns:a16="http://schemas.microsoft.com/office/drawing/2014/main" id="{00000000-0008-0000-0000-00001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80" name="Picture 11" hidden="1">
          <a:extLst>
            <a:ext uri="{FF2B5EF4-FFF2-40B4-BE49-F238E27FC236}">
              <a16:creationId xmlns:a16="http://schemas.microsoft.com/office/drawing/2014/main" id="{00000000-0008-0000-0000-00001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82" name="Picture 11" hidden="1">
          <a:extLst>
            <a:ext uri="{FF2B5EF4-FFF2-40B4-BE49-F238E27FC236}">
              <a16:creationId xmlns:a16="http://schemas.microsoft.com/office/drawing/2014/main" id="{00000000-0008-0000-0000-00001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84" name="Picture 11" hidden="1">
          <a:extLst>
            <a:ext uri="{FF2B5EF4-FFF2-40B4-BE49-F238E27FC236}">
              <a16:creationId xmlns:a16="http://schemas.microsoft.com/office/drawing/2014/main" id="{00000000-0008-0000-0000-00001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86" name="Picture 11" hidden="1">
          <a:extLst>
            <a:ext uri="{FF2B5EF4-FFF2-40B4-BE49-F238E27FC236}">
              <a16:creationId xmlns:a16="http://schemas.microsoft.com/office/drawing/2014/main" id="{00000000-0008-0000-0000-00001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88" name="Picture 11" hidden="1">
          <a:extLst>
            <a:ext uri="{FF2B5EF4-FFF2-40B4-BE49-F238E27FC236}">
              <a16:creationId xmlns:a16="http://schemas.microsoft.com/office/drawing/2014/main" id="{00000000-0008-0000-0000-00002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90" name="Picture 11" hidden="1">
          <a:extLst>
            <a:ext uri="{FF2B5EF4-FFF2-40B4-BE49-F238E27FC236}">
              <a16:creationId xmlns:a16="http://schemas.microsoft.com/office/drawing/2014/main" id="{00000000-0008-0000-0000-00002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92" name="Picture 11" hidden="1">
          <a:extLst>
            <a:ext uri="{FF2B5EF4-FFF2-40B4-BE49-F238E27FC236}">
              <a16:creationId xmlns:a16="http://schemas.microsoft.com/office/drawing/2014/main" id="{00000000-0008-0000-0000-00002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94" name="Picture 11" hidden="1">
          <a:extLst>
            <a:ext uri="{FF2B5EF4-FFF2-40B4-BE49-F238E27FC236}">
              <a16:creationId xmlns:a16="http://schemas.microsoft.com/office/drawing/2014/main" id="{00000000-0008-0000-0000-00002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96" name="Picture 11" hidden="1">
          <a:extLst>
            <a:ext uri="{FF2B5EF4-FFF2-40B4-BE49-F238E27FC236}">
              <a16:creationId xmlns:a16="http://schemas.microsoft.com/office/drawing/2014/main" id="{00000000-0008-0000-0000-00002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98" name="Picture 11" hidden="1">
          <a:extLst>
            <a:ext uri="{FF2B5EF4-FFF2-40B4-BE49-F238E27FC236}">
              <a16:creationId xmlns:a16="http://schemas.microsoft.com/office/drawing/2014/main" id="{00000000-0008-0000-0000-00002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00" name="Picture 11" hidden="1">
          <a:extLst>
            <a:ext uri="{FF2B5EF4-FFF2-40B4-BE49-F238E27FC236}">
              <a16:creationId xmlns:a16="http://schemas.microsoft.com/office/drawing/2014/main" id="{00000000-0008-0000-0000-00002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6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A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6702" name="Picture 11" hidden="1">
          <a:extLst>
            <a:ext uri="{FF2B5EF4-FFF2-40B4-BE49-F238E27FC236}">
              <a16:creationId xmlns:a16="http://schemas.microsoft.com/office/drawing/2014/main" id="{00000000-0008-0000-0000-00002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04" name="Picture 11" hidden="1">
          <a:extLst>
            <a:ext uri="{FF2B5EF4-FFF2-40B4-BE49-F238E27FC236}">
              <a16:creationId xmlns:a16="http://schemas.microsoft.com/office/drawing/2014/main" id="{00000000-0008-0000-0000-00003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06" name="Picture 11" hidden="1">
          <a:extLst>
            <a:ext uri="{FF2B5EF4-FFF2-40B4-BE49-F238E27FC236}">
              <a16:creationId xmlns:a16="http://schemas.microsoft.com/office/drawing/2014/main" id="{00000000-0008-0000-0000-00003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08" name="Picture 11" hidden="1">
          <a:extLst>
            <a:ext uri="{FF2B5EF4-FFF2-40B4-BE49-F238E27FC236}">
              <a16:creationId xmlns:a16="http://schemas.microsoft.com/office/drawing/2014/main" id="{00000000-0008-0000-0000-00003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10" name="Picture 6709" hidden="1">
          <a:extLst>
            <a:ext uri="{FF2B5EF4-FFF2-40B4-BE49-F238E27FC236}">
              <a16:creationId xmlns:a16="http://schemas.microsoft.com/office/drawing/2014/main" id="{00000000-0008-0000-0000-00003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12" name="Picture 11" hidden="1">
          <a:extLst>
            <a:ext uri="{FF2B5EF4-FFF2-40B4-BE49-F238E27FC236}">
              <a16:creationId xmlns:a16="http://schemas.microsoft.com/office/drawing/2014/main" id="{00000000-0008-0000-0000-00003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14" name="Picture 11" hidden="1">
          <a:extLst>
            <a:ext uri="{FF2B5EF4-FFF2-40B4-BE49-F238E27FC236}">
              <a16:creationId xmlns:a16="http://schemas.microsoft.com/office/drawing/2014/main" id="{00000000-0008-0000-0000-00003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16" name="Picture 11" hidden="1">
          <a:extLst>
            <a:ext uri="{FF2B5EF4-FFF2-40B4-BE49-F238E27FC236}">
              <a16:creationId xmlns:a16="http://schemas.microsoft.com/office/drawing/2014/main" id="{00000000-0008-0000-0000-00003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18" name="Picture 11" hidden="1">
          <a:extLst>
            <a:ext uri="{FF2B5EF4-FFF2-40B4-BE49-F238E27FC236}">
              <a16:creationId xmlns:a16="http://schemas.microsoft.com/office/drawing/2014/main" id="{00000000-0008-0000-0000-00003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20" name="Picture 11" hidden="1">
          <a:extLst>
            <a:ext uri="{FF2B5EF4-FFF2-40B4-BE49-F238E27FC236}">
              <a16:creationId xmlns:a16="http://schemas.microsoft.com/office/drawing/2014/main" id="{00000000-0008-0000-0000-00004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22" name="Picture 11" hidden="1">
          <a:extLst>
            <a:ext uri="{FF2B5EF4-FFF2-40B4-BE49-F238E27FC236}">
              <a16:creationId xmlns:a16="http://schemas.microsoft.com/office/drawing/2014/main" id="{00000000-0008-0000-0000-00004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24" name="Picture 11" hidden="1">
          <a:extLst>
            <a:ext uri="{FF2B5EF4-FFF2-40B4-BE49-F238E27FC236}">
              <a16:creationId xmlns:a16="http://schemas.microsoft.com/office/drawing/2014/main" id="{00000000-0008-0000-0000-00004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26" name="Picture 11" hidden="1">
          <a:extLst>
            <a:ext uri="{FF2B5EF4-FFF2-40B4-BE49-F238E27FC236}">
              <a16:creationId xmlns:a16="http://schemas.microsoft.com/office/drawing/2014/main" id="{00000000-0008-0000-0000-00004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28" name="Picture 11" hidden="1">
          <a:extLst>
            <a:ext uri="{FF2B5EF4-FFF2-40B4-BE49-F238E27FC236}">
              <a16:creationId xmlns:a16="http://schemas.microsoft.com/office/drawing/2014/main" id="{00000000-0008-0000-0000-00004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30" name="Picture 11" hidden="1">
          <a:extLst>
            <a:ext uri="{FF2B5EF4-FFF2-40B4-BE49-F238E27FC236}">
              <a16:creationId xmlns:a16="http://schemas.microsoft.com/office/drawing/2014/main" id="{00000000-0008-0000-0000-00004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32" name="Picture 11" hidden="1">
          <a:extLst>
            <a:ext uri="{FF2B5EF4-FFF2-40B4-BE49-F238E27FC236}">
              <a16:creationId xmlns:a16="http://schemas.microsoft.com/office/drawing/2014/main" id="{00000000-0008-0000-0000-00004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34" name="Picture 11" hidden="1">
          <a:extLst>
            <a:ext uri="{FF2B5EF4-FFF2-40B4-BE49-F238E27FC236}">
              <a16:creationId xmlns:a16="http://schemas.microsoft.com/office/drawing/2014/main" id="{00000000-0008-0000-0000-00004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36" name="Picture 11" hidden="1">
          <a:extLst>
            <a:ext uri="{FF2B5EF4-FFF2-40B4-BE49-F238E27FC236}">
              <a16:creationId xmlns:a16="http://schemas.microsoft.com/office/drawing/2014/main" id="{00000000-0008-0000-0000-00005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38" name="Picture 11" hidden="1">
          <a:extLst>
            <a:ext uri="{FF2B5EF4-FFF2-40B4-BE49-F238E27FC236}">
              <a16:creationId xmlns:a16="http://schemas.microsoft.com/office/drawing/2014/main" id="{00000000-0008-0000-0000-00005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40" name="Picture 11" hidden="1">
          <a:extLst>
            <a:ext uri="{FF2B5EF4-FFF2-40B4-BE49-F238E27FC236}">
              <a16:creationId xmlns:a16="http://schemas.microsoft.com/office/drawing/2014/main" id="{00000000-0008-0000-0000-00005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42" name="Picture 11" hidden="1">
          <a:extLst>
            <a:ext uri="{FF2B5EF4-FFF2-40B4-BE49-F238E27FC236}">
              <a16:creationId xmlns:a16="http://schemas.microsoft.com/office/drawing/2014/main" id="{00000000-0008-0000-0000-00005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44" name="Picture 11" hidden="1">
          <a:extLst>
            <a:ext uri="{FF2B5EF4-FFF2-40B4-BE49-F238E27FC236}">
              <a16:creationId xmlns:a16="http://schemas.microsoft.com/office/drawing/2014/main" id="{00000000-0008-0000-0000-00005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46" name="Picture 11" hidden="1">
          <a:extLst>
            <a:ext uri="{FF2B5EF4-FFF2-40B4-BE49-F238E27FC236}">
              <a16:creationId xmlns:a16="http://schemas.microsoft.com/office/drawing/2014/main" id="{00000000-0008-0000-0000-00005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48" name="Picture 11" hidden="1">
          <a:extLst>
            <a:ext uri="{FF2B5EF4-FFF2-40B4-BE49-F238E27FC236}">
              <a16:creationId xmlns:a16="http://schemas.microsoft.com/office/drawing/2014/main" id="{00000000-0008-0000-0000-00005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50" name="Picture 11" hidden="1">
          <a:extLst>
            <a:ext uri="{FF2B5EF4-FFF2-40B4-BE49-F238E27FC236}">
              <a16:creationId xmlns:a16="http://schemas.microsoft.com/office/drawing/2014/main" id="{00000000-0008-0000-0000-00005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52" name="Picture 11" hidden="1">
          <a:extLst>
            <a:ext uri="{FF2B5EF4-FFF2-40B4-BE49-F238E27FC236}">
              <a16:creationId xmlns:a16="http://schemas.microsoft.com/office/drawing/2014/main" id="{00000000-0008-0000-0000-00006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54" name="Picture 11" hidden="1">
          <a:extLst>
            <a:ext uri="{FF2B5EF4-FFF2-40B4-BE49-F238E27FC236}">
              <a16:creationId xmlns:a16="http://schemas.microsoft.com/office/drawing/2014/main" id="{00000000-0008-0000-0000-00006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56" name="Picture 11" hidden="1">
          <a:extLst>
            <a:ext uri="{FF2B5EF4-FFF2-40B4-BE49-F238E27FC236}">
              <a16:creationId xmlns:a16="http://schemas.microsoft.com/office/drawing/2014/main" id="{00000000-0008-0000-0000-00006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58" name="Picture 11" hidden="1">
          <a:extLst>
            <a:ext uri="{FF2B5EF4-FFF2-40B4-BE49-F238E27FC236}">
              <a16:creationId xmlns:a16="http://schemas.microsoft.com/office/drawing/2014/main" id="{00000000-0008-0000-0000-00006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60" name="Picture 11" hidden="1">
          <a:extLst>
            <a:ext uri="{FF2B5EF4-FFF2-40B4-BE49-F238E27FC236}">
              <a16:creationId xmlns:a16="http://schemas.microsoft.com/office/drawing/2014/main" id="{00000000-0008-0000-0000-00006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62" name="Picture 11" hidden="1">
          <a:extLst>
            <a:ext uri="{FF2B5EF4-FFF2-40B4-BE49-F238E27FC236}">
              <a16:creationId xmlns:a16="http://schemas.microsoft.com/office/drawing/2014/main" id="{00000000-0008-0000-0000-00006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64" name="Picture 11" hidden="1">
          <a:extLst>
            <a:ext uri="{FF2B5EF4-FFF2-40B4-BE49-F238E27FC236}">
              <a16:creationId xmlns:a16="http://schemas.microsoft.com/office/drawing/2014/main" id="{00000000-0008-0000-0000-00006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66" name="Picture 11" hidden="1">
          <a:extLst>
            <a:ext uri="{FF2B5EF4-FFF2-40B4-BE49-F238E27FC236}">
              <a16:creationId xmlns:a16="http://schemas.microsoft.com/office/drawing/2014/main" id="{00000000-0008-0000-0000-00006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68" name="Picture 11" hidden="1">
          <a:extLst>
            <a:ext uri="{FF2B5EF4-FFF2-40B4-BE49-F238E27FC236}">
              <a16:creationId xmlns:a16="http://schemas.microsoft.com/office/drawing/2014/main" id="{00000000-0008-0000-0000-00007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70" name="Picture 11" hidden="1">
          <a:extLst>
            <a:ext uri="{FF2B5EF4-FFF2-40B4-BE49-F238E27FC236}">
              <a16:creationId xmlns:a16="http://schemas.microsoft.com/office/drawing/2014/main" id="{00000000-0008-0000-0000-00007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72" name="Picture 11" hidden="1">
          <a:extLst>
            <a:ext uri="{FF2B5EF4-FFF2-40B4-BE49-F238E27FC236}">
              <a16:creationId xmlns:a16="http://schemas.microsoft.com/office/drawing/2014/main" id="{00000000-0008-0000-0000-00007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74" name="Picture 11" hidden="1">
          <a:extLst>
            <a:ext uri="{FF2B5EF4-FFF2-40B4-BE49-F238E27FC236}">
              <a16:creationId xmlns:a16="http://schemas.microsoft.com/office/drawing/2014/main" id="{00000000-0008-0000-0000-00007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76" name="Picture 11" hidden="1">
          <a:extLst>
            <a:ext uri="{FF2B5EF4-FFF2-40B4-BE49-F238E27FC236}">
              <a16:creationId xmlns:a16="http://schemas.microsoft.com/office/drawing/2014/main" id="{00000000-0008-0000-0000-00007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78" name="Picture 11" hidden="1">
          <a:extLst>
            <a:ext uri="{FF2B5EF4-FFF2-40B4-BE49-F238E27FC236}">
              <a16:creationId xmlns:a16="http://schemas.microsoft.com/office/drawing/2014/main" id="{00000000-0008-0000-0000-00007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80" name="Picture 11" hidden="1">
          <a:extLst>
            <a:ext uri="{FF2B5EF4-FFF2-40B4-BE49-F238E27FC236}">
              <a16:creationId xmlns:a16="http://schemas.microsoft.com/office/drawing/2014/main" id="{00000000-0008-0000-0000-00007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82" name="Picture 11" hidden="1">
          <a:extLst>
            <a:ext uri="{FF2B5EF4-FFF2-40B4-BE49-F238E27FC236}">
              <a16:creationId xmlns:a16="http://schemas.microsoft.com/office/drawing/2014/main" id="{00000000-0008-0000-0000-00007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84" name="Picture 11" hidden="1">
          <a:extLst>
            <a:ext uri="{FF2B5EF4-FFF2-40B4-BE49-F238E27FC236}">
              <a16:creationId xmlns:a16="http://schemas.microsoft.com/office/drawing/2014/main" id="{00000000-0008-0000-0000-00008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86" name="Picture 11" hidden="1">
          <a:extLst>
            <a:ext uri="{FF2B5EF4-FFF2-40B4-BE49-F238E27FC236}">
              <a16:creationId xmlns:a16="http://schemas.microsoft.com/office/drawing/2014/main" id="{00000000-0008-0000-0000-00008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88" name="Picture 11" hidden="1">
          <a:extLst>
            <a:ext uri="{FF2B5EF4-FFF2-40B4-BE49-F238E27FC236}">
              <a16:creationId xmlns:a16="http://schemas.microsoft.com/office/drawing/2014/main" id="{00000000-0008-0000-0000-00008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90" name="Picture 11" hidden="1">
          <a:extLst>
            <a:ext uri="{FF2B5EF4-FFF2-40B4-BE49-F238E27FC236}">
              <a16:creationId xmlns:a16="http://schemas.microsoft.com/office/drawing/2014/main" id="{00000000-0008-0000-0000-00008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92" name="Picture 11" hidden="1">
          <a:extLst>
            <a:ext uri="{FF2B5EF4-FFF2-40B4-BE49-F238E27FC236}">
              <a16:creationId xmlns:a16="http://schemas.microsoft.com/office/drawing/2014/main" id="{00000000-0008-0000-0000-00008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94" name="Picture 11" hidden="1">
          <a:extLst>
            <a:ext uri="{FF2B5EF4-FFF2-40B4-BE49-F238E27FC236}">
              <a16:creationId xmlns:a16="http://schemas.microsoft.com/office/drawing/2014/main" id="{00000000-0008-0000-0000-00008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96" name="Picture 11" hidden="1">
          <a:extLst>
            <a:ext uri="{FF2B5EF4-FFF2-40B4-BE49-F238E27FC236}">
              <a16:creationId xmlns:a16="http://schemas.microsoft.com/office/drawing/2014/main" id="{00000000-0008-0000-0000-00008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98" name="Picture 11" hidden="1">
          <a:extLst>
            <a:ext uri="{FF2B5EF4-FFF2-40B4-BE49-F238E27FC236}">
              <a16:creationId xmlns:a16="http://schemas.microsoft.com/office/drawing/2014/main" id="{00000000-0008-0000-0000-00008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00" name="Picture 11" hidden="1">
          <a:extLst>
            <a:ext uri="{FF2B5EF4-FFF2-40B4-BE49-F238E27FC236}">
              <a16:creationId xmlns:a16="http://schemas.microsoft.com/office/drawing/2014/main" id="{00000000-0008-0000-0000-00009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02" name="Picture 11" hidden="1">
          <a:extLst>
            <a:ext uri="{FF2B5EF4-FFF2-40B4-BE49-F238E27FC236}">
              <a16:creationId xmlns:a16="http://schemas.microsoft.com/office/drawing/2014/main" id="{00000000-0008-0000-0000-00009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04" name="Picture 11" hidden="1">
          <a:extLst>
            <a:ext uri="{FF2B5EF4-FFF2-40B4-BE49-F238E27FC236}">
              <a16:creationId xmlns:a16="http://schemas.microsoft.com/office/drawing/2014/main" id="{00000000-0008-0000-0000-00009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06" name="Picture 11" hidden="1">
          <a:extLst>
            <a:ext uri="{FF2B5EF4-FFF2-40B4-BE49-F238E27FC236}">
              <a16:creationId xmlns:a16="http://schemas.microsoft.com/office/drawing/2014/main" id="{00000000-0008-0000-0000-00009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08" name="Picture 11" hidden="1">
          <a:extLst>
            <a:ext uri="{FF2B5EF4-FFF2-40B4-BE49-F238E27FC236}">
              <a16:creationId xmlns:a16="http://schemas.microsoft.com/office/drawing/2014/main" id="{00000000-0008-0000-0000-00009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10" name="Picture 11" hidden="1">
          <a:extLst>
            <a:ext uri="{FF2B5EF4-FFF2-40B4-BE49-F238E27FC236}">
              <a16:creationId xmlns:a16="http://schemas.microsoft.com/office/drawing/2014/main" id="{00000000-0008-0000-0000-00009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12" name="Picture 11" hidden="1">
          <a:extLst>
            <a:ext uri="{FF2B5EF4-FFF2-40B4-BE49-F238E27FC236}">
              <a16:creationId xmlns:a16="http://schemas.microsoft.com/office/drawing/2014/main" id="{00000000-0008-0000-0000-00009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14" name="Picture 11" hidden="1">
          <a:extLst>
            <a:ext uri="{FF2B5EF4-FFF2-40B4-BE49-F238E27FC236}">
              <a16:creationId xmlns:a16="http://schemas.microsoft.com/office/drawing/2014/main" id="{00000000-0008-0000-0000-00009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16" name="Picture 11" hidden="1">
          <a:extLst>
            <a:ext uri="{FF2B5EF4-FFF2-40B4-BE49-F238E27FC236}">
              <a16:creationId xmlns:a16="http://schemas.microsoft.com/office/drawing/2014/main" id="{00000000-0008-0000-0000-0000A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18" name="Picture 6817" hidden="1">
          <a:extLst>
            <a:ext uri="{FF2B5EF4-FFF2-40B4-BE49-F238E27FC236}">
              <a16:creationId xmlns:a16="http://schemas.microsoft.com/office/drawing/2014/main" id="{00000000-0008-0000-0000-0000A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20" name="Picture 11" hidden="1">
          <a:extLst>
            <a:ext uri="{FF2B5EF4-FFF2-40B4-BE49-F238E27FC236}">
              <a16:creationId xmlns:a16="http://schemas.microsoft.com/office/drawing/2014/main" id="{00000000-0008-0000-0000-0000A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22" name="Picture 11" hidden="1">
          <a:extLst>
            <a:ext uri="{FF2B5EF4-FFF2-40B4-BE49-F238E27FC236}">
              <a16:creationId xmlns:a16="http://schemas.microsoft.com/office/drawing/2014/main" id="{00000000-0008-0000-0000-0000A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24" name="Picture 11" hidden="1">
          <a:extLst>
            <a:ext uri="{FF2B5EF4-FFF2-40B4-BE49-F238E27FC236}">
              <a16:creationId xmlns:a16="http://schemas.microsoft.com/office/drawing/2014/main" id="{00000000-0008-0000-0000-0000A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26" name="Picture 11" hidden="1">
          <a:extLst>
            <a:ext uri="{FF2B5EF4-FFF2-40B4-BE49-F238E27FC236}">
              <a16:creationId xmlns:a16="http://schemas.microsoft.com/office/drawing/2014/main" id="{00000000-0008-0000-0000-0000A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28" name="Picture 11" hidden="1">
          <a:extLst>
            <a:ext uri="{FF2B5EF4-FFF2-40B4-BE49-F238E27FC236}">
              <a16:creationId xmlns:a16="http://schemas.microsoft.com/office/drawing/2014/main" id="{00000000-0008-0000-0000-0000A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30" name="Picture 11" hidden="1">
          <a:extLst>
            <a:ext uri="{FF2B5EF4-FFF2-40B4-BE49-F238E27FC236}">
              <a16:creationId xmlns:a16="http://schemas.microsoft.com/office/drawing/2014/main" id="{00000000-0008-0000-0000-0000A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32" name="Picture 11" hidden="1">
          <a:extLst>
            <a:ext uri="{FF2B5EF4-FFF2-40B4-BE49-F238E27FC236}">
              <a16:creationId xmlns:a16="http://schemas.microsoft.com/office/drawing/2014/main" id="{00000000-0008-0000-0000-0000B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34" name="Picture 11" hidden="1">
          <a:extLst>
            <a:ext uri="{FF2B5EF4-FFF2-40B4-BE49-F238E27FC236}">
              <a16:creationId xmlns:a16="http://schemas.microsoft.com/office/drawing/2014/main" id="{00000000-0008-0000-0000-0000B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36" name="Picture 11" hidden="1">
          <a:extLst>
            <a:ext uri="{FF2B5EF4-FFF2-40B4-BE49-F238E27FC236}">
              <a16:creationId xmlns:a16="http://schemas.microsoft.com/office/drawing/2014/main" id="{00000000-0008-0000-0000-0000B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38" name="Picture 11" hidden="1">
          <a:extLst>
            <a:ext uri="{FF2B5EF4-FFF2-40B4-BE49-F238E27FC236}">
              <a16:creationId xmlns:a16="http://schemas.microsoft.com/office/drawing/2014/main" id="{00000000-0008-0000-0000-0000B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40" name="Picture 11" hidden="1">
          <a:extLst>
            <a:ext uri="{FF2B5EF4-FFF2-40B4-BE49-F238E27FC236}">
              <a16:creationId xmlns:a16="http://schemas.microsoft.com/office/drawing/2014/main" id="{00000000-0008-0000-0000-0000B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42" name="Picture 11" hidden="1">
          <a:extLst>
            <a:ext uri="{FF2B5EF4-FFF2-40B4-BE49-F238E27FC236}">
              <a16:creationId xmlns:a16="http://schemas.microsoft.com/office/drawing/2014/main" id="{00000000-0008-0000-0000-0000B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44" name="Picture 11" hidden="1">
          <a:extLst>
            <a:ext uri="{FF2B5EF4-FFF2-40B4-BE49-F238E27FC236}">
              <a16:creationId xmlns:a16="http://schemas.microsoft.com/office/drawing/2014/main" id="{00000000-0008-0000-0000-0000B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46" name="Picture 11" hidden="1">
          <a:extLst>
            <a:ext uri="{FF2B5EF4-FFF2-40B4-BE49-F238E27FC236}">
              <a16:creationId xmlns:a16="http://schemas.microsoft.com/office/drawing/2014/main" id="{00000000-0008-0000-0000-0000B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48" name="Picture 11" hidden="1">
          <a:extLst>
            <a:ext uri="{FF2B5EF4-FFF2-40B4-BE49-F238E27FC236}">
              <a16:creationId xmlns:a16="http://schemas.microsoft.com/office/drawing/2014/main" id="{00000000-0008-0000-0000-0000C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50" name="Picture 11" hidden="1">
          <a:extLst>
            <a:ext uri="{FF2B5EF4-FFF2-40B4-BE49-F238E27FC236}">
              <a16:creationId xmlns:a16="http://schemas.microsoft.com/office/drawing/2014/main" id="{00000000-0008-0000-0000-0000C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52" name="Picture 11" hidden="1">
          <a:extLst>
            <a:ext uri="{FF2B5EF4-FFF2-40B4-BE49-F238E27FC236}">
              <a16:creationId xmlns:a16="http://schemas.microsoft.com/office/drawing/2014/main" id="{00000000-0008-0000-0000-0000C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54" name="Picture 11" hidden="1">
          <a:extLst>
            <a:ext uri="{FF2B5EF4-FFF2-40B4-BE49-F238E27FC236}">
              <a16:creationId xmlns:a16="http://schemas.microsoft.com/office/drawing/2014/main" id="{00000000-0008-0000-0000-0000C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56" name="Picture 11" hidden="1">
          <a:extLst>
            <a:ext uri="{FF2B5EF4-FFF2-40B4-BE49-F238E27FC236}">
              <a16:creationId xmlns:a16="http://schemas.microsoft.com/office/drawing/2014/main" id="{00000000-0008-0000-0000-0000C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58" name="Picture 11" hidden="1">
          <a:extLst>
            <a:ext uri="{FF2B5EF4-FFF2-40B4-BE49-F238E27FC236}">
              <a16:creationId xmlns:a16="http://schemas.microsoft.com/office/drawing/2014/main" id="{00000000-0008-0000-0000-0000C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60" name="Picture 11" hidden="1">
          <a:extLst>
            <a:ext uri="{FF2B5EF4-FFF2-40B4-BE49-F238E27FC236}">
              <a16:creationId xmlns:a16="http://schemas.microsoft.com/office/drawing/2014/main" id="{00000000-0008-0000-0000-0000C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62" name="Picture 11" hidden="1">
          <a:extLst>
            <a:ext uri="{FF2B5EF4-FFF2-40B4-BE49-F238E27FC236}">
              <a16:creationId xmlns:a16="http://schemas.microsoft.com/office/drawing/2014/main" id="{00000000-0008-0000-0000-0000C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64" name="Picture 11" hidden="1">
          <a:extLst>
            <a:ext uri="{FF2B5EF4-FFF2-40B4-BE49-F238E27FC236}">
              <a16:creationId xmlns:a16="http://schemas.microsoft.com/office/drawing/2014/main" id="{00000000-0008-0000-0000-0000D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66" name="Picture 11" hidden="1">
          <a:extLst>
            <a:ext uri="{FF2B5EF4-FFF2-40B4-BE49-F238E27FC236}">
              <a16:creationId xmlns:a16="http://schemas.microsoft.com/office/drawing/2014/main" id="{00000000-0008-0000-0000-0000D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68" name="Picture 11" hidden="1">
          <a:extLst>
            <a:ext uri="{FF2B5EF4-FFF2-40B4-BE49-F238E27FC236}">
              <a16:creationId xmlns:a16="http://schemas.microsoft.com/office/drawing/2014/main" id="{00000000-0008-0000-0000-0000D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70" name="Picture 11" hidden="1">
          <a:extLst>
            <a:ext uri="{FF2B5EF4-FFF2-40B4-BE49-F238E27FC236}">
              <a16:creationId xmlns:a16="http://schemas.microsoft.com/office/drawing/2014/main" id="{00000000-0008-0000-0000-0000D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72" name="Picture 11" hidden="1">
          <a:extLst>
            <a:ext uri="{FF2B5EF4-FFF2-40B4-BE49-F238E27FC236}">
              <a16:creationId xmlns:a16="http://schemas.microsoft.com/office/drawing/2014/main" id="{00000000-0008-0000-0000-0000D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74" name="Picture 11" hidden="1">
          <a:extLst>
            <a:ext uri="{FF2B5EF4-FFF2-40B4-BE49-F238E27FC236}">
              <a16:creationId xmlns:a16="http://schemas.microsoft.com/office/drawing/2014/main" id="{00000000-0008-0000-0000-0000D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76" name="Picture 11" hidden="1">
          <a:extLst>
            <a:ext uri="{FF2B5EF4-FFF2-40B4-BE49-F238E27FC236}">
              <a16:creationId xmlns:a16="http://schemas.microsoft.com/office/drawing/2014/main" id="{00000000-0008-0000-0000-0000D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78" name="Picture 11" hidden="1">
          <a:extLst>
            <a:ext uri="{FF2B5EF4-FFF2-40B4-BE49-F238E27FC236}">
              <a16:creationId xmlns:a16="http://schemas.microsoft.com/office/drawing/2014/main" id="{00000000-0008-0000-0000-0000D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80" name="Picture 11" hidden="1">
          <a:extLst>
            <a:ext uri="{FF2B5EF4-FFF2-40B4-BE49-F238E27FC236}">
              <a16:creationId xmlns:a16="http://schemas.microsoft.com/office/drawing/2014/main" id="{00000000-0008-0000-0000-0000E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82" name="Picture 11" hidden="1">
          <a:extLst>
            <a:ext uri="{FF2B5EF4-FFF2-40B4-BE49-F238E27FC236}">
              <a16:creationId xmlns:a16="http://schemas.microsoft.com/office/drawing/2014/main" id="{00000000-0008-0000-0000-0000E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84" name="Picture 11" hidden="1">
          <a:extLst>
            <a:ext uri="{FF2B5EF4-FFF2-40B4-BE49-F238E27FC236}">
              <a16:creationId xmlns:a16="http://schemas.microsoft.com/office/drawing/2014/main" id="{00000000-0008-0000-0000-0000E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86" name="Picture 11" hidden="1">
          <a:extLst>
            <a:ext uri="{FF2B5EF4-FFF2-40B4-BE49-F238E27FC236}">
              <a16:creationId xmlns:a16="http://schemas.microsoft.com/office/drawing/2014/main" id="{00000000-0008-0000-0000-0000E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88" name="Picture 11" hidden="1">
          <a:extLst>
            <a:ext uri="{FF2B5EF4-FFF2-40B4-BE49-F238E27FC236}">
              <a16:creationId xmlns:a16="http://schemas.microsoft.com/office/drawing/2014/main" id="{00000000-0008-0000-0000-0000E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90" name="Picture 11" hidden="1">
          <a:extLst>
            <a:ext uri="{FF2B5EF4-FFF2-40B4-BE49-F238E27FC236}">
              <a16:creationId xmlns:a16="http://schemas.microsoft.com/office/drawing/2014/main" id="{00000000-0008-0000-0000-0000E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92" name="Picture 11" hidden="1">
          <a:extLst>
            <a:ext uri="{FF2B5EF4-FFF2-40B4-BE49-F238E27FC236}">
              <a16:creationId xmlns:a16="http://schemas.microsoft.com/office/drawing/2014/main" id="{00000000-0008-0000-0000-0000E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94" name="Picture 11" hidden="1">
          <a:extLst>
            <a:ext uri="{FF2B5EF4-FFF2-40B4-BE49-F238E27FC236}">
              <a16:creationId xmlns:a16="http://schemas.microsoft.com/office/drawing/2014/main" id="{00000000-0008-0000-0000-0000E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96" name="Picture 11" hidden="1">
          <a:extLst>
            <a:ext uri="{FF2B5EF4-FFF2-40B4-BE49-F238E27FC236}">
              <a16:creationId xmlns:a16="http://schemas.microsoft.com/office/drawing/2014/main" id="{00000000-0008-0000-0000-0000F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98" name="Picture 11" hidden="1">
          <a:extLst>
            <a:ext uri="{FF2B5EF4-FFF2-40B4-BE49-F238E27FC236}">
              <a16:creationId xmlns:a16="http://schemas.microsoft.com/office/drawing/2014/main" id="{00000000-0008-0000-0000-0000F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00" name="Picture 11" hidden="1">
          <a:extLst>
            <a:ext uri="{FF2B5EF4-FFF2-40B4-BE49-F238E27FC236}">
              <a16:creationId xmlns:a16="http://schemas.microsoft.com/office/drawing/2014/main" id="{00000000-0008-0000-0000-0000F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02" name="Picture 11" hidden="1">
          <a:extLst>
            <a:ext uri="{FF2B5EF4-FFF2-40B4-BE49-F238E27FC236}">
              <a16:creationId xmlns:a16="http://schemas.microsoft.com/office/drawing/2014/main" id="{00000000-0008-0000-0000-0000F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04" name="Picture 11" hidden="1">
          <a:extLst>
            <a:ext uri="{FF2B5EF4-FFF2-40B4-BE49-F238E27FC236}">
              <a16:creationId xmlns:a16="http://schemas.microsoft.com/office/drawing/2014/main" id="{00000000-0008-0000-0000-0000F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06" name="Picture 11" hidden="1">
          <a:extLst>
            <a:ext uri="{FF2B5EF4-FFF2-40B4-BE49-F238E27FC236}">
              <a16:creationId xmlns:a16="http://schemas.microsoft.com/office/drawing/2014/main" id="{00000000-0008-0000-0000-0000F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08" name="Picture 11" hidden="1">
          <a:extLst>
            <a:ext uri="{FF2B5EF4-FFF2-40B4-BE49-F238E27FC236}">
              <a16:creationId xmlns:a16="http://schemas.microsoft.com/office/drawing/2014/main" id="{00000000-0008-0000-0000-0000F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10" name="Picture 11" hidden="1">
          <a:extLst>
            <a:ext uri="{FF2B5EF4-FFF2-40B4-BE49-F238E27FC236}">
              <a16:creationId xmlns:a16="http://schemas.microsoft.com/office/drawing/2014/main" id="{00000000-0008-0000-0000-0000F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12" name="Picture 11" hidden="1">
          <a:extLst>
            <a:ext uri="{FF2B5EF4-FFF2-40B4-BE49-F238E27FC236}">
              <a16:creationId xmlns:a16="http://schemas.microsoft.com/office/drawing/2014/main" id="{00000000-0008-0000-0000-00000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14" name="Picture 11" hidden="1">
          <a:extLst>
            <a:ext uri="{FF2B5EF4-FFF2-40B4-BE49-F238E27FC236}">
              <a16:creationId xmlns:a16="http://schemas.microsoft.com/office/drawing/2014/main" id="{00000000-0008-0000-0000-00000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16" name="Picture 11" hidden="1">
          <a:extLst>
            <a:ext uri="{FF2B5EF4-FFF2-40B4-BE49-F238E27FC236}">
              <a16:creationId xmlns:a16="http://schemas.microsoft.com/office/drawing/2014/main" id="{00000000-0008-0000-0000-00000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18" name="Picture 11" hidden="1">
          <a:extLst>
            <a:ext uri="{FF2B5EF4-FFF2-40B4-BE49-F238E27FC236}">
              <a16:creationId xmlns:a16="http://schemas.microsoft.com/office/drawing/2014/main" id="{00000000-0008-0000-0000-00000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20" name="Picture 11" hidden="1">
          <a:extLst>
            <a:ext uri="{FF2B5EF4-FFF2-40B4-BE49-F238E27FC236}">
              <a16:creationId xmlns:a16="http://schemas.microsoft.com/office/drawing/2014/main" id="{00000000-0008-0000-0000-00000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22" name="Picture 11" hidden="1">
          <a:extLst>
            <a:ext uri="{FF2B5EF4-FFF2-40B4-BE49-F238E27FC236}">
              <a16:creationId xmlns:a16="http://schemas.microsoft.com/office/drawing/2014/main" id="{00000000-0008-0000-0000-00000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24" name="Picture 11" hidden="1">
          <a:extLst>
            <a:ext uri="{FF2B5EF4-FFF2-40B4-BE49-F238E27FC236}">
              <a16:creationId xmlns:a16="http://schemas.microsoft.com/office/drawing/2014/main" id="{00000000-0008-0000-0000-00000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26" name="Picture 6925" hidden="1">
          <a:extLst>
            <a:ext uri="{FF2B5EF4-FFF2-40B4-BE49-F238E27FC236}">
              <a16:creationId xmlns:a16="http://schemas.microsoft.com/office/drawing/2014/main" id="{00000000-0008-0000-0000-00000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28" name="Picture 11" hidden="1">
          <a:extLst>
            <a:ext uri="{FF2B5EF4-FFF2-40B4-BE49-F238E27FC236}">
              <a16:creationId xmlns:a16="http://schemas.microsoft.com/office/drawing/2014/main" id="{00000000-0008-0000-0000-00001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30" name="Picture 11" hidden="1">
          <a:extLst>
            <a:ext uri="{FF2B5EF4-FFF2-40B4-BE49-F238E27FC236}">
              <a16:creationId xmlns:a16="http://schemas.microsoft.com/office/drawing/2014/main" id="{00000000-0008-0000-0000-00001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32" name="Picture 11" hidden="1">
          <a:extLst>
            <a:ext uri="{FF2B5EF4-FFF2-40B4-BE49-F238E27FC236}">
              <a16:creationId xmlns:a16="http://schemas.microsoft.com/office/drawing/2014/main" id="{00000000-0008-0000-0000-00001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34" name="Picture 11" hidden="1">
          <a:extLst>
            <a:ext uri="{FF2B5EF4-FFF2-40B4-BE49-F238E27FC236}">
              <a16:creationId xmlns:a16="http://schemas.microsoft.com/office/drawing/2014/main" id="{00000000-0008-0000-0000-00001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36" name="Picture 11" hidden="1">
          <a:extLst>
            <a:ext uri="{FF2B5EF4-FFF2-40B4-BE49-F238E27FC236}">
              <a16:creationId xmlns:a16="http://schemas.microsoft.com/office/drawing/2014/main" id="{00000000-0008-0000-0000-00001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38" name="Picture 11" hidden="1">
          <a:extLst>
            <a:ext uri="{FF2B5EF4-FFF2-40B4-BE49-F238E27FC236}">
              <a16:creationId xmlns:a16="http://schemas.microsoft.com/office/drawing/2014/main" id="{00000000-0008-0000-0000-00001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40" name="Picture 11" hidden="1">
          <a:extLst>
            <a:ext uri="{FF2B5EF4-FFF2-40B4-BE49-F238E27FC236}">
              <a16:creationId xmlns:a16="http://schemas.microsoft.com/office/drawing/2014/main" id="{00000000-0008-0000-0000-00001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42" name="Picture 11" hidden="1">
          <a:extLst>
            <a:ext uri="{FF2B5EF4-FFF2-40B4-BE49-F238E27FC236}">
              <a16:creationId xmlns:a16="http://schemas.microsoft.com/office/drawing/2014/main" id="{00000000-0008-0000-0000-00001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44" name="Picture 11" hidden="1">
          <a:extLst>
            <a:ext uri="{FF2B5EF4-FFF2-40B4-BE49-F238E27FC236}">
              <a16:creationId xmlns:a16="http://schemas.microsoft.com/office/drawing/2014/main" id="{00000000-0008-0000-0000-00002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46" name="Picture 11" hidden="1">
          <a:extLst>
            <a:ext uri="{FF2B5EF4-FFF2-40B4-BE49-F238E27FC236}">
              <a16:creationId xmlns:a16="http://schemas.microsoft.com/office/drawing/2014/main" id="{00000000-0008-0000-0000-00002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48" name="Picture 11" hidden="1">
          <a:extLst>
            <a:ext uri="{FF2B5EF4-FFF2-40B4-BE49-F238E27FC236}">
              <a16:creationId xmlns:a16="http://schemas.microsoft.com/office/drawing/2014/main" id="{00000000-0008-0000-0000-00002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50" name="Picture 11" hidden="1">
          <a:extLst>
            <a:ext uri="{FF2B5EF4-FFF2-40B4-BE49-F238E27FC236}">
              <a16:creationId xmlns:a16="http://schemas.microsoft.com/office/drawing/2014/main" id="{00000000-0008-0000-0000-00002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52" name="Picture 11" hidden="1">
          <a:extLst>
            <a:ext uri="{FF2B5EF4-FFF2-40B4-BE49-F238E27FC236}">
              <a16:creationId xmlns:a16="http://schemas.microsoft.com/office/drawing/2014/main" id="{00000000-0008-0000-0000-00002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54" name="Picture 11" hidden="1">
          <a:extLst>
            <a:ext uri="{FF2B5EF4-FFF2-40B4-BE49-F238E27FC236}">
              <a16:creationId xmlns:a16="http://schemas.microsoft.com/office/drawing/2014/main" id="{00000000-0008-0000-0000-00002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56" name="Picture 11" hidden="1">
          <a:extLst>
            <a:ext uri="{FF2B5EF4-FFF2-40B4-BE49-F238E27FC236}">
              <a16:creationId xmlns:a16="http://schemas.microsoft.com/office/drawing/2014/main" id="{00000000-0008-0000-0000-00002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58" name="Picture 11" hidden="1">
          <a:extLst>
            <a:ext uri="{FF2B5EF4-FFF2-40B4-BE49-F238E27FC236}">
              <a16:creationId xmlns:a16="http://schemas.microsoft.com/office/drawing/2014/main" id="{00000000-0008-0000-0000-00002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60" name="Picture 11" hidden="1">
          <a:extLst>
            <a:ext uri="{FF2B5EF4-FFF2-40B4-BE49-F238E27FC236}">
              <a16:creationId xmlns:a16="http://schemas.microsoft.com/office/drawing/2014/main" id="{00000000-0008-0000-0000-00003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62" name="Picture 11" hidden="1">
          <a:extLst>
            <a:ext uri="{FF2B5EF4-FFF2-40B4-BE49-F238E27FC236}">
              <a16:creationId xmlns:a16="http://schemas.microsoft.com/office/drawing/2014/main" id="{00000000-0008-0000-0000-00003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64" name="Picture 11" hidden="1">
          <a:extLst>
            <a:ext uri="{FF2B5EF4-FFF2-40B4-BE49-F238E27FC236}">
              <a16:creationId xmlns:a16="http://schemas.microsoft.com/office/drawing/2014/main" id="{00000000-0008-0000-0000-00003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66" name="Picture 11" hidden="1">
          <a:extLst>
            <a:ext uri="{FF2B5EF4-FFF2-40B4-BE49-F238E27FC236}">
              <a16:creationId xmlns:a16="http://schemas.microsoft.com/office/drawing/2014/main" id="{00000000-0008-0000-0000-00003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68" name="Picture 11" hidden="1">
          <a:extLst>
            <a:ext uri="{FF2B5EF4-FFF2-40B4-BE49-F238E27FC236}">
              <a16:creationId xmlns:a16="http://schemas.microsoft.com/office/drawing/2014/main" id="{00000000-0008-0000-0000-00003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70" name="Picture 11" hidden="1">
          <a:extLst>
            <a:ext uri="{FF2B5EF4-FFF2-40B4-BE49-F238E27FC236}">
              <a16:creationId xmlns:a16="http://schemas.microsoft.com/office/drawing/2014/main" id="{00000000-0008-0000-0000-00003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72" name="Picture 11" hidden="1">
          <a:extLst>
            <a:ext uri="{FF2B5EF4-FFF2-40B4-BE49-F238E27FC236}">
              <a16:creationId xmlns:a16="http://schemas.microsoft.com/office/drawing/2014/main" id="{00000000-0008-0000-0000-00003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74" name="Picture 11" hidden="1">
          <a:extLst>
            <a:ext uri="{FF2B5EF4-FFF2-40B4-BE49-F238E27FC236}">
              <a16:creationId xmlns:a16="http://schemas.microsoft.com/office/drawing/2014/main" id="{00000000-0008-0000-0000-00003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76" name="Picture 11" hidden="1">
          <a:extLst>
            <a:ext uri="{FF2B5EF4-FFF2-40B4-BE49-F238E27FC236}">
              <a16:creationId xmlns:a16="http://schemas.microsoft.com/office/drawing/2014/main" id="{00000000-0008-0000-0000-00004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78" name="Picture 11" hidden="1">
          <a:extLst>
            <a:ext uri="{FF2B5EF4-FFF2-40B4-BE49-F238E27FC236}">
              <a16:creationId xmlns:a16="http://schemas.microsoft.com/office/drawing/2014/main" id="{00000000-0008-0000-0000-00004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80" name="Picture 11" hidden="1">
          <a:extLst>
            <a:ext uri="{FF2B5EF4-FFF2-40B4-BE49-F238E27FC236}">
              <a16:creationId xmlns:a16="http://schemas.microsoft.com/office/drawing/2014/main" id="{00000000-0008-0000-0000-00004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82" name="Picture 11" hidden="1">
          <a:extLst>
            <a:ext uri="{FF2B5EF4-FFF2-40B4-BE49-F238E27FC236}">
              <a16:creationId xmlns:a16="http://schemas.microsoft.com/office/drawing/2014/main" id="{00000000-0008-0000-0000-00004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84" name="Picture 11" hidden="1">
          <a:extLst>
            <a:ext uri="{FF2B5EF4-FFF2-40B4-BE49-F238E27FC236}">
              <a16:creationId xmlns:a16="http://schemas.microsoft.com/office/drawing/2014/main" id="{00000000-0008-0000-0000-00004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86" name="Picture 11" hidden="1">
          <a:extLst>
            <a:ext uri="{FF2B5EF4-FFF2-40B4-BE49-F238E27FC236}">
              <a16:creationId xmlns:a16="http://schemas.microsoft.com/office/drawing/2014/main" id="{00000000-0008-0000-0000-00004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88" name="Picture 11" hidden="1">
          <a:extLst>
            <a:ext uri="{FF2B5EF4-FFF2-40B4-BE49-F238E27FC236}">
              <a16:creationId xmlns:a16="http://schemas.microsoft.com/office/drawing/2014/main" id="{00000000-0008-0000-0000-00004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90" name="Picture 11" hidden="1">
          <a:extLst>
            <a:ext uri="{FF2B5EF4-FFF2-40B4-BE49-F238E27FC236}">
              <a16:creationId xmlns:a16="http://schemas.microsoft.com/office/drawing/2014/main" id="{00000000-0008-0000-0000-00004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92" name="Picture 11" hidden="1">
          <a:extLst>
            <a:ext uri="{FF2B5EF4-FFF2-40B4-BE49-F238E27FC236}">
              <a16:creationId xmlns:a16="http://schemas.microsoft.com/office/drawing/2014/main" id="{00000000-0008-0000-0000-00005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94" name="Picture 11" hidden="1">
          <a:extLst>
            <a:ext uri="{FF2B5EF4-FFF2-40B4-BE49-F238E27FC236}">
              <a16:creationId xmlns:a16="http://schemas.microsoft.com/office/drawing/2014/main" id="{00000000-0008-0000-0000-00005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96" name="Picture 11" hidden="1">
          <a:extLst>
            <a:ext uri="{FF2B5EF4-FFF2-40B4-BE49-F238E27FC236}">
              <a16:creationId xmlns:a16="http://schemas.microsoft.com/office/drawing/2014/main" id="{00000000-0008-0000-0000-00005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98" name="Picture 11" hidden="1">
          <a:extLst>
            <a:ext uri="{FF2B5EF4-FFF2-40B4-BE49-F238E27FC236}">
              <a16:creationId xmlns:a16="http://schemas.microsoft.com/office/drawing/2014/main" id="{00000000-0008-0000-0000-00005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00" name="Picture 11" hidden="1">
          <a:extLst>
            <a:ext uri="{FF2B5EF4-FFF2-40B4-BE49-F238E27FC236}">
              <a16:creationId xmlns:a16="http://schemas.microsoft.com/office/drawing/2014/main" id="{00000000-0008-0000-0000-00005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02" name="Picture 11" hidden="1">
          <a:extLst>
            <a:ext uri="{FF2B5EF4-FFF2-40B4-BE49-F238E27FC236}">
              <a16:creationId xmlns:a16="http://schemas.microsoft.com/office/drawing/2014/main" id="{00000000-0008-0000-0000-00005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04" name="Picture 11" hidden="1">
          <a:extLst>
            <a:ext uri="{FF2B5EF4-FFF2-40B4-BE49-F238E27FC236}">
              <a16:creationId xmlns:a16="http://schemas.microsoft.com/office/drawing/2014/main" id="{00000000-0008-0000-0000-00005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06" name="Picture 11" hidden="1">
          <a:extLst>
            <a:ext uri="{FF2B5EF4-FFF2-40B4-BE49-F238E27FC236}">
              <a16:creationId xmlns:a16="http://schemas.microsoft.com/office/drawing/2014/main" id="{00000000-0008-0000-0000-00005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08" name="Picture 11" hidden="1">
          <a:extLst>
            <a:ext uri="{FF2B5EF4-FFF2-40B4-BE49-F238E27FC236}">
              <a16:creationId xmlns:a16="http://schemas.microsoft.com/office/drawing/2014/main" id="{00000000-0008-0000-0000-00006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10" name="Picture 11" hidden="1">
          <a:extLst>
            <a:ext uri="{FF2B5EF4-FFF2-40B4-BE49-F238E27FC236}">
              <a16:creationId xmlns:a16="http://schemas.microsoft.com/office/drawing/2014/main" id="{00000000-0008-0000-0000-00006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12" name="Picture 11" hidden="1">
          <a:extLst>
            <a:ext uri="{FF2B5EF4-FFF2-40B4-BE49-F238E27FC236}">
              <a16:creationId xmlns:a16="http://schemas.microsoft.com/office/drawing/2014/main" id="{00000000-0008-0000-0000-00006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14" name="Picture 11" hidden="1">
          <a:extLst>
            <a:ext uri="{FF2B5EF4-FFF2-40B4-BE49-F238E27FC236}">
              <a16:creationId xmlns:a16="http://schemas.microsoft.com/office/drawing/2014/main" id="{00000000-0008-0000-0000-00006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16" name="Picture 11" hidden="1">
          <a:extLst>
            <a:ext uri="{FF2B5EF4-FFF2-40B4-BE49-F238E27FC236}">
              <a16:creationId xmlns:a16="http://schemas.microsoft.com/office/drawing/2014/main" id="{00000000-0008-0000-0000-00006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18" name="Picture 11" hidden="1">
          <a:extLst>
            <a:ext uri="{FF2B5EF4-FFF2-40B4-BE49-F238E27FC236}">
              <a16:creationId xmlns:a16="http://schemas.microsoft.com/office/drawing/2014/main" id="{00000000-0008-0000-0000-00006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20" name="Picture 11" hidden="1">
          <a:extLst>
            <a:ext uri="{FF2B5EF4-FFF2-40B4-BE49-F238E27FC236}">
              <a16:creationId xmlns:a16="http://schemas.microsoft.com/office/drawing/2014/main" id="{00000000-0008-0000-0000-00006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22" name="Picture 11" hidden="1">
          <a:extLst>
            <a:ext uri="{FF2B5EF4-FFF2-40B4-BE49-F238E27FC236}">
              <a16:creationId xmlns:a16="http://schemas.microsoft.com/office/drawing/2014/main" id="{00000000-0008-0000-0000-00006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24" name="Picture 11" hidden="1">
          <a:extLst>
            <a:ext uri="{FF2B5EF4-FFF2-40B4-BE49-F238E27FC236}">
              <a16:creationId xmlns:a16="http://schemas.microsoft.com/office/drawing/2014/main" id="{00000000-0008-0000-0000-00007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26" name="Picture 11" hidden="1">
          <a:extLst>
            <a:ext uri="{FF2B5EF4-FFF2-40B4-BE49-F238E27FC236}">
              <a16:creationId xmlns:a16="http://schemas.microsoft.com/office/drawing/2014/main" id="{00000000-0008-0000-0000-00007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28" name="Picture 11" hidden="1">
          <a:extLst>
            <a:ext uri="{FF2B5EF4-FFF2-40B4-BE49-F238E27FC236}">
              <a16:creationId xmlns:a16="http://schemas.microsoft.com/office/drawing/2014/main" id="{00000000-0008-0000-0000-00007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30" name="Picture 11" hidden="1">
          <a:extLst>
            <a:ext uri="{FF2B5EF4-FFF2-40B4-BE49-F238E27FC236}">
              <a16:creationId xmlns:a16="http://schemas.microsoft.com/office/drawing/2014/main" id="{00000000-0008-0000-0000-00007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32" name="Picture 11" hidden="1">
          <a:extLst>
            <a:ext uri="{FF2B5EF4-FFF2-40B4-BE49-F238E27FC236}">
              <a16:creationId xmlns:a16="http://schemas.microsoft.com/office/drawing/2014/main" id="{00000000-0008-0000-0000-00007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34" name="Picture 7033" hidden="1">
          <a:extLst>
            <a:ext uri="{FF2B5EF4-FFF2-40B4-BE49-F238E27FC236}">
              <a16:creationId xmlns:a16="http://schemas.microsoft.com/office/drawing/2014/main" id="{00000000-0008-0000-0000-00007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36" name="Picture 11" hidden="1">
          <a:extLst>
            <a:ext uri="{FF2B5EF4-FFF2-40B4-BE49-F238E27FC236}">
              <a16:creationId xmlns:a16="http://schemas.microsoft.com/office/drawing/2014/main" id="{00000000-0008-0000-0000-00007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38" name="Picture 11" hidden="1">
          <a:extLst>
            <a:ext uri="{FF2B5EF4-FFF2-40B4-BE49-F238E27FC236}">
              <a16:creationId xmlns:a16="http://schemas.microsoft.com/office/drawing/2014/main" id="{00000000-0008-0000-0000-00007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40" name="Picture 11" hidden="1">
          <a:extLst>
            <a:ext uri="{FF2B5EF4-FFF2-40B4-BE49-F238E27FC236}">
              <a16:creationId xmlns:a16="http://schemas.microsoft.com/office/drawing/2014/main" id="{00000000-0008-0000-0000-00008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42" name="Picture 11" hidden="1">
          <a:extLst>
            <a:ext uri="{FF2B5EF4-FFF2-40B4-BE49-F238E27FC236}">
              <a16:creationId xmlns:a16="http://schemas.microsoft.com/office/drawing/2014/main" id="{00000000-0008-0000-0000-00008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44" name="Picture 11" hidden="1">
          <a:extLst>
            <a:ext uri="{FF2B5EF4-FFF2-40B4-BE49-F238E27FC236}">
              <a16:creationId xmlns:a16="http://schemas.microsoft.com/office/drawing/2014/main" id="{00000000-0008-0000-0000-00008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46" name="Picture 11" hidden="1">
          <a:extLst>
            <a:ext uri="{FF2B5EF4-FFF2-40B4-BE49-F238E27FC236}">
              <a16:creationId xmlns:a16="http://schemas.microsoft.com/office/drawing/2014/main" id="{00000000-0008-0000-0000-00008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48" name="Picture 11" hidden="1">
          <a:extLst>
            <a:ext uri="{FF2B5EF4-FFF2-40B4-BE49-F238E27FC236}">
              <a16:creationId xmlns:a16="http://schemas.microsoft.com/office/drawing/2014/main" id="{00000000-0008-0000-0000-00008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50" name="Picture 11" hidden="1">
          <a:extLst>
            <a:ext uri="{FF2B5EF4-FFF2-40B4-BE49-F238E27FC236}">
              <a16:creationId xmlns:a16="http://schemas.microsoft.com/office/drawing/2014/main" id="{00000000-0008-0000-0000-00008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52" name="Picture 11" hidden="1">
          <a:extLst>
            <a:ext uri="{FF2B5EF4-FFF2-40B4-BE49-F238E27FC236}">
              <a16:creationId xmlns:a16="http://schemas.microsoft.com/office/drawing/2014/main" id="{00000000-0008-0000-0000-00008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54" name="Picture 11" hidden="1">
          <a:extLst>
            <a:ext uri="{FF2B5EF4-FFF2-40B4-BE49-F238E27FC236}">
              <a16:creationId xmlns:a16="http://schemas.microsoft.com/office/drawing/2014/main" id="{00000000-0008-0000-0000-00008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56" name="Picture 11" hidden="1">
          <a:extLst>
            <a:ext uri="{FF2B5EF4-FFF2-40B4-BE49-F238E27FC236}">
              <a16:creationId xmlns:a16="http://schemas.microsoft.com/office/drawing/2014/main" id="{00000000-0008-0000-0000-00009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58" name="Picture 11" hidden="1">
          <a:extLst>
            <a:ext uri="{FF2B5EF4-FFF2-40B4-BE49-F238E27FC236}">
              <a16:creationId xmlns:a16="http://schemas.microsoft.com/office/drawing/2014/main" id="{00000000-0008-0000-0000-00009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60" name="Picture 11" hidden="1">
          <a:extLst>
            <a:ext uri="{FF2B5EF4-FFF2-40B4-BE49-F238E27FC236}">
              <a16:creationId xmlns:a16="http://schemas.microsoft.com/office/drawing/2014/main" id="{00000000-0008-0000-0000-00009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62" name="Picture 11" hidden="1">
          <a:extLst>
            <a:ext uri="{FF2B5EF4-FFF2-40B4-BE49-F238E27FC236}">
              <a16:creationId xmlns:a16="http://schemas.microsoft.com/office/drawing/2014/main" id="{00000000-0008-0000-0000-00009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64" name="Picture 11" hidden="1">
          <a:extLst>
            <a:ext uri="{FF2B5EF4-FFF2-40B4-BE49-F238E27FC236}">
              <a16:creationId xmlns:a16="http://schemas.microsoft.com/office/drawing/2014/main" id="{00000000-0008-0000-0000-00009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66" name="Picture 11" hidden="1">
          <a:extLst>
            <a:ext uri="{FF2B5EF4-FFF2-40B4-BE49-F238E27FC236}">
              <a16:creationId xmlns:a16="http://schemas.microsoft.com/office/drawing/2014/main" id="{00000000-0008-0000-0000-00009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68" name="Picture 11" hidden="1">
          <a:extLst>
            <a:ext uri="{FF2B5EF4-FFF2-40B4-BE49-F238E27FC236}">
              <a16:creationId xmlns:a16="http://schemas.microsoft.com/office/drawing/2014/main" id="{00000000-0008-0000-0000-00009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70" name="Picture 11" hidden="1">
          <a:extLst>
            <a:ext uri="{FF2B5EF4-FFF2-40B4-BE49-F238E27FC236}">
              <a16:creationId xmlns:a16="http://schemas.microsoft.com/office/drawing/2014/main" id="{00000000-0008-0000-0000-00009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72" name="Picture 11" hidden="1">
          <a:extLst>
            <a:ext uri="{FF2B5EF4-FFF2-40B4-BE49-F238E27FC236}">
              <a16:creationId xmlns:a16="http://schemas.microsoft.com/office/drawing/2014/main" id="{00000000-0008-0000-0000-0000A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74" name="Picture 11" hidden="1">
          <a:extLst>
            <a:ext uri="{FF2B5EF4-FFF2-40B4-BE49-F238E27FC236}">
              <a16:creationId xmlns:a16="http://schemas.microsoft.com/office/drawing/2014/main" id="{00000000-0008-0000-0000-0000A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76" name="Picture 11" hidden="1">
          <a:extLst>
            <a:ext uri="{FF2B5EF4-FFF2-40B4-BE49-F238E27FC236}">
              <a16:creationId xmlns:a16="http://schemas.microsoft.com/office/drawing/2014/main" id="{00000000-0008-0000-0000-0000A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78" name="Picture 11" hidden="1">
          <a:extLst>
            <a:ext uri="{FF2B5EF4-FFF2-40B4-BE49-F238E27FC236}">
              <a16:creationId xmlns:a16="http://schemas.microsoft.com/office/drawing/2014/main" id="{00000000-0008-0000-0000-0000A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80" name="Picture 11" hidden="1">
          <a:extLst>
            <a:ext uri="{FF2B5EF4-FFF2-40B4-BE49-F238E27FC236}">
              <a16:creationId xmlns:a16="http://schemas.microsoft.com/office/drawing/2014/main" id="{00000000-0008-0000-0000-0000A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82" name="Picture 11" hidden="1">
          <a:extLst>
            <a:ext uri="{FF2B5EF4-FFF2-40B4-BE49-F238E27FC236}">
              <a16:creationId xmlns:a16="http://schemas.microsoft.com/office/drawing/2014/main" id="{00000000-0008-0000-0000-0000A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84" name="Picture 11" hidden="1">
          <a:extLst>
            <a:ext uri="{FF2B5EF4-FFF2-40B4-BE49-F238E27FC236}">
              <a16:creationId xmlns:a16="http://schemas.microsoft.com/office/drawing/2014/main" id="{00000000-0008-0000-0000-0000A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86" name="Picture 11" hidden="1">
          <a:extLst>
            <a:ext uri="{FF2B5EF4-FFF2-40B4-BE49-F238E27FC236}">
              <a16:creationId xmlns:a16="http://schemas.microsoft.com/office/drawing/2014/main" id="{00000000-0008-0000-0000-0000A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88" name="Picture 11" hidden="1">
          <a:extLst>
            <a:ext uri="{FF2B5EF4-FFF2-40B4-BE49-F238E27FC236}">
              <a16:creationId xmlns:a16="http://schemas.microsoft.com/office/drawing/2014/main" id="{00000000-0008-0000-0000-0000B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90" name="Picture 11" hidden="1">
          <a:extLst>
            <a:ext uri="{FF2B5EF4-FFF2-40B4-BE49-F238E27FC236}">
              <a16:creationId xmlns:a16="http://schemas.microsoft.com/office/drawing/2014/main" id="{00000000-0008-0000-0000-0000B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92" name="Picture 11" hidden="1">
          <a:extLst>
            <a:ext uri="{FF2B5EF4-FFF2-40B4-BE49-F238E27FC236}">
              <a16:creationId xmlns:a16="http://schemas.microsoft.com/office/drawing/2014/main" id="{00000000-0008-0000-0000-0000B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94" name="Picture 11" hidden="1">
          <a:extLst>
            <a:ext uri="{FF2B5EF4-FFF2-40B4-BE49-F238E27FC236}">
              <a16:creationId xmlns:a16="http://schemas.microsoft.com/office/drawing/2014/main" id="{00000000-0008-0000-0000-0000B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96" name="Picture 11" hidden="1">
          <a:extLst>
            <a:ext uri="{FF2B5EF4-FFF2-40B4-BE49-F238E27FC236}">
              <a16:creationId xmlns:a16="http://schemas.microsoft.com/office/drawing/2014/main" id="{00000000-0008-0000-0000-0000B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98" name="Picture 11" hidden="1">
          <a:extLst>
            <a:ext uri="{FF2B5EF4-FFF2-40B4-BE49-F238E27FC236}">
              <a16:creationId xmlns:a16="http://schemas.microsoft.com/office/drawing/2014/main" id="{00000000-0008-0000-0000-0000B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00" name="Picture 11" hidden="1">
          <a:extLst>
            <a:ext uri="{FF2B5EF4-FFF2-40B4-BE49-F238E27FC236}">
              <a16:creationId xmlns:a16="http://schemas.microsoft.com/office/drawing/2014/main" id="{00000000-0008-0000-0000-0000B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02" name="Picture 11" hidden="1">
          <a:extLst>
            <a:ext uri="{FF2B5EF4-FFF2-40B4-BE49-F238E27FC236}">
              <a16:creationId xmlns:a16="http://schemas.microsoft.com/office/drawing/2014/main" id="{00000000-0008-0000-0000-0000B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04" name="Picture 11" hidden="1">
          <a:extLst>
            <a:ext uri="{FF2B5EF4-FFF2-40B4-BE49-F238E27FC236}">
              <a16:creationId xmlns:a16="http://schemas.microsoft.com/office/drawing/2014/main" id="{00000000-0008-0000-0000-0000C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06" name="Picture 11" hidden="1">
          <a:extLst>
            <a:ext uri="{FF2B5EF4-FFF2-40B4-BE49-F238E27FC236}">
              <a16:creationId xmlns:a16="http://schemas.microsoft.com/office/drawing/2014/main" id="{00000000-0008-0000-0000-0000C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08" name="Picture 11" hidden="1">
          <a:extLst>
            <a:ext uri="{FF2B5EF4-FFF2-40B4-BE49-F238E27FC236}">
              <a16:creationId xmlns:a16="http://schemas.microsoft.com/office/drawing/2014/main" id="{00000000-0008-0000-0000-0000C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10" name="Picture 11" hidden="1">
          <a:extLst>
            <a:ext uri="{FF2B5EF4-FFF2-40B4-BE49-F238E27FC236}">
              <a16:creationId xmlns:a16="http://schemas.microsoft.com/office/drawing/2014/main" id="{00000000-0008-0000-0000-0000C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12" name="Picture 11" hidden="1">
          <a:extLst>
            <a:ext uri="{FF2B5EF4-FFF2-40B4-BE49-F238E27FC236}">
              <a16:creationId xmlns:a16="http://schemas.microsoft.com/office/drawing/2014/main" id="{00000000-0008-0000-0000-0000C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14" name="Picture 11" hidden="1">
          <a:extLst>
            <a:ext uri="{FF2B5EF4-FFF2-40B4-BE49-F238E27FC236}">
              <a16:creationId xmlns:a16="http://schemas.microsoft.com/office/drawing/2014/main" id="{00000000-0008-0000-0000-0000C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16" name="Picture 11" hidden="1">
          <a:extLst>
            <a:ext uri="{FF2B5EF4-FFF2-40B4-BE49-F238E27FC236}">
              <a16:creationId xmlns:a16="http://schemas.microsoft.com/office/drawing/2014/main" id="{00000000-0008-0000-0000-0000C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18" name="Picture 11" hidden="1">
          <a:extLst>
            <a:ext uri="{FF2B5EF4-FFF2-40B4-BE49-F238E27FC236}">
              <a16:creationId xmlns:a16="http://schemas.microsoft.com/office/drawing/2014/main" id="{00000000-0008-0000-0000-0000C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20" name="Picture 11" hidden="1">
          <a:extLst>
            <a:ext uri="{FF2B5EF4-FFF2-40B4-BE49-F238E27FC236}">
              <a16:creationId xmlns:a16="http://schemas.microsoft.com/office/drawing/2014/main" id="{00000000-0008-0000-0000-0000D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22" name="Picture 11" hidden="1">
          <a:extLst>
            <a:ext uri="{FF2B5EF4-FFF2-40B4-BE49-F238E27FC236}">
              <a16:creationId xmlns:a16="http://schemas.microsoft.com/office/drawing/2014/main" id="{00000000-0008-0000-0000-0000D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24" name="Picture 11" hidden="1">
          <a:extLst>
            <a:ext uri="{FF2B5EF4-FFF2-40B4-BE49-F238E27FC236}">
              <a16:creationId xmlns:a16="http://schemas.microsoft.com/office/drawing/2014/main" id="{00000000-0008-0000-0000-0000D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26" name="Picture 11" hidden="1">
          <a:extLst>
            <a:ext uri="{FF2B5EF4-FFF2-40B4-BE49-F238E27FC236}">
              <a16:creationId xmlns:a16="http://schemas.microsoft.com/office/drawing/2014/main" id="{00000000-0008-0000-0000-0000D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28" name="Picture 11" hidden="1">
          <a:extLst>
            <a:ext uri="{FF2B5EF4-FFF2-40B4-BE49-F238E27FC236}">
              <a16:creationId xmlns:a16="http://schemas.microsoft.com/office/drawing/2014/main" id="{00000000-0008-0000-0000-0000D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30" name="Picture 11" hidden="1">
          <a:extLst>
            <a:ext uri="{FF2B5EF4-FFF2-40B4-BE49-F238E27FC236}">
              <a16:creationId xmlns:a16="http://schemas.microsoft.com/office/drawing/2014/main" id="{00000000-0008-0000-0000-0000D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32" name="Picture 11" hidden="1">
          <a:extLst>
            <a:ext uri="{FF2B5EF4-FFF2-40B4-BE49-F238E27FC236}">
              <a16:creationId xmlns:a16="http://schemas.microsoft.com/office/drawing/2014/main" id="{00000000-0008-0000-0000-0000D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7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B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7134" name="Picture 11" hidden="1">
          <a:extLst>
            <a:ext uri="{FF2B5EF4-FFF2-40B4-BE49-F238E27FC236}">
              <a16:creationId xmlns:a16="http://schemas.microsoft.com/office/drawing/2014/main" id="{00000000-0008-0000-0000-0000D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36" name="Picture 11" hidden="1">
          <a:extLst>
            <a:ext uri="{FF2B5EF4-FFF2-40B4-BE49-F238E27FC236}">
              <a16:creationId xmlns:a16="http://schemas.microsoft.com/office/drawing/2014/main" id="{00000000-0008-0000-0000-0000E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38" name="Picture 11" hidden="1">
          <a:extLst>
            <a:ext uri="{FF2B5EF4-FFF2-40B4-BE49-F238E27FC236}">
              <a16:creationId xmlns:a16="http://schemas.microsoft.com/office/drawing/2014/main" id="{00000000-0008-0000-0000-0000E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40" name="Picture 11" hidden="1">
          <a:extLst>
            <a:ext uri="{FF2B5EF4-FFF2-40B4-BE49-F238E27FC236}">
              <a16:creationId xmlns:a16="http://schemas.microsoft.com/office/drawing/2014/main" id="{00000000-0008-0000-0000-0000E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42" name="Picture 7141" hidden="1">
          <a:extLst>
            <a:ext uri="{FF2B5EF4-FFF2-40B4-BE49-F238E27FC236}">
              <a16:creationId xmlns:a16="http://schemas.microsoft.com/office/drawing/2014/main" id="{00000000-0008-0000-0000-0000E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44" name="Picture 11" hidden="1">
          <a:extLst>
            <a:ext uri="{FF2B5EF4-FFF2-40B4-BE49-F238E27FC236}">
              <a16:creationId xmlns:a16="http://schemas.microsoft.com/office/drawing/2014/main" id="{00000000-0008-0000-0000-0000E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46" name="Picture 11" hidden="1">
          <a:extLst>
            <a:ext uri="{FF2B5EF4-FFF2-40B4-BE49-F238E27FC236}">
              <a16:creationId xmlns:a16="http://schemas.microsoft.com/office/drawing/2014/main" id="{00000000-0008-0000-0000-0000E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48" name="Picture 11" hidden="1">
          <a:extLst>
            <a:ext uri="{FF2B5EF4-FFF2-40B4-BE49-F238E27FC236}">
              <a16:creationId xmlns:a16="http://schemas.microsoft.com/office/drawing/2014/main" id="{00000000-0008-0000-0000-0000E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50" name="Picture 11" hidden="1">
          <a:extLst>
            <a:ext uri="{FF2B5EF4-FFF2-40B4-BE49-F238E27FC236}">
              <a16:creationId xmlns:a16="http://schemas.microsoft.com/office/drawing/2014/main" id="{00000000-0008-0000-0000-0000E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52" name="Picture 11" hidden="1">
          <a:extLst>
            <a:ext uri="{FF2B5EF4-FFF2-40B4-BE49-F238E27FC236}">
              <a16:creationId xmlns:a16="http://schemas.microsoft.com/office/drawing/2014/main" id="{00000000-0008-0000-0000-0000F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54" name="Picture 11" hidden="1">
          <a:extLst>
            <a:ext uri="{FF2B5EF4-FFF2-40B4-BE49-F238E27FC236}">
              <a16:creationId xmlns:a16="http://schemas.microsoft.com/office/drawing/2014/main" id="{00000000-0008-0000-0000-0000F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56" name="Picture 11" hidden="1">
          <a:extLst>
            <a:ext uri="{FF2B5EF4-FFF2-40B4-BE49-F238E27FC236}">
              <a16:creationId xmlns:a16="http://schemas.microsoft.com/office/drawing/2014/main" id="{00000000-0008-0000-0000-0000F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58" name="Picture 11" hidden="1">
          <a:extLst>
            <a:ext uri="{FF2B5EF4-FFF2-40B4-BE49-F238E27FC236}">
              <a16:creationId xmlns:a16="http://schemas.microsoft.com/office/drawing/2014/main" id="{00000000-0008-0000-0000-0000F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60" name="Picture 11" hidden="1">
          <a:extLst>
            <a:ext uri="{FF2B5EF4-FFF2-40B4-BE49-F238E27FC236}">
              <a16:creationId xmlns:a16="http://schemas.microsoft.com/office/drawing/2014/main" id="{00000000-0008-0000-0000-0000F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62" name="Picture 11" hidden="1">
          <a:extLst>
            <a:ext uri="{FF2B5EF4-FFF2-40B4-BE49-F238E27FC236}">
              <a16:creationId xmlns:a16="http://schemas.microsoft.com/office/drawing/2014/main" id="{00000000-0008-0000-0000-0000F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64" name="Picture 11" hidden="1">
          <a:extLst>
            <a:ext uri="{FF2B5EF4-FFF2-40B4-BE49-F238E27FC236}">
              <a16:creationId xmlns:a16="http://schemas.microsoft.com/office/drawing/2014/main" id="{00000000-0008-0000-0000-0000F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66" name="Picture 11" hidden="1">
          <a:extLst>
            <a:ext uri="{FF2B5EF4-FFF2-40B4-BE49-F238E27FC236}">
              <a16:creationId xmlns:a16="http://schemas.microsoft.com/office/drawing/2014/main" id="{00000000-0008-0000-0000-0000F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68" name="Picture 11" hidden="1">
          <a:extLst>
            <a:ext uri="{FF2B5EF4-FFF2-40B4-BE49-F238E27FC236}">
              <a16:creationId xmlns:a16="http://schemas.microsoft.com/office/drawing/2014/main" id="{00000000-0008-0000-0000-00000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70" name="Picture 11" hidden="1">
          <a:extLst>
            <a:ext uri="{FF2B5EF4-FFF2-40B4-BE49-F238E27FC236}">
              <a16:creationId xmlns:a16="http://schemas.microsoft.com/office/drawing/2014/main" id="{00000000-0008-0000-0000-00000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72" name="Picture 11" hidden="1">
          <a:extLst>
            <a:ext uri="{FF2B5EF4-FFF2-40B4-BE49-F238E27FC236}">
              <a16:creationId xmlns:a16="http://schemas.microsoft.com/office/drawing/2014/main" id="{00000000-0008-0000-0000-00000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74" name="Picture 11" hidden="1">
          <a:extLst>
            <a:ext uri="{FF2B5EF4-FFF2-40B4-BE49-F238E27FC236}">
              <a16:creationId xmlns:a16="http://schemas.microsoft.com/office/drawing/2014/main" id="{00000000-0008-0000-0000-00000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76" name="Picture 11" hidden="1">
          <a:extLst>
            <a:ext uri="{FF2B5EF4-FFF2-40B4-BE49-F238E27FC236}">
              <a16:creationId xmlns:a16="http://schemas.microsoft.com/office/drawing/2014/main" id="{00000000-0008-0000-0000-00000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78" name="Picture 11" hidden="1">
          <a:extLst>
            <a:ext uri="{FF2B5EF4-FFF2-40B4-BE49-F238E27FC236}">
              <a16:creationId xmlns:a16="http://schemas.microsoft.com/office/drawing/2014/main" id="{00000000-0008-0000-0000-00000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80" name="Picture 11" hidden="1">
          <a:extLst>
            <a:ext uri="{FF2B5EF4-FFF2-40B4-BE49-F238E27FC236}">
              <a16:creationId xmlns:a16="http://schemas.microsoft.com/office/drawing/2014/main" id="{00000000-0008-0000-0000-00000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82" name="Picture 11" hidden="1">
          <a:extLst>
            <a:ext uri="{FF2B5EF4-FFF2-40B4-BE49-F238E27FC236}">
              <a16:creationId xmlns:a16="http://schemas.microsoft.com/office/drawing/2014/main" id="{00000000-0008-0000-0000-00000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84" name="Picture 11" hidden="1">
          <a:extLst>
            <a:ext uri="{FF2B5EF4-FFF2-40B4-BE49-F238E27FC236}">
              <a16:creationId xmlns:a16="http://schemas.microsoft.com/office/drawing/2014/main" id="{00000000-0008-0000-0000-00001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86" name="Picture 11" hidden="1">
          <a:extLst>
            <a:ext uri="{FF2B5EF4-FFF2-40B4-BE49-F238E27FC236}">
              <a16:creationId xmlns:a16="http://schemas.microsoft.com/office/drawing/2014/main" id="{00000000-0008-0000-0000-00001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88" name="Picture 11" hidden="1">
          <a:extLst>
            <a:ext uri="{FF2B5EF4-FFF2-40B4-BE49-F238E27FC236}">
              <a16:creationId xmlns:a16="http://schemas.microsoft.com/office/drawing/2014/main" id="{00000000-0008-0000-0000-00001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90" name="Picture 11" hidden="1">
          <a:extLst>
            <a:ext uri="{FF2B5EF4-FFF2-40B4-BE49-F238E27FC236}">
              <a16:creationId xmlns:a16="http://schemas.microsoft.com/office/drawing/2014/main" id="{00000000-0008-0000-0000-00001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92" name="Picture 11" hidden="1">
          <a:extLst>
            <a:ext uri="{FF2B5EF4-FFF2-40B4-BE49-F238E27FC236}">
              <a16:creationId xmlns:a16="http://schemas.microsoft.com/office/drawing/2014/main" id="{00000000-0008-0000-0000-00001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94" name="Picture 11" hidden="1">
          <a:extLst>
            <a:ext uri="{FF2B5EF4-FFF2-40B4-BE49-F238E27FC236}">
              <a16:creationId xmlns:a16="http://schemas.microsoft.com/office/drawing/2014/main" id="{00000000-0008-0000-0000-00001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96" name="Picture 11" hidden="1">
          <a:extLst>
            <a:ext uri="{FF2B5EF4-FFF2-40B4-BE49-F238E27FC236}">
              <a16:creationId xmlns:a16="http://schemas.microsoft.com/office/drawing/2014/main" id="{00000000-0008-0000-0000-00001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98" name="Picture 11" hidden="1">
          <a:extLst>
            <a:ext uri="{FF2B5EF4-FFF2-40B4-BE49-F238E27FC236}">
              <a16:creationId xmlns:a16="http://schemas.microsoft.com/office/drawing/2014/main" id="{00000000-0008-0000-0000-00001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00" name="Picture 11" hidden="1">
          <a:extLst>
            <a:ext uri="{FF2B5EF4-FFF2-40B4-BE49-F238E27FC236}">
              <a16:creationId xmlns:a16="http://schemas.microsoft.com/office/drawing/2014/main" id="{00000000-0008-0000-0000-00002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02" name="Picture 11" hidden="1">
          <a:extLst>
            <a:ext uri="{FF2B5EF4-FFF2-40B4-BE49-F238E27FC236}">
              <a16:creationId xmlns:a16="http://schemas.microsoft.com/office/drawing/2014/main" id="{00000000-0008-0000-0000-00002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04" name="Picture 11" hidden="1">
          <a:extLst>
            <a:ext uri="{FF2B5EF4-FFF2-40B4-BE49-F238E27FC236}">
              <a16:creationId xmlns:a16="http://schemas.microsoft.com/office/drawing/2014/main" id="{00000000-0008-0000-0000-00002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06" name="Picture 11" hidden="1">
          <a:extLst>
            <a:ext uri="{FF2B5EF4-FFF2-40B4-BE49-F238E27FC236}">
              <a16:creationId xmlns:a16="http://schemas.microsoft.com/office/drawing/2014/main" id="{00000000-0008-0000-0000-00002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08" name="Picture 11" hidden="1">
          <a:extLst>
            <a:ext uri="{FF2B5EF4-FFF2-40B4-BE49-F238E27FC236}">
              <a16:creationId xmlns:a16="http://schemas.microsoft.com/office/drawing/2014/main" id="{00000000-0008-0000-0000-00002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10" name="Picture 11" hidden="1">
          <a:extLst>
            <a:ext uri="{FF2B5EF4-FFF2-40B4-BE49-F238E27FC236}">
              <a16:creationId xmlns:a16="http://schemas.microsoft.com/office/drawing/2014/main" id="{00000000-0008-0000-0000-00002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12" name="Picture 11" hidden="1">
          <a:extLst>
            <a:ext uri="{FF2B5EF4-FFF2-40B4-BE49-F238E27FC236}">
              <a16:creationId xmlns:a16="http://schemas.microsoft.com/office/drawing/2014/main" id="{00000000-0008-0000-0000-00002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14" name="Picture 11" hidden="1">
          <a:extLst>
            <a:ext uri="{FF2B5EF4-FFF2-40B4-BE49-F238E27FC236}">
              <a16:creationId xmlns:a16="http://schemas.microsoft.com/office/drawing/2014/main" id="{00000000-0008-0000-0000-00002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16" name="Picture 11" hidden="1">
          <a:extLst>
            <a:ext uri="{FF2B5EF4-FFF2-40B4-BE49-F238E27FC236}">
              <a16:creationId xmlns:a16="http://schemas.microsoft.com/office/drawing/2014/main" id="{00000000-0008-0000-0000-00003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18" name="Picture 11" hidden="1">
          <a:extLst>
            <a:ext uri="{FF2B5EF4-FFF2-40B4-BE49-F238E27FC236}">
              <a16:creationId xmlns:a16="http://schemas.microsoft.com/office/drawing/2014/main" id="{00000000-0008-0000-0000-00003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20" name="Picture 11" hidden="1">
          <a:extLst>
            <a:ext uri="{FF2B5EF4-FFF2-40B4-BE49-F238E27FC236}">
              <a16:creationId xmlns:a16="http://schemas.microsoft.com/office/drawing/2014/main" id="{00000000-0008-0000-0000-00003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22" name="Picture 11" hidden="1">
          <a:extLst>
            <a:ext uri="{FF2B5EF4-FFF2-40B4-BE49-F238E27FC236}">
              <a16:creationId xmlns:a16="http://schemas.microsoft.com/office/drawing/2014/main" id="{00000000-0008-0000-0000-00003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24" name="Picture 11" hidden="1">
          <a:extLst>
            <a:ext uri="{FF2B5EF4-FFF2-40B4-BE49-F238E27FC236}">
              <a16:creationId xmlns:a16="http://schemas.microsoft.com/office/drawing/2014/main" id="{00000000-0008-0000-0000-00003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26" name="Picture 11" hidden="1">
          <a:extLst>
            <a:ext uri="{FF2B5EF4-FFF2-40B4-BE49-F238E27FC236}">
              <a16:creationId xmlns:a16="http://schemas.microsoft.com/office/drawing/2014/main" id="{00000000-0008-0000-0000-00003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28" name="Picture 11" hidden="1">
          <a:extLst>
            <a:ext uri="{FF2B5EF4-FFF2-40B4-BE49-F238E27FC236}">
              <a16:creationId xmlns:a16="http://schemas.microsoft.com/office/drawing/2014/main" id="{00000000-0008-0000-0000-00003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30" name="Picture 11" hidden="1">
          <a:extLst>
            <a:ext uri="{FF2B5EF4-FFF2-40B4-BE49-F238E27FC236}">
              <a16:creationId xmlns:a16="http://schemas.microsoft.com/office/drawing/2014/main" id="{00000000-0008-0000-0000-00003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32" name="Picture 11" hidden="1">
          <a:extLst>
            <a:ext uri="{FF2B5EF4-FFF2-40B4-BE49-F238E27FC236}">
              <a16:creationId xmlns:a16="http://schemas.microsoft.com/office/drawing/2014/main" id="{00000000-0008-0000-0000-00004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34" name="Picture 11" hidden="1">
          <a:extLst>
            <a:ext uri="{FF2B5EF4-FFF2-40B4-BE49-F238E27FC236}">
              <a16:creationId xmlns:a16="http://schemas.microsoft.com/office/drawing/2014/main" id="{00000000-0008-0000-0000-00004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36" name="Picture 11" hidden="1">
          <a:extLst>
            <a:ext uri="{FF2B5EF4-FFF2-40B4-BE49-F238E27FC236}">
              <a16:creationId xmlns:a16="http://schemas.microsoft.com/office/drawing/2014/main" id="{00000000-0008-0000-0000-00004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38" name="Picture 11" hidden="1">
          <a:extLst>
            <a:ext uri="{FF2B5EF4-FFF2-40B4-BE49-F238E27FC236}">
              <a16:creationId xmlns:a16="http://schemas.microsoft.com/office/drawing/2014/main" id="{00000000-0008-0000-0000-00004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40" name="Picture 11" hidden="1">
          <a:extLst>
            <a:ext uri="{FF2B5EF4-FFF2-40B4-BE49-F238E27FC236}">
              <a16:creationId xmlns:a16="http://schemas.microsoft.com/office/drawing/2014/main" id="{00000000-0008-0000-0000-00004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42" name="Picture 11" hidden="1">
          <a:extLst>
            <a:ext uri="{FF2B5EF4-FFF2-40B4-BE49-F238E27FC236}">
              <a16:creationId xmlns:a16="http://schemas.microsoft.com/office/drawing/2014/main" id="{00000000-0008-0000-0000-00004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44" name="Picture 11" hidden="1">
          <a:extLst>
            <a:ext uri="{FF2B5EF4-FFF2-40B4-BE49-F238E27FC236}">
              <a16:creationId xmlns:a16="http://schemas.microsoft.com/office/drawing/2014/main" id="{00000000-0008-0000-0000-00004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46" name="Picture 11" hidden="1">
          <a:extLst>
            <a:ext uri="{FF2B5EF4-FFF2-40B4-BE49-F238E27FC236}">
              <a16:creationId xmlns:a16="http://schemas.microsoft.com/office/drawing/2014/main" id="{00000000-0008-0000-0000-00004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48" name="Picture 11" hidden="1">
          <a:extLst>
            <a:ext uri="{FF2B5EF4-FFF2-40B4-BE49-F238E27FC236}">
              <a16:creationId xmlns:a16="http://schemas.microsoft.com/office/drawing/2014/main" id="{00000000-0008-0000-0000-00005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50" name="Picture 7249" hidden="1">
          <a:extLst>
            <a:ext uri="{FF2B5EF4-FFF2-40B4-BE49-F238E27FC236}">
              <a16:creationId xmlns:a16="http://schemas.microsoft.com/office/drawing/2014/main" id="{00000000-0008-0000-0000-00005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52" name="Picture 11" hidden="1">
          <a:extLst>
            <a:ext uri="{FF2B5EF4-FFF2-40B4-BE49-F238E27FC236}">
              <a16:creationId xmlns:a16="http://schemas.microsoft.com/office/drawing/2014/main" id="{00000000-0008-0000-0000-00005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54" name="Picture 11" hidden="1">
          <a:extLst>
            <a:ext uri="{FF2B5EF4-FFF2-40B4-BE49-F238E27FC236}">
              <a16:creationId xmlns:a16="http://schemas.microsoft.com/office/drawing/2014/main" id="{00000000-0008-0000-0000-00005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56" name="Picture 11" hidden="1">
          <a:extLst>
            <a:ext uri="{FF2B5EF4-FFF2-40B4-BE49-F238E27FC236}">
              <a16:creationId xmlns:a16="http://schemas.microsoft.com/office/drawing/2014/main" id="{00000000-0008-0000-0000-00005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58" name="Picture 11" hidden="1">
          <a:extLst>
            <a:ext uri="{FF2B5EF4-FFF2-40B4-BE49-F238E27FC236}">
              <a16:creationId xmlns:a16="http://schemas.microsoft.com/office/drawing/2014/main" id="{00000000-0008-0000-0000-00005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60" name="Picture 11" hidden="1">
          <a:extLst>
            <a:ext uri="{FF2B5EF4-FFF2-40B4-BE49-F238E27FC236}">
              <a16:creationId xmlns:a16="http://schemas.microsoft.com/office/drawing/2014/main" id="{00000000-0008-0000-0000-00005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62" name="Picture 11" hidden="1">
          <a:extLst>
            <a:ext uri="{FF2B5EF4-FFF2-40B4-BE49-F238E27FC236}">
              <a16:creationId xmlns:a16="http://schemas.microsoft.com/office/drawing/2014/main" id="{00000000-0008-0000-0000-00005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64" name="Picture 11" hidden="1">
          <a:extLst>
            <a:ext uri="{FF2B5EF4-FFF2-40B4-BE49-F238E27FC236}">
              <a16:creationId xmlns:a16="http://schemas.microsoft.com/office/drawing/2014/main" id="{00000000-0008-0000-0000-00006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66" name="Picture 11" hidden="1">
          <a:extLst>
            <a:ext uri="{FF2B5EF4-FFF2-40B4-BE49-F238E27FC236}">
              <a16:creationId xmlns:a16="http://schemas.microsoft.com/office/drawing/2014/main" id="{00000000-0008-0000-0000-00006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68" name="Picture 11" hidden="1">
          <a:extLst>
            <a:ext uri="{FF2B5EF4-FFF2-40B4-BE49-F238E27FC236}">
              <a16:creationId xmlns:a16="http://schemas.microsoft.com/office/drawing/2014/main" id="{00000000-0008-0000-0000-00006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70" name="Picture 11" hidden="1">
          <a:extLst>
            <a:ext uri="{FF2B5EF4-FFF2-40B4-BE49-F238E27FC236}">
              <a16:creationId xmlns:a16="http://schemas.microsoft.com/office/drawing/2014/main" id="{00000000-0008-0000-0000-00006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72" name="Picture 11" hidden="1">
          <a:extLst>
            <a:ext uri="{FF2B5EF4-FFF2-40B4-BE49-F238E27FC236}">
              <a16:creationId xmlns:a16="http://schemas.microsoft.com/office/drawing/2014/main" id="{00000000-0008-0000-0000-00006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74" name="Picture 11" hidden="1">
          <a:extLst>
            <a:ext uri="{FF2B5EF4-FFF2-40B4-BE49-F238E27FC236}">
              <a16:creationId xmlns:a16="http://schemas.microsoft.com/office/drawing/2014/main" id="{00000000-0008-0000-0000-00006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76" name="Picture 11" hidden="1">
          <a:extLst>
            <a:ext uri="{FF2B5EF4-FFF2-40B4-BE49-F238E27FC236}">
              <a16:creationId xmlns:a16="http://schemas.microsoft.com/office/drawing/2014/main" id="{00000000-0008-0000-0000-00006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78" name="Picture 11" hidden="1">
          <a:extLst>
            <a:ext uri="{FF2B5EF4-FFF2-40B4-BE49-F238E27FC236}">
              <a16:creationId xmlns:a16="http://schemas.microsoft.com/office/drawing/2014/main" id="{00000000-0008-0000-0000-00006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80" name="Picture 11" hidden="1">
          <a:extLst>
            <a:ext uri="{FF2B5EF4-FFF2-40B4-BE49-F238E27FC236}">
              <a16:creationId xmlns:a16="http://schemas.microsoft.com/office/drawing/2014/main" id="{00000000-0008-0000-0000-00007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82" name="Picture 11" hidden="1">
          <a:extLst>
            <a:ext uri="{FF2B5EF4-FFF2-40B4-BE49-F238E27FC236}">
              <a16:creationId xmlns:a16="http://schemas.microsoft.com/office/drawing/2014/main" id="{00000000-0008-0000-0000-00007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84" name="Picture 11" hidden="1">
          <a:extLst>
            <a:ext uri="{FF2B5EF4-FFF2-40B4-BE49-F238E27FC236}">
              <a16:creationId xmlns:a16="http://schemas.microsoft.com/office/drawing/2014/main" id="{00000000-0008-0000-0000-00007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86" name="Picture 11" hidden="1">
          <a:extLst>
            <a:ext uri="{FF2B5EF4-FFF2-40B4-BE49-F238E27FC236}">
              <a16:creationId xmlns:a16="http://schemas.microsoft.com/office/drawing/2014/main" id="{00000000-0008-0000-0000-00007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88" name="Picture 11" hidden="1">
          <a:extLst>
            <a:ext uri="{FF2B5EF4-FFF2-40B4-BE49-F238E27FC236}">
              <a16:creationId xmlns:a16="http://schemas.microsoft.com/office/drawing/2014/main" id="{00000000-0008-0000-0000-00007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90" name="Picture 11" hidden="1">
          <a:extLst>
            <a:ext uri="{FF2B5EF4-FFF2-40B4-BE49-F238E27FC236}">
              <a16:creationId xmlns:a16="http://schemas.microsoft.com/office/drawing/2014/main" id="{00000000-0008-0000-0000-00007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92" name="Picture 11" hidden="1">
          <a:extLst>
            <a:ext uri="{FF2B5EF4-FFF2-40B4-BE49-F238E27FC236}">
              <a16:creationId xmlns:a16="http://schemas.microsoft.com/office/drawing/2014/main" id="{00000000-0008-0000-0000-00007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94" name="Picture 11" hidden="1">
          <a:extLst>
            <a:ext uri="{FF2B5EF4-FFF2-40B4-BE49-F238E27FC236}">
              <a16:creationId xmlns:a16="http://schemas.microsoft.com/office/drawing/2014/main" id="{00000000-0008-0000-0000-00007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96" name="Picture 11" hidden="1">
          <a:extLst>
            <a:ext uri="{FF2B5EF4-FFF2-40B4-BE49-F238E27FC236}">
              <a16:creationId xmlns:a16="http://schemas.microsoft.com/office/drawing/2014/main" id="{00000000-0008-0000-0000-00008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98" name="Picture 11" hidden="1">
          <a:extLst>
            <a:ext uri="{FF2B5EF4-FFF2-40B4-BE49-F238E27FC236}">
              <a16:creationId xmlns:a16="http://schemas.microsoft.com/office/drawing/2014/main" id="{00000000-0008-0000-0000-00008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00" name="Picture 11" hidden="1">
          <a:extLst>
            <a:ext uri="{FF2B5EF4-FFF2-40B4-BE49-F238E27FC236}">
              <a16:creationId xmlns:a16="http://schemas.microsoft.com/office/drawing/2014/main" id="{00000000-0008-0000-0000-00008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02" name="Picture 11" hidden="1">
          <a:extLst>
            <a:ext uri="{FF2B5EF4-FFF2-40B4-BE49-F238E27FC236}">
              <a16:creationId xmlns:a16="http://schemas.microsoft.com/office/drawing/2014/main" id="{00000000-0008-0000-0000-00008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04" name="Picture 11" hidden="1">
          <a:extLst>
            <a:ext uri="{FF2B5EF4-FFF2-40B4-BE49-F238E27FC236}">
              <a16:creationId xmlns:a16="http://schemas.microsoft.com/office/drawing/2014/main" id="{00000000-0008-0000-0000-00008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06" name="Picture 11" hidden="1">
          <a:extLst>
            <a:ext uri="{FF2B5EF4-FFF2-40B4-BE49-F238E27FC236}">
              <a16:creationId xmlns:a16="http://schemas.microsoft.com/office/drawing/2014/main" id="{00000000-0008-0000-0000-00008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08" name="Picture 11" hidden="1">
          <a:extLst>
            <a:ext uri="{FF2B5EF4-FFF2-40B4-BE49-F238E27FC236}">
              <a16:creationId xmlns:a16="http://schemas.microsoft.com/office/drawing/2014/main" id="{00000000-0008-0000-0000-00008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10" name="Picture 11" hidden="1">
          <a:extLst>
            <a:ext uri="{FF2B5EF4-FFF2-40B4-BE49-F238E27FC236}">
              <a16:creationId xmlns:a16="http://schemas.microsoft.com/office/drawing/2014/main" id="{00000000-0008-0000-0000-00008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12" name="Picture 11" hidden="1">
          <a:extLst>
            <a:ext uri="{FF2B5EF4-FFF2-40B4-BE49-F238E27FC236}">
              <a16:creationId xmlns:a16="http://schemas.microsoft.com/office/drawing/2014/main" id="{00000000-0008-0000-0000-00009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14" name="Picture 11" hidden="1">
          <a:extLst>
            <a:ext uri="{FF2B5EF4-FFF2-40B4-BE49-F238E27FC236}">
              <a16:creationId xmlns:a16="http://schemas.microsoft.com/office/drawing/2014/main" id="{00000000-0008-0000-0000-00009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16" name="Picture 11" hidden="1">
          <a:extLst>
            <a:ext uri="{FF2B5EF4-FFF2-40B4-BE49-F238E27FC236}">
              <a16:creationId xmlns:a16="http://schemas.microsoft.com/office/drawing/2014/main" id="{00000000-0008-0000-0000-00009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18" name="Picture 11" hidden="1">
          <a:extLst>
            <a:ext uri="{FF2B5EF4-FFF2-40B4-BE49-F238E27FC236}">
              <a16:creationId xmlns:a16="http://schemas.microsoft.com/office/drawing/2014/main" id="{00000000-0008-0000-0000-00009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20" name="Picture 11" hidden="1">
          <a:extLst>
            <a:ext uri="{FF2B5EF4-FFF2-40B4-BE49-F238E27FC236}">
              <a16:creationId xmlns:a16="http://schemas.microsoft.com/office/drawing/2014/main" id="{00000000-0008-0000-0000-00009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22" name="Picture 11" hidden="1">
          <a:extLst>
            <a:ext uri="{FF2B5EF4-FFF2-40B4-BE49-F238E27FC236}">
              <a16:creationId xmlns:a16="http://schemas.microsoft.com/office/drawing/2014/main" id="{00000000-0008-0000-0000-00009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24" name="Picture 11" hidden="1">
          <a:extLst>
            <a:ext uri="{FF2B5EF4-FFF2-40B4-BE49-F238E27FC236}">
              <a16:creationId xmlns:a16="http://schemas.microsoft.com/office/drawing/2014/main" id="{00000000-0008-0000-0000-00009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26" name="Picture 11" hidden="1">
          <a:extLst>
            <a:ext uri="{FF2B5EF4-FFF2-40B4-BE49-F238E27FC236}">
              <a16:creationId xmlns:a16="http://schemas.microsoft.com/office/drawing/2014/main" id="{00000000-0008-0000-0000-00009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28" name="Picture 11" hidden="1">
          <a:extLst>
            <a:ext uri="{FF2B5EF4-FFF2-40B4-BE49-F238E27FC236}">
              <a16:creationId xmlns:a16="http://schemas.microsoft.com/office/drawing/2014/main" id="{00000000-0008-0000-0000-0000A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30" name="Picture 11" hidden="1">
          <a:extLst>
            <a:ext uri="{FF2B5EF4-FFF2-40B4-BE49-F238E27FC236}">
              <a16:creationId xmlns:a16="http://schemas.microsoft.com/office/drawing/2014/main" id="{00000000-0008-0000-0000-0000A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32" name="Picture 11" hidden="1">
          <a:extLst>
            <a:ext uri="{FF2B5EF4-FFF2-40B4-BE49-F238E27FC236}">
              <a16:creationId xmlns:a16="http://schemas.microsoft.com/office/drawing/2014/main" id="{00000000-0008-0000-0000-0000A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34" name="Picture 11" hidden="1">
          <a:extLst>
            <a:ext uri="{FF2B5EF4-FFF2-40B4-BE49-F238E27FC236}">
              <a16:creationId xmlns:a16="http://schemas.microsoft.com/office/drawing/2014/main" id="{00000000-0008-0000-0000-0000A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36" name="Picture 11" hidden="1">
          <a:extLst>
            <a:ext uri="{FF2B5EF4-FFF2-40B4-BE49-F238E27FC236}">
              <a16:creationId xmlns:a16="http://schemas.microsoft.com/office/drawing/2014/main" id="{00000000-0008-0000-0000-0000A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38" name="Picture 11" hidden="1">
          <a:extLst>
            <a:ext uri="{FF2B5EF4-FFF2-40B4-BE49-F238E27FC236}">
              <a16:creationId xmlns:a16="http://schemas.microsoft.com/office/drawing/2014/main" id="{00000000-0008-0000-0000-0000A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40" name="Picture 11" hidden="1">
          <a:extLst>
            <a:ext uri="{FF2B5EF4-FFF2-40B4-BE49-F238E27FC236}">
              <a16:creationId xmlns:a16="http://schemas.microsoft.com/office/drawing/2014/main" id="{00000000-0008-0000-0000-0000A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42" name="Picture 11" hidden="1">
          <a:extLst>
            <a:ext uri="{FF2B5EF4-FFF2-40B4-BE49-F238E27FC236}">
              <a16:creationId xmlns:a16="http://schemas.microsoft.com/office/drawing/2014/main" id="{00000000-0008-0000-0000-0000A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44" name="Picture 11" hidden="1">
          <a:extLst>
            <a:ext uri="{FF2B5EF4-FFF2-40B4-BE49-F238E27FC236}">
              <a16:creationId xmlns:a16="http://schemas.microsoft.com/office/drawing/2014/main" id="{00000000-0008-0000-0000-0000B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46" name="Picture 11" hidden="1">
          <a:extLst>
            <a:ext uri="{FF2B5EF4-FFF2-40B4-BE49-F238E27FC236}">
              <a16:creationId xmlns:a16="http://schemas.microsoft.com/office/drawing/2014/main" id="{00000000-0008-0000-0000-0000B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48" name="Picture 11" hidden="1">
          <a:extLst>
            <a:ext uri="{FF2B5EF4-FFF2-40B4-BE49-F238E27FC236}">
              <a16:creationId xmlns:a16="http://schemas.microsoft.com/office/drawing/2014/main" id="{00000000-0008-0000-0000-0000B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50" name="Picture 11" hidden="1">
          <a:extLst>
            <a:ext uri="{FF2B5EF4-FFF2-40B4-BE49-F238E27FC236}">
              <a16:creationId xmlns:a16="http://schemas.microsoft.com/office/drawing/2014/main" id="{00000000-0008-0000-0000-0000B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52" name="Picture 11" hidden="1">
          <a:extLst>
            <a:ext uri="{FF2B5EF4-FFF2-40B4-BE49-F238E27FC236}">
              <a16:creationId xmlns:a16="http://schemas.microsoft.com/office/drawing/2014/main" id="{00000000-0008-0000-0000-0000B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54" name="Picture 11" hidden="1">
          <a:extLst>
            <a:ext uri="{FF2B5EF4-FFF2-40B4-BE49-F238E27FC236}">
              <a16:creationId xmlns:a16="http://schemas.microsoft.com/office/drawing/2014/main" id="{00000000-0008-0000-0000-0000B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56" name="Picture 11" hidden="1">
          <a:extLst>
            <a:ext uri="{FF2B5EF4-FFF2-40B4-BE49-F238E27FC236}">
              <a16:creationId xmlns:a16="http://schemas.microsoft.com/office/drawing/2014/main" id="{00000000-0008-0000-0000-0000B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58" name="Picture 7357" hidden="1">
          <a:extLst>
            <a:ext uri="{FF2B5EF4-FFF2-40B4-BE49-F238E27FC236}">
              <a16:creationId xmlns:a16="http://schemas.microsoft.com/office/drawing/2014/main" id="{00000000-0008-0000-0000-0000B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60" name="Picture 11" hidden="1">
          <a:extLst>
            <a:ext uri="{FF2B5EF4-FFF2-40B4-BE49-F238E27FC236}">
              <a16:creationId xmlns:a16="http://schemas.microsoft.com/office/drawing/2014/main" id="{00000000-0008-0000-0000-0000C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62" name="Picture 11" hidden="1">
          <a:extLst>
            <a:ext uri="{FF2B5EF4-FFF2-40B4-BE49-F238E27FC236}">
              <a16:creationId xmlns:a16="http://schemas.microsoft.com/office/drawing/2014/main" id="{00000000-0008-0000-0000-0000C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64" name="Picture 11" hidden="1">
          <a:extLst>
            <a:ext uri="{FF2B5EF4-FFF2-40B4-BE49-F238E27FC236}">
              <a16:creationId xmlns:a16="http://schemas.microsoft.com/office/drawing/2014/main" id="{00000000-0008-0000-0000-0000C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66" name="Picture 11" hidden="1">
          <a:extLst>
            <a:ext uri="{FF2B5EF4-FFF2-40B4-BE49-F238E27FC236}">
              <a16:creationId xmlns:a16="http://schemas.microsoft.com/office/drawing/2014/main" id="{00000000-0008-0000-0000-0000C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68" name="Picture 11" hidden="1">
          <a:extLst>
            <a:ext uri="{FF2B5EF4-FFF2-40B4-BE49-F238E27FC236}">
              <a16:creationId xmlns:a16="http://schemas.microsoft.com/office/drawing/2014/main" id="{00000000-0008-0000-0000-0000C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70" name="Picture 11" hidden="1">
          <a:extLst>
            <a:ext uri="{FF2B5EF4-FFF2-40B4-BE49-F238E27FC236}">
              <a16:creationId xmlns:a16="http://schemas.microsoft.com/office/drawing/2014/main" id="{00000000-0008-0000-0000-0000C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72" name="Picture 11" hidden="1">
          <a:extLst>
            <a:ext uri="{FF2B5EF4-FFF2-40B4-BE49-F238E27FC236}">
              <a16:creationId xmlns:a16="http://schemas.microsoft.com/office/drawing/2014/main" id="{00000000-0008-0000-0000-0000C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74" name="Picture 11" hidden="1">
          <a:extLst>
            <a:ext uri="{FF2B5EF4-FFF2-40B4-BE49-F238E27FC236}">
              <a16:creationId xmlns:a16="http://schemas.microsoft.com/office/drawing/2014/main" id="{00000000-0008-0000-0000-0000C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76" name="Picture 11" hidden="1">
          <a:extLst>
            <a:ext uri="{FF2B5EF4-FFF2-40B4-BE49-F238E27FC236}">
              <a16:creationId xmlns:a16="http://schemas.microsoft.com/office/drawing/2014/main" id="{00000000-0008-0000-0000-0000D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78" name="Picture 11" hidden="1">
          <a:extLst>
            <a:ext uri="{FF2B5EF4-FFF2-40B4-BE49-F238E27FC236}">
              <a16:creationId xmlns:a16="http://schemas.microsoft.com/office/drawing/2014/main" id="{00000000-0008-0000-0000-0000D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80" name="Picture 11" hidden="1">
          <a:extLst>
            <a:ext uri="{FF2B5EF4-FFF2-40B4-BE49-F238E27FC236}">
              <a16:creationId xmlns:a16="http://schemas.microsoft.com/office/drawing/2014/main" id="{00000000-0008-0000-0000-0000D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82" name="Picture 11" hidden="1">
          <a:extLst>
            <a:ext uri="{FF2B5EF4-FFF2-40B4-BE49-F238E27FC236}">
              <a16:creationId xmlns:a16="http://schemas.microsoft.com/office/drawing/2014/main" id="{00000000-0008-0000-0000-0000D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84" name="Picture 11" hidden="1">
          <a:extLst>
            <a:ext uri="{FF2B5EF4-FFF2-40B4-BE49-F238E27FC236}">
              <a16:creationId xmlns:a16="http://schemas.microsoft.com/office/drawing/2014/main" id="{00000000-0008-0000-0000-0000D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86" name="Picture 11" hidden="1">
          <a:extLst>
            <a:ext uri="{FF2B5EF4-FFF2-40B4-BE49-F238E27FC236}">
              <a16:creationId xmlns:a16="http://schemas.microsoft.com/office/drawing/2014/main" id="{00000000-0008-0000-0000-0000D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88" name="Picture 11" hidden="1">
          <a:extLst>
            <a:ext uri="{FF2B5EF4-FFF2-40B4-BE49-F238E27FC236}">
              <a16:creationId xmlns:a16="http://schemas.microsoft.com/office/drawing/2014/main" id="{00000000-0008-0000-0000-0000D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90" name="Picture 11" hidden="1">
          <a:extLst>
            <a:ext uri="{FF2B5EF4-FFF2-40B4-BE49-F238E27FC236}">
              <a16:creationId xmlns:a16="http://schemas.microsoft.com/office/drawing/2014/main" id="{00000000-0008-0000-0000-0000D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92" name="Picture 11" hidden="1">
          <a:extLst>
            <a:ext uri="{FF2B5EF4-FFF2-40B4-BE49-F238E27FC236}">
              <a16:creationId xmlns:a16="http://schemas.microsoft.com/office/drawing/2014/main" id="{00000000-0008-0000-0000-0000E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94" name="Picture 11" hidden="1">
          <a:extLst>
            <a:ext uri="{FF2B5EF4-FFF2-40B4-BE49-F238E27FC236}">
              <a16:creationId xmlns:a16="http://schemas.microsoft.com/office/drawing/2014/main" id="{00000000-0008-0000-0000-0000E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96" name="Picture 11" hidden="1">
          <a:extLst>
            <a:ext uri="{FF2B5EF4-FFF2-40B4-BE49-F238E27FC236}">
              <a16:creationId xmlns:a16="http://schemas.microsoft.com/office/drawing/2014/main" id="{00000000-0008-0000-0000-0000E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98" name="Picture 11" hidden="1">
          <a:extLst>
            <a:ext uri="{FF2B5EF4-FFF2-40B4-BE49-F238E27FC236}">
              <a16:creationId xmlns:a16="http://schemas.microsoft.com/office/drawing/2014/main" id="{00000000-0008-0000-0000-0000E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00" name="Picture 11" hidden="1">
          <a:extLst>
            <a:ext uri="{FF2B5EF4-FFF2-40B4-BE49-F238E27FC236}">
              <a16:creationId xmlns:a16="http://schemas.microsoft.com/office/drawing/2014/main" id="{00000000-0008-0000-0000-0000E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02" name="Picture 11" hidden="1">
          <a:extLst>
            <a:ext uri="{FF2B5EF4-FFF2-40B4-BE49-F238E27FC236}">
              <a16:creationId xmlns:a16="http://schemas.microsoft.com/office/drawing/2014/main" id="{00000000-0008-0000-0000-0000E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04" name="Picture 11" hidden="1">
          <a:extLst>
            <a:ext uri="{FF2B5EF4-FFF2-40B4-BE49-F238E27FC236}">
              <a16:creationId xmlns:a16="http://schemas.microsoft.com/office/drawing/2014/main" id="{00000000-0008-0000-0000-0000E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06" name="Picture 11" hidden="1">
          <a:extLst>
            <a:ext uri="{FF2B5EF4-FFF2-40B4-BE49-F238E27FC236}">
              <a16:creationId xmlns:a16="http://schemas.microsoft.com/office/drawing/2014/main" id="{00000000-0008-0000-0000-0000E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08" name="Picture 11" hidden="1">
          <a:extLst>
            <a:ext uri="{FF2B5EF4-FFF2-40B4-BE49-F238E27FC236}">
              <a16:creationId xmlns:a16="http://schemas.microsoft.com/office/drawing/2014/main" id="{00000000-0008-0000-0000-0000F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10" name="Picture 11" hidden="1">
          <a:extLst>
            <a:ext uri="{FF2B5EF4-FFF2-40B4-BE49-F238E27FC236}">
              <a16:creationId xmlns:a16="http://schemas.microsoft.com/office/drawing/2014/main" id="{00000000-0008-0000-0000-0000F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12" name="Picture 11" hidden="1">
          <a:extLst>
            <a:ext uri="{FF2B5EF4-FFF2-40B4-BE49-F238E27FC236}">
              <a16:creationId xmlns:a16="http://schemas.microsoft.com/office/drawing/2014/main" id="{00000000-0008-0000-0000-0000F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14" name="Picture 11" hidden="1">
          <a:extLst>
            <a:ext uri="{FF2B5EF4-FFF2-40B4-BE49-F238E27FC236}">
              <a16:creationId xmlns:a16="http://schemas.microsoft.com/office/drawing/2014/main" id="{00000000-0008-0000-0000-0000F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16" name="Picture 11" hidden="1">
          <a:extLst>
            <a:ext uri="{FF2B5EF4-FFF2-40B4-BE49-F238E27FC236}">
              <a16:creationId xmlns:a16="http://schemas.microsoft.com/office/drawing/2014/main" id="{00000000-0008-0000-0000-0000F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18" name="Picture 11" hidden="1">
          <a:extLst>
            <a:ext uri="{FF2B5EF4-FFF2-40B4-BE49-F238E27FC236}">
              <a16:creationId xmlns:a16="http://schemas.microsoft.com/office/drawing/2014/main" id="{00000000-0008-0000-0000-0000F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20" name="Picture 11" hidden="1">
          <a:extLst>
            <a:ext uri="{FF2B5EF4-FFF2-40B4-BE49-F238E27FC236}">
              <a16:creationId xmlns:a16="http://schemas.microsoft.com/office/drawing/2014/main" id="{00000000-0008-0000-0000-0000F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22" name="Picture 11" hidden="1">
          <a:extLst>
            <a:ext uri="{FF2B5EF4-FFF2-40B4-BE49-F238E27FC236}">
              <a16:creationId xmlns:a16="http://schemas.microsoft.com/office/drawing/2014/main" id="{00000000-0008-0000-0000-0000F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24" name="Picture 11" hidden="1">
          <a:extLst>
            <a:ext uri="{FF2B5EF4-FFF2-40B4-BE49-F238E27FC236}">
              <a16:creationId xmlns:a16="http://schemas.microsoft.com/office/drawing/2014/main" id="{00000000-0008-0000-0000-00000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26" name="Picture 11" hidden="1">
          <a:extLst>
            <a:ext uri="{FF2B5EF4-FFF2-40B4-BE49-F238E27FC236}">
              <a16:creationId xmlns:a16="http://schemas.microsoft.com/office/drawing/2014/main" id="{00000000-0008-0000-0000-00000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28" name="Picture 11" hidden="1">
          <a:extLst>
            <a:ext uri="{FF2B5EF4-FFF2-40B4-BE49-F238E27FC236}">
              <a16:creationId xmlns:a16="http://schemas.microsoft.com/office/drawing/2014/main" id="{00000000-0008-0000-0000-00000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30" name="Picture 11" hidden="1">
          <a:extLst>
            <a:ext uri="{FF2B5EF4-FFF2-40B4-BE49-F238E27FC236}">
              <a16:creationId xmlns:a16="http://schemas.microsoft.com/office/drawing/2014/main" id="{00000000-0008-0000-0000-00000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32" name="Picture 11" hidden="1">
          <a:extLst>
            <a:ext uri="{FF2B5EF4-FFF2-40B4-BE49-F238E27FC236}">
              <a16:creationId xmlns:a16="http://schemas.microsoft.com/office/drawing/2014/main" id="{00000000-0008-0000-0000-00000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34" name="Picture 11" hidden="1">
          <a:extLst>
            <a:ext uri="{FF2B5EF4-FFF2-40B4-BE49-F238E27FC236}">
              <a16:creationId xmlns:a16="http://schemas.microsoft.com/office/drawing/2014/main" id="{00000000-0008-0000-0000-00000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36" name="Picture 11" hidden="1">
          <a:extLst>
            <a:ext uri="{FF2B5EF4-FFF2-40B4-BE49-F238E27FC236}">
              <a16:creationId xmlns:a16="http://schemas.microsoft.com/office/drawing/2014/main" id="{00000000-0008-0000-0000-00000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38" name="Picture 11" hidden="1">
          <a:extLst>
            <a:ext uri="{FF2B5EF4-FFF2-40B4-BE49-F238E27FC236}">
              <a16:creationId xmlns:a16="http://schemas.microsoft.com/office/drawing/2014/main" id="{00000000-0008-0000-0000-00000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40" name="Picture 11" hidden="1">
          <a:extLst>
            <a:ext uri="{FF2B5EF4-FFF2-40B4-BE49-F238E27FC236}">
              <a16:creationId xmlns:a16="http://schemas.microsoft.com/office/drawing/2014/main" id="{00000000-0008-0000-0000-00001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42" name="Picture 11" hidden="1">
          <a:extLst>
            <a:ext uri="{FF2B5EF4-FFF2-40B4-BE49-F238E27FC236}">
              <a16:creationId xmlns:a16="http://schemas.microsoft.com/office/drawing/2014/main" id="{00000000-0008-0000-0000-00001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44" name="Picture 11" hidden="1">
          <a:extLst>
            <a:ext uri="{FF2B5EF4-FFF2-40B4-BE49-F238E27FC236}">
              <a16:creationId xmlns:a16="http://schemas.microsoft.com/office/drawing/2014/main" id="{00000000-0008-0000-0000-00001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46" name="Picture 11" hidden="1">
          <a:extLst>
            <a:ext uri="{FF2B5EF4-FFF2-40B4-BE49-F238E27FC236}">
              <a16:creationId xmlns:a16="http://schemas.microsoft.com/office/drawing/2014/main" id="{00000000-0008-0000-0000-00001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48" name="Picture 11" hidden="1">
          <a:extLst>
            <a:ext uri="{FF2B5EF4-FFF2-40B4-BE49-F238E27FC236}">
              <a16:creationId xmlns:a16="http://schemas.microsoft.com/office/drawing/2014/main" id="{00000000-0008-0000-0000-00001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50" name="Picture 11" hidden="1">
          <a:extLst>
            <a:ext uri="{FF2B5EF4-FFF2-40B4-BE49-F238E27FC236}">
              <a16:creationId xmlns:a16="http://schemas.microsoft.com/office/drawing/2014/main" id="{00000000-0008-0000-0000-00001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52" name="Picture 11" hidden="1">
          <a:extLst>
            <a:ext uri="{FF2B5EF4-FFF2-40B4-BE49-F238E27FC236}">
              <a16:creationId xmlns:a16="http://schemas.microsoft.com/office/drawing/2014/main" id="{00000000-0008-0000-0000-00001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54" name="Picture 11" hidden="1">
          <a:extLst>
            <a:ext uri="{FF2B5EF4-FFF2-40B4-BE49-F238E27FC236}">
              <a16:creationId xmlns:a16="http://schemas.microsoft.com/office/drawing/2014/main" id="{00000000-0008-0000-0000-00001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56" name="Picture 11" hidden="1">
          <a:extLst>
            <a:ext uri="{FF2B5EF4-FFF2-40B4-BE49-F238E27FC236}">
              <a16:creationId xmlns:a16="http://schemas.microsoft.com/office/drawing/2014/main" id="{00000000-0008-0000-0000-00002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58" name="Picture 11" hidden="1">
          <a:extLst>
            <a:ext uri="{FF2B5EF4-FFF2-40B4-BE49-F238E27FC236}">
              <a16:creationId xmlns:a16="http://schemas.microsoft.com/office/drawing/2014/main" id="{00000000-0008-0000-0000-00002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60" name="Picture 11" hidden="1">
          <a:extLst>
            <a:ext uri="{FF2B5EF4-FFF2-40B4-BE49-F238E27FC236}">
              <a16:creationId xmlns:a16="http://schemas.microsoft.com/office/drawing/2014/main" id="{00000000-0008-0000-0000-00002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62" name="Picture 11" hidden="1">
          <a:extLst>
            <a:ext uri="{FF2B5EF4-FFF2-40B4-BE49-F238E27FC236}">
              <a16:creationId xmlns:a16="http://schemas.microsoft.com/office/drawing/2014/main" id="{00000000-0008-0000-0000-00002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64" name="Picture 11" hidden="1">
          <a:extLst>
            <a:ext uri="{FF2B5EF4-FFF2-40B4-BE49-F238E27FC236}">
              <a16:creationId xmlns:a16="http://schemas.microsoft.com/office/drawing/2014/main" id="{00000000-0008-0000-0000-00002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66" name="Picture 7465" hidden="1">
          <a:extLst>
            <a:ext uri="{FF2B5EF4-FFF2-40B4-BE49-F238E27FC236}">
              <a16:creationId xmlns:a16="http://schemas.microsoft.com/office/drawing/2014/main" id="{00000000-0008-0000-0000-00002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68" name="Picture 11" hidden="1">
          <a:extLst>
            <a:ext uri="{FF2B5EF4-FFF2-40B4-BE49-F238E27FC236}">
              <a16:creationId xmlns:a16="http://schemas.microsoft.com/office/drawing/2014/main" id="{00000000-0008-0000-0000-00002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70" name="Picture 11" hidden="1">
          <a:extLst>
            <a:ext uri="{FF2B5EF4-FFF2-40B4-BE49-F238E27FC236}">
              <a16:creationId xmlns:a16="http://schemas.microsoft.com/office/drawing/2014/main" id="{00000000-0008-0000-0000-00002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72" name="Picture 11" hidden="1">
          <a:extLst>
            <a:ext uri="{FF2B5EF4-FFF2-40B4-BE49-F238E27FC236}">
              <a16:creationId xmlns:a16="http://schemas.microsoft.com/office/drawing/2014/main" id="{00000000-0008-0000-0000-00003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74" name="Picture 11" hidden="1">
          <a:extLst>
            <a:ext uri="{FF2B5EF4-FFF2-40B4-BE49-F238E27FC236}">
              <a16:creationId xmlns:a16="http://schemas.microsoft.com/office/drawing/2014/main" id="{00000000-0008-0000-0000-00003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76" name="Picture 11" hidden="1">
          <a:extLst>
            <a:ext uri="{FF2B5EF4-FFF2-40B4-BE49-F238E27FC236}">
              <a16:creationId xmlns:a16="http://schemas.microsoft.com/office/drawing/2014/main" id="{00000000-0008-0000-0000-00003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78" name="Picture 11" hidden="1">
          <a:extLst>
            <a:ext uri="{FF2B5EF4-FFF2-40B4-BE49-F238E27FC236}">
              <a16:creationId xmlns:a16="http://schemas.microsoft.com/office/drawing/2014/main" id="{00000000-0008-0000-0000-00003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80" name="Picture 11" hidden="1">
          <a:extLst>
            <a:ext uri="{FF2B5EF4-FFF2-40B4-BE49-F238E27FC236}">
              <a16:creationId xmlns:a16="http://schemas.microsoft.com/office/drawing/2014/main" id="{00000000-0008-0000-0000-00003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82" name="Picture 11" hidden="1">
          <a:extLst>
            <a:ext uri="{FF2B5EF4-FFF2-40B4-BE49-F238E27FC236}">
              <a16:creationId xmlns:a16="http://schemas.microsoft.com/office/drawing/2014/main" id="{00000000-0008-0000-0000-00003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84" name="Picture 11" hidden="1">
          <a:extLst>
            <a:ext uri="{FF2B5EF4-FFF2-40B4-BE49-F238E27FC236}">
              <a16:creationId xmlns:a16="http://schemas.microsoft.com/office/drawing/2014/main" id="{00000000-0008-0000-0000-00003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86" name="Picture 11" hidden="1">
          <a:extLst>
            <a:ext uri="{FF2B5EF4-FFF2-40B4-BE49-F238E27FC236}">
              <a16:creationId xmlns:a16="http://schemas.microsoft.com/office/drawing/2014/main" id="{00000000-0008-0000-0000-00003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88" name="Picture 11" hidden="1">
          <a:extLst>
            <a:ext uri="{FF2B5EF4-FFF2-40B4-BE49-F238E27FC236}">
              <a16:creationId xmlns:a16="http://schemas.microsoft.com/office/drawing/2014/main" id="{00000000-0008-0000-0000-00004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90" name="Picture 11" hidden="1">
          <a:extLst>
            <a:ext uri="{FF2B5EF4-FFF2-40B4-BE49-F238E27FC236}">
              <a16:creationId xmlns:a16="http://schemas.microsoft.com/office/drawing/2014/main" id="{00000000-0008-0000-0000-00004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92" name="Picture 11" hidden="1">
          <a:extLst>
            <a:ext uri="{FF2B5EF4-FFF2-40B4-BE49-F238E27FC236}">
              <a16:creationId xmlns:a16="http://schemas.microsoft.com/office/drawing/2014/main" id="{00000000-0008-0000-0000-00004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94" name="Picture 11" hidden="1">
          <a:extLst>
            <a:ext uri="{FF2B5EF4-FFF2-40B4-BE49-F238E27FC236}">
              <a16:creationId xmlns:a16="http://schemas.microsoft.com/office/drawing/2014/main" id="{00000000-0008-0000-0000-00004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96" name="Picture 11" hidden="1">
          <a:extLst>
            <a:ext uri="{FF2B5EF4-FFF2-40B4-BE49-F238E27FC236}">
              <a16:creationId xmlns:a16="http://schemas.microsoft.com/office/drawing/2014/main" id="{00000000-0008-0000-0000-00004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98" name="Picture 11" hidden="1">
          <a:extLst>
            <a:ext uri="{FF2B5EF4-FFF2-40B4-BE49-F238E27FC236}">
              <a16:creationId xmlns:a16="http://schemas.microsoft.com/office/drawing/2014/main" id="{00000000-0008-0000-0000-00004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00" name="Picture 11" hidden="1">
          <a:extLst>
            <a:ext uri="{FF2B5EF4-FFF2-40B4-BE49-F238E27FC236}">
              <a16:creationId xmlns:a16="http://schemas.microsoft.com/office/drawing/2014/main" id="{00000000-0008-0000-0000-00004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02" name="Picture 11" hidden="1">
          <a:extLst>
            <a:ext uri="{FF2B5EF4-FFF2-40B4-BE49-F238E27FC236}">
              <a16:creationId xmlns:a16="http://schemas.microsoft.com/office/drawing/2014/main" id="{00000000-0008-0000-0000-00004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04" name="Picture 11" hidden="1">
          <a:extLst>
            <a:ext uri="{FF2B5EF4-FFF2-40B4-BE49-F238E27FC236}">
              <a16:creationId xmlns:a16="http://schemas.microsoft.com/office/drawing/2014/main" id="{00000000-0008-0000-0000-00005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06" name="Picture 11" hidden="1">
          <a:extLst>
            <a:ext uri="{FF2B5EF4-FFF2-40B4-BE49-F238E27FC236}">
              <a16:creationId xmlns:a16="http://schemas.microsoft.com/office/drawing/2014/main" id="{00000000-0008-0000-0000-00005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08" name="Picture 11" hidden="1">
          <a:extLst>
            <a:ext uri="{FF2B5EF4-FFF2-40B4-BE49-F238E27FC236}">
              <a16:creationId xmlns:a16="http://schemas.microsoft.com/office/drawing/2014/main" id="{00000000-0008-0000-0000-00005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10" name="Picture 11" hidden="1">
          <a:extLst>
            <a:ext uri="{FF2B5EF4-FFF2-40B4-BE49-F238E27FC236}">
              <a16:creationId xmlns:a16="http://schemas.microsoft.com/office/drawing/2014/main" id="{00000000-0008-0000-0000-00005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12" name="Picture 11" hidden="1">
          <a:extLst>
            <a:ext uri="{FF2B5EF4-FFF2-40B4-BE49-F238E27FC236}">
              <a16:creationId xmlns:a16="http://schemas.microsoft.com/office/drawing/2014/main" id="{00000000-0008-0000-0000-00005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14" name="Picture 11" hidden="1">
          <a:extLst>
            <a:ext uri="{FF2B5EF4-FFF2-40B4-BE49-F238E27FC236}">
              <a16:creationId xmlns:a16="http://schemas.microsoft.com/office/drawing/2014/main" id="{00000000-0008-0000-0000-00005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16" name="Picture 11" hidden="1">
          <a:extLst>
            <a:ext uri="{FF2B5EF4-FFF2-40B4-BE49-F238E27FC236}">
              <a16:creationId xmlns:a16="http://schemas.microsoft.com/office/drawing/2014/main" id="{00000000-0008-0000-0000-00005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18" name="Picture 11" hidden="1">
          <a:extLst>
            <a:ext uri="{FF2B5EF4-FFF2-40B4-BE49-F238E27FC236}">
              <a16:creationId xmlns:a16="http://schemas.microsoft.com/office/drawing/2014/main" id="{00000000-0008-0000-0000-00005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20" name="Picture 11" hidden="1">
          <a:extLst>
            <a:ext uri="{FF2B5EF4-FFF2-40B4-BE49-F238E27FC236}">
              <a16:creationId xmlns:a16="http://schemas.microsoft.com/office/drawing/2014/main" id="{00000000-0008-0000-0000-00006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22" name="Picture 11" hidden="1">
          <a:extLst>
            <a:ext uri="{FF2B5EF4-FFF2-40B4-BE49-F238E27FC236}">
              <a16:creationId xmlns:a16="http://schemas.microsoft.com/office/drawing/2014/main" id="{00000000-0008-0000-0000-00006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24" name="Picture 11" hidden="1">
          <a:extLst>
            <a:ext uri="{FF2B5EF4-FFF2-40B4-BE49-F238E27FC236}">
              <a16:creationId xmlns:a16="http://schemas.microsoft.com/office/drawing/2014/main" id="{00000000-0008-0000-0000-00006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26" name="Picture 11" hidden="1">
          <a:extLst>
            <a:ext uri="{FF2B5EF4-FFF2-40B4-BE49-F238E27FC236}">
              <a16:creationId xmlns:a16="http://schemas.microsoft.com/office/drawing/2014/main" id="{00000000-0008-0000-0000-00006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28" name="Picture 11" hidden="1">
          <a:extLst>
            <a:ext uri="{FF2B5EF4-FFF2-40B4-BE49-F238E27FC236}">
              <a16:creationId xmlns:a16="http://schemas.microsoft.com/office/drawing/2014/main" id="{00000000-0008-0000-0000-00006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30" name="Picture 11" hidden="1">
          <a:extLst>
            <a:ext uri="{FF2B5EF4-FFF2-40B4-BE49-F238E27FC236}">
              <a16:creationId xmlns:a16="http://schemas.microsoft.com/office/drawing/2014/main" id="{00000000-0008-0000-0000-00006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32" name="Picture 11" hidden="1">
          <a:extLst>
            <a:ext uri="{FF2B5EF4-FFF2-40B4-BE49-F238E27FC236}">
              <a16:creationId xmlns:a16="http://schemas.microsoft.com/office/drawing/2014/main" id="{00000000-0008-0000-0000-00006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34" name="Picture 11" hidden="1">
          <a:extLst>
            <a:ext uri="{FF2B5EF4-FFF2-40B4-BE49-F238E27FC236}">
              <a16:creationId xmlns:a16="http://schemas.microsoft.com/office/drawing/2014/main" id="{00000000-0008-0000-0000-00006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36" name="Picture 11" hidden="1">
          <a:extLst>
            <a:ext uri="{FF2B5EF4-FFF2-40B4-BE49-F238E27FC236}">
              <a16:creationId xmlns:a16="http://schemas.microsoft.com/office/drawing/2014/main" id="{00000000-0008-0000-0000-00007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38" name="Picture 11" hidden="1">
          <a:extLst>
            <a:ext uri="{FF2B5EF4-FFF2-40B4-BE49-F238E27FC236}">
              <a16:creationId xmlns:a16="http://schemas.microsoft.com/office/drawing/2014/main" id="{00000000-0008-0000-0000-00007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40" name="Picture 11" hidden="1">
          <a:extLst>
            <a:ext uri="{FF2B5EF4-FFF2-40B4-BE49-F238E27FC236}">
              <a16:creationId xmlns:a16="http://schemas.microsoft.com/office/drawing/2014/main" id="{00000000-0008-0000-0000-00007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42" name="Picture 11" hidden="1">
          <a:extLst>
            <a:ext uri="{FF2B5EF4-FFF2-40B4-BE49-F238E27FC236}">
              <a16:creationId xmlns:a16="http://schemas.microsoft.com/office/drawing/2014/main" id="{00000000-0008-0000-0000-00007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44" name="Picture 11" hidden="1">
          <a:extLst>
            <a:ext uri="{FF2B5EF4-FFF2-40B4-BE49-F238E27FC236}">
              <a16:creationId xmlns:a16="http://schemas.microsoft.com/office/drawing/2014/main" id="{00000000-0008-0000-0000-00007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46" name="Picture 11" hidden="1">
          <a:extLst>
            <a:ext uri="{FF2B5EF4-FFF2-40B4-BE49-F238E27FC236}">
              <a16:creationId xmlns:a16="http://schemas.microsoft.com/office/drawing/2014/main" id="{00000000-0008-0000-0000-00007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48" name="Picture 11" hidden="1">
          <a:extLst>
            <a:ext uri="{FF2B5EF4-FFF2-40B4-BE49-F238E27FC236}">
              <a16:creationId xmlns:a16="http://schemas.microsoft.com/office/drawing/2014/main" id="{00000000-0008-0000-0000-00007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50" name="Picture 11" hidden="1">
          <a:extLst>
            <a:ext uri="{FF2B5EF4-FFF2-40B4-BE49-F238E27FC236}">
              <a16:creationId xmlns:a16="http://schemas.microsoft.com/office/drawing/2014/main" id="{00000000-0008-0000-0000-00007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52" name="Picture 11" hidden="1">
          <a:extLst>
            <a:ext uri="{FF2B5EF4-FFF2-40B4-BE49-F238E27FC236}">
              <a16:creationId xmlns:a16="http://schemas.microsoft.com/office/drawing/2014/main" id="{00000000-0008-0000-0000-00008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54" name="Picture 11" hidden="1">
          <a:extLst>
            <a:ext uri="{FF2B5EF4-FFF2-40B4-BE49-F238E27FC236}">
              <a16:creationId xmlns:a16="http://schemas.microsoft.com/office/drawing/2014/main" id="{00000000-0008-0000-0000-00008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56" name="Picture 11" hidden="1">
          <a:extLst>
            <a:ext uri="{FF2B5EF4-FFF2-40B4-BE49-F238E27FC236}">
              <a16:creationId xmlns:a16="http://schemas.microsoft.com/office/drawing/2014/main" id="{00000000-0008-0000-0000-00008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58" name="Picture 11" hidden="1">
          <a:extLst>
            <a:ext uri="{FF2B5EF4-FFF2-40B4-BE49-F238E27FC236}">
              <a16:creationId xmlns:a16="http://schemas.microsoft.com/office/drawing/2014/main" id="{00000000-0008-0000-0000-00008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60" name="Picture 11" hidden="1">
          <a:extLst>
            <a:ext uri="{FF2B5EF4-FFF2-40B4-BE49-F238E27FC236}">
              <a16:creationId xmlns:a16="http://schemas.microsoft.com/office/drawing/2014/main" id="{00000000-0008-0000-0000-00008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62" name="Picture 11" hidden="1">
          <a:extLst>
            <a:ext uri="{FF2B5EF4-FFF2-40B4-BE49-F238E27FC236}">
              <a16:creationId xmlns:a16="http://schemas.microsoft.com/office/drawing/2014/main" id="{00000000-0008-0000-0000-00008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64" name="Picture 11" hidden="1">
          <a:extLst>
            <a:ext uri="{FF2B5EF4-FFF2-40B4-BE49-F238E27FC236}">
              <a16:creationId xmlns:a16="http://schemas.microsoft.com/office/drawing/2014/main" id="{00000000-0008-0000-0000-00008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7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D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7566" name="Picture 11" hidden="1">
          <a:extLst>
            <a:ext uri="{FF2B5EF4-FFF2-40B4-BE49-F238E27FC236}">
              <a16:creationId xmlns:a16="http://schemas.microsoft.com/office/drawing/2014/main" id="{00000000-0008-0000-0000-00008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68" name="Picture 11" hidden="1">
          <a:extLst>
            <a:ext uri="{FF2B5EF4-FFF2-40B4-BE49-F238E27FC236}">
              <a16:creationId xmlns:a16="http://schemas.microsoft.com/office/drawing/2014/main" id="{00000000-0008-0000-0000-00009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70" name="Picture 11" hidden="1">
          <a:extLst>
            <a:ext uri="{FF2B5EF4-FFF2-40B4-BE49-F238E27FC236}">
              <a16:creationId xmlns:a16="http://schemas.microsoft.com/office/drawing/2014/main" id="{00000000-0008-0000-0000-00009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72" name="Picture 11" hidden="1">
          <a:extLst>
            <a:ext uri="{FF2B5EF4-FFF2-40B4-BE49-F238E27FC236}">
              <a16:creationId xmlns:a16="http://schemas.microsoft.com/office/drawing/2014/main" id="{00000000-0008-0000-0000-00009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74" name="Picture 7573" hidden="1">
          <a:extLst>
            <a:ext uri="{FF2B5EF4-FFF2-40B4-BE49-F238E27FC236}">
              <a16:creationId xmlns:a16="http://schemas.microsoft.com/office/drawing/2014/main" id="{00000000-0008-0000-0000-00009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76" name="Picture 11" hidden="1">
          <a:extLst>
            <a:ext uri="{FF2B5EF4-FFF2-40B4-BE49-F238E27FC236}">
              <a16:creationId xmlns:a16="http://schemas.microsoft.com/office/drawing/2014/main" id="{00000000-0008-0000-0000-00009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78" name="Picture 11" hidden="1">
          <a:extLst>
            <a:ext uri="{FF2B5EF4-FFF2-40B4-BE49-F238E27FC236}">
              <a16:creationId xmlns:a16="http://schemas.microsoft.com/office/drawing/2014/main" id="{00000000-0008-0000-0000-00009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80" name="Picture 11" hidden="1">
          <a:extLst>
            <a:ext uri="{FF2B5EF4-FFF2-40B4-BE49-F238E27FC236}">
              <a16:creationId xmlns:a16="http://schemas.microsoft.com/office/drawing/2014/main" id="{00000000-0008-0000-0000-00009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82" name="Picture 11" hidden="1">
          <a:extLst>
            <a:ext uri="{FF2B5EF4-FFF2-40B4-BE49-F238E27FC236}">
              <a16:creationId xmlns:a16="http://schemas.microsoft.com/office/drawing/2014/main" id="{00000000-0008-0000-0000-00009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84" name="Picture 11" hidden="1">
          <a:extLst>
            <a:ext uri="{FF2B5EF4-FFF2-40B4-BE49-F238E27FC236}">
              <a16:creationId xmlns:a16="http://schemas.microsoft.com/office/drawing/2014/main" id="{00000000-0008-0000-0000-0000A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86" name="Picture 11" hidden="1">
          <a:extLst>
            <a:ext uri="{FF2B5EF4-FFF2-40B4-BE49-F238E27FC236}">
              <a16:creationId xmlns:a16="http://schemas.microsoft.com/office/drawing/2014/main" id="{00000000-0008-0000-0000-0000A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88" name="Picture 11" hidden="1">
          <a:extLst>
            <a:ext uri="{FF2B5EF4-FFF2-40B4-BE49-F238E27FC236}">
              <a16:creationId xmlns:a16="http://schemas.microsoft.com/office/drawing/2014/main" id="{00000000-0008-0000-0000-0000A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90" name="Picture 11" hidden="1">
          <a:extLst>
            <a:ext uri="{FF2B5EF4-FFF2-40B4-BE49-F238E27FC236}">
              <a16:creationId xmlns:a16="http://schemas.microsoft.com/office/drawing/2014/main" id="{00000000-0008-0000-0000-0000A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92" name="Picture 11" hidden="1">
          <a:extLst>
            <a:ext uri="{FF2B5EF4-FFF2-40B4-BE49-F238E27FC236}">
              <a16:creationId xmlns:a16="http://schemas.microsoft.com/office/drawing/2014/main" id="{00000000-0008-0000-0000-0000A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94" name="Picture 11" hidden="1">
          <a:extLst>
            <a:ext uri="{FF2B5EF4-FFF2-40B4-BE49-F238E27FC236}">
              <a16:creationId xmlns:a16="http://schemas.microsoft.com/office/drawing/2014/main" id="{00000000-0008-0000-0000-0000A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96" name="Picture 11" hidden="1">
          <a:extLst>
            <a:ext uri="{FF2B5EF4-FFF2-40B4-BE49-F238E27FC236}">
              <a16:creationId xmlns:a16="http://schemas.microsoft.com/office/drawing/2014/main" id="{00000000-0008-0000-0000-0000A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98" name="Picture 11" hidden="1">
          <a:extLst>
            <a:ext uri="{FF2B5EF4-FFF2-40B4-BE49-F238E27FC236}">
              <a16:creationId xmlns:a16="http://schemas.microsoft.com/office/drawing/2014/main" id="{00000000-0008-0000-0000-0000A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00" name="Picture 11" hidden="1">
          <a:extLst>
            <a:ext uri="{FF2B5EF4-FFF2-40B4-BE49-F238E27FC236}">
              <a16:creationId xmlns:a16="http://schemas.microsoft.com/office/drawing/2014/main" id="{00000000-0008-0000-0000-0000B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02" name="Picture 11" hidden="1">
          <a:extLst>
            <a:ext uri="{FF2B5EF4-FFF2-40B4-BE49-F238E27FC236}">
              <a16:creationId xmlns:a16="http://schemas.microsoft.com/office/drawing/2014/main" id="{00000000-0008-0000-0000-0000B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04" name="Picture 11" hidden="1">
          <a:extLst>
            <a:ext uri="{FF2B5EF4-FFF2-40B4-BE49-F238E27FC236}">
              <a16:creationId xmlns:a16="http://schemas.microsoft.com/office/drawing/2014/main" id="{00000000-0008-0000-0000-0000B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06" name="Picture 11" hidden="1">
          <a:extLst>
            <a:ext uri="{FF2B5EF4-FFF2-40B4-BE49-F238E27FC236}">
              <a16:creationId xmlns:a16="http://schemas.microsoft.com/office/drawing/2014/main" id="{00000000-0008-0000-0000-0000B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08" name="Picture 11" hidden="1">
          <a:extLst>
            <a:ext uri="{FF2B5EF4-FFF2-40B4-BE49-F238E27FC236}">
              <a16:creationId xmlns:a16="http://schemas.microsoft.com/office/drawing/2014/main" id="{00000000-0008-0000-0000-0000B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10" name="Picture 11" hidden="1">
          <a:extLst>
            <a:ext uri="{FF2B5EF4-FFF2-40B4-BE49-F238E27FC236}">
              <a16:creationId xmlns:a16="http://schemas.microsoft.com/office/drawing/2014/main" id="{00000000-0008-0000-0000-0000B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12" name="Picture 11" hidden="1">
          <a:extLst>
            <a:ext uri="{FF2B5EF4-FFF2-40B4-BE49-F238E27FC236}">
              <a16:creationId xmlns:a16="http://schemas.microsoft.com/office/drawing/2014/main" id="{00000000-0008-0000-0000-0000B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14" name="Picture 11" hidden="1">
          <a:extLst>
            <a:ext uri="{FF2B5EF4-FFF2-40B4-BE49-F238E27FC236}">
              <a16:creationId xmlns:a16="http://schemas.microsoft.com/office/drawing/2014/main" id="{00000000-0008-0000-0000-0000B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16" name="Picture 11" hidden="1">
          <a:extLst>
            <a:ext uri="{FF2B5EF4-FFF2-40B4-BE49-F238E27FC236}">
              <a16:creationId xmlns:a16="http://schemas.microsoft.com/office/drawing/2014/main" id="{00000000-0008-0000-0000-0000C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18" name="Picture 11" hidden="1">
          <a:extLst>
            <a:ext uri="{FF2B5EF4-FFF2-40B4-BE49-F238E27FC236}">
              <a16:creationId xmlns:a16="http://schemas.microsoft.com/office/drawing/2014/main" id="{00000000-0008-0000-0000-0000C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20" name="Picture 11" hidden="1">
          <a:extLst>
            <a:ext uri="{FF2B5EF4-FFF2-40B4-BE49-F238E27FC236}">
              <a16:creationId xmlns:a16="http://schemas.microsoft.com/office/drawing/2014/main" id="{00000000-0008-0000-0000-0000C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22" name="Picture 11" hidden="1">
          <a:extLst>
            <a:ext uri="{FF2B5EF4-FFF2-40B4-BE49-F238E27FC236}">
              <a16:creationId xmlns:a16="http://schemas.microsoft.com/office/drawing/2014/main" id="{00000000-0008-0000-0000-0000C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24" name="Picture 11" hidden="1">
          <a:extLst>
            <a:ext uri="{FF2B5EF4-FFF2-40B4-BE49-F238E27FC236}">
              <a16:creationId xmlns:a16="http://schemas.microsoft.com/office/drawing/2014/main" id="{00000000-0008-0000-0000-0000C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26" name="Picture 11" hidden="1">
          <a:extLst>
            <a:ext uri="{FF2B5EF4-FFF2-40B4-BE49-F238E27FC236}">
              <a16:creationId xmlns:a16="http://schemas.microsoft.com/office/drawing/2014/main" id="{00000000-0008-0000-0000-0000C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28" name="Picture 11" hidden="1">
          <a:extLst>
            <a:ext uri="{FF2B5EF4-FFF2-40B4-BE49-F238E27FC236}">
              <a16:creationId xmlns:a16="http://schemas.microsoft.com/office/drawing/2014/main" id="{00000000-0008-0000-0000-0000C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30" name="Picture 11" hidden="1">
          <a:extLst>
            <a:ext uri="{FF2B5EF4-FFF2-40B4-BE49-F238E27FC236}">
              <a16:creationId xmlns:a16="http://schemas.microsoft.com/office/drawing/2014/main" id="{00000000-0008-0000-0000-0000C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32" name="Picture 11" hidden="1">
          <a:extLst>
            <a:ext uri="{FF2B5EF4-FFF2-40B4-BE49-F238E27FC236}">
              <a16:creationId xmlns:a16="http://schemas.microsoft.com/office/drawing/2014/main" id="{00000000-0008-0000-0000-0000D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34" name="Picture 11" hidden="1">
          <a:extLst>
            <a:ext uri="{FF2B5EF4-FFF2-40B4-BE49-F238E27FC236}">
              <a16:creationId xmlns:a16="http://schemas.microsoft.com/office/drawing/2014/main" id="{00000000-0008-0000-0000-0000D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36" name="Picture 11" hidden="1">
          <a:extLst>
            <a:ext uri="{FF2B5EF4-FFF2-40B4-BE49-F238E27FC236}">
              <a16:creationId xmlns:a16="http://schemas.microsoft.com/office/drawing/2014/main" id="{00000000-0008-0000-0000-0000D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38" name="Picture 11" hidden="1">
          <a:extLst>
            <a:ext uri="{FF2B5EF4-FFF2-40B4-BE49-F238E27FC236}">
              <a16:creationId xmlns:a16="http://schemas.microsoft.com/office/drawing/2014/main" id="{00000000-0008-0000-0000-0000D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40" name="Picture 11" hidden="1">
          <a:extLst>
            <a:ext uri="{FF2B5EF4-FFF2-40B4-BE49-F238E27FC236}">
              <a16:creationId xmlns:a16="http://schemas.microsoft.com/office/drawing/2014/main" id="{00000000-0008-0000-0000-0000D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42" name="Picture 11" hidden="1">
          <a:extLst>
            <a:ext uri="{FF2B5EF4-FFF2-40B4-BE49-F238E27FC236}">
              <a16:creationId xmlns:a16="http://schemas.microsoft.com/office/drawing/2014/main" id="{00000000-0008-0000-0000-0000D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44" name="Picture 11" hidden="1">
          <a:extLst>
            <a:ext uri="{FF2B5EF4-FFF2-40B4-BE49-F238E27FC236}">
              <a16:creationId xmlns:a16="http://schemas.microsoft.com/office/drawing/2014/main" id="{00000000-0008-0000-0000-0000D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46" name="Picture 11" hidden="1">
          <a:extLst>
            <a:ext uri="{FF2B5EF4-FFF2-40B4-BE49-F238E27FC236}">
              <a16:creationId xmlns:a16="http://schemas.microsoft.com/office/drawing/2014/main" id="{00000000-0008-0000-0000-0000D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48" name="Picture 11" hidden="1">
          <a:extLst>
            <a:ext uri="{FF2B5EF4-FFF2-40B4-BE49-F238E27FC236}">
              <a16:creationId xmlns:a16="http://schemas.microsoft.com/office/drawing/2014/main" id="{00000000-0008-0000-0000-0000E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50" name="Picture 11" hidden="1">
          <a:extLst>
            <a:ext uri="{FF2B5EF4-FFF2-40B4-BE49-F238E27FC236}">
              <a16:creationId xmlns:a16="http://schemas.microsoft.com/office/drawing/2014/main" id="{00000000-0008-0000-0000-0000E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52" name="Picture 11" hidden="1">
          <a:extLst>
            <a:ext uri="{FF2B5EF4-FFF2-40B4-BE49-F238E27FC236}">
              <a16:creationId xmlns:a16="http://schemas.microsoft.com/office/drawing/2014/main" id="{00000000-0008-0000-0000-0000E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54" name="Picture 11" hidden="1">
          <a:extLst>
            <a:ext uri="{FF2B5EF4-FFF2-40B4-BE49-F238E27FC236}">
              <a16:creationId xmlns:a16="http://schemas.microsoft.com/office/drawing/2014/main" id="{00000000-0008-0000-0000-0000E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56" name="Picture 11" hidden="1">
          <a:extLst>
            <a:ext uri="{FF2B5EF4-FFF2-40B4-BE49-F238E27FC236}">
              <a16:creationId xmlns:a16="http://schemas.microsoft.com/office/drawing/2014/main" id="{00000000-0008-0000-0000-0000E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58" name="Picture 11" hidden="1">
          <a:extLst>
            <a:ext uri="{FF2B5EF4-FFF2-40B4-BE49-F238E27FC236}">
              <a16:creationId xmlns:a16="http://schemas.microsoft.com/office/drawing/2014/main" id="{00000000-0008-0000-0000-0000E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60" name="Picture 11" hidden="1">
          <a:extLst>
            <a:ext uri="{FF2B5EF4-FFF2-40B4-BE49-F238E27FC236}">
              <a16:creationId xmlns:a16="http://schemas.microsoft.com/office/drawing/2014/main" id="{00000000-0008-0000-0000-0000E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62" name="Picture 11" hidden="1">
          <a:extLst>
            <a:ext uri="{FF2B5EF4-FFF2-40B4-BE49-F238E27FC236}">
              <a16:creationId xmlns:a16="http://schemas.microsoft.com/office/drawing/2014/main" id="{00000000-0008-0000-0000-0000E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64" name="Picture 11" hidden="1">
          <a:extLst>
            <a:ext uri="{FF2B5EF4-FFF2-40B4-BE49-F238E27FC236}">
              <a16:creationId xmlns:a16="http://schemas.microsoft.com/office/drawing/2014/main" id="{00000000-0008-0000-0000-0000F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66" name="Picture 11" hidden="1">
          <a:extLst>
            <a:ext uri="{FF2B5EF4-FFF2-40B4-BE49-F238E27FC236}">
              <a16:creationId xmlns:a16="http://schemas.microsoft.com/office/drawing/2014/main" id="{00000000-0008-0000-0000-0000F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68" name="Picture 11" hidden="1">
          <a:extLst>
            <a:ext uri="{FF2B5EF4-FFF2-40B4-BE49-F238E27FC236}">
              <a16:creationId xmlns:a16="http://schemas.microsoft.com/office/drawing/2014/main" id="{00000000-0008-0000-0000-0000F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70" name="Picture 11" hidden="1">
          <a:extLst>
            <a:ext uri="{FF2B5EF4-FFF2-40B4-BE49-F238E27FC236}">
              <a16:creationId xmlns:a16="http://schemas.microsoft.com/office/drawing/2014/main" id="{00000000-0008-0000-0000-0000F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72" name="Picture 11" hidden="1">
          <a:extLst>
            <a:ext uri="{FF2B5EF4-FFF2-40B4-BE49-F238E27FC236}">
              <a16:creationId xmlns:a16="http://schemas.microsoft.com/office/drawing/2014/main" id="{00000000-0008-0000-0000-0000F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74" name="Picture 11" hidden="1">
          <a:extLst>
            <a:ext uri="{FF2B5EF4-FFF2-40B4-BE49-F238E27FC236}">
              <a16:creationId xmlns:a16="http://schemas.microsoft.com/office/drawing/2014/main" id="{00000000-0008-0000-0000-0000F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76" name="Picture 11" hidden="1">
          <a:extLst>
            <a:ext uri="{FF2B5EF4-FFF2-40B4-BE49-F238E27FC236}">
              <a16:creationId xmlns:a16="http://schemas.microsoft.com/office/drawing/2014/main" id="{00000000-0008-0000-0000-0000F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78" name="Picture 11" hidden="1">
          <a:extLst>
            <a:ext uri="{FF2B5EF4-FFF2-40B4-BE49-F238E27FC236}">
              <a16:creationId xmlns:a16="http://schemas.microsoft.com/office/drawing/2014/main" id="{00000000-0008-0000-0000-0000F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80" name="Picture 11" hidden="1">
          <a:extLst>
            <a:ext uri="{FF2B5EF4-FFF2-40B4-BE49-F238E27FC236}">
              <a16:creationId xmlns:a16="http://schemas.microsoft.com/office/drawing/2014/main" id="{00000000-0008-0000-0000-00000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82" name="Picture 7681" hidden="1">
          <a:extLst>
            <a:ext uri="{FF2B5EF4-FFF2-40B4-BE49-F238E27FC236}">
              <a16:creationId xmlns:a16="http://schemas.microsoft.com/office/drawing/2014/main" id="{00000000-0008-0000-0000-00000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84" name="Picture 11" hidden="1">
          <a:extLst>
            <a:ext uri="{FF2B5EF4-FFF2-40B4-BE49-F238E27FC236}">
              <a16:creationId xmlns:a16="http://schemas.microsoft.com/office/drawing/2014/main" id="{00000000-0008-0000-0000-00000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86" name="Picture 11" hidden="1">
          <a:extLst>
            <a:ext uri="{FF2B5EF4-FFF2-40B4-BE49-F238E27FC236}">
              <a16:creationId xmlns:a16="http://schemas.microsoft.com/office/drawing/2014/main" id="{00000000-0008-0000-0000-00000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88" name="Picture 11" hidden="1">
          <a:extLst>
            <a:ext uri="{FF2B5EF4-FFF2-40B4-BE49-F238E27FC236}">
              <a16:creationId xmlns:a16="http://schemas.microsoft.com/office/drawing/2014/main" id="{00000000-0008-0000-0000-00000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90" name="Picture 11" hidden="1">
          <a:extLst>
            <a:ext uri="{FF2B5EF4-FFF2-40B4-BE49-F238E27FC236}">
              <a16:creationId xmlns:a16="http://schemas.microsoft.com/office/drawing/2014/main" id="{00000000-0008-0000-0000-00000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92" name="Picture 11" hidden="1">
          <a:extLst>
            <a:ext uri="{FF2B5EF4-FFF2-40B4-BE49-F238E27FC236}">
              <a16:creationId xmlns:a16="http://schemas.microsoft.com/office/drawing/2014/main" id="{00000000-0008-0000-0000-00000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94" name="Picture 11" hidden="1">
          <a:extLst>
            <a:ext uri="{FF2B5EF4-FFF2-40B4-BE49-F238E27FC236}">
              <a16:creationId xmlns:a16="http://schemas.microsoft.com/office/drawing/2014/main" id="{00000000-0008-0000-0000-00000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96" name="Picture 11" hidden="1">
          <a:extLst>
            <a:ext uri="{FF2B5EF4-FFF2-40B4-BE49-F238E27FC236}">
              <a16:creationId xmlns:a16="http://schemas.microsoft.com/office/drawing/2014/main" id="{00000000-0008-0000-0000-00001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98" name="Picture 11" hidden="1">
          <a:extLst>
            <a:ext uri="{FF2B5EF4-FFF2-40B4-BE49-F238E27FC236}">
              <a16:creationId xmlns:a16="http://schemas.microsoft.com/office/drawing/2014/main" id="{00000000-0008-0000-0000-00001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00" name="Picture 11" hidden="1">
          <a:extLst>
            <a:ext uri="{FF2B5EF4-FFF2-40B4-BE49-F238E27FC236}">
              <a16:creationId xmlns:a16="http://schemas.microsoft.com/office/drawing/2014/main" id="{00000000-0008-0000-0000-00001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02" name="Picture 11" hidden="1">
          <a:extLst>
            <a:ext uri="{FF2B5EF4-FFF2-40B4-BE49-F238E27FC236}">
              <a16:creationId xmlns:a16="http://schemas.microsoft.com/office/drawing/2014/main" id="{00000000-0008-0000-0000-00001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04" name="Picture 11" hidden="1">
          <a:extLst>
            <a:ext uri="{FF2B5EF4-FFF2-40B4-BE49-F238E27FC236}">
              <a16:creationId xmlns:a16="http://schemas.microsoft.com/office/drawing/2014/main" id="{00000000-0008-0000-0000-00001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06" name="Picture 11" hidden="1">
          <a:extLst>
            <a:ext uri="{FF2B5EF4-FFF2-40B4-BE49-F238E27FC236}">
              <a16:creationId xmlns:a16="http://schemas.microsoft.com/office/drawing/2014/main" id="{00000000-0008-0000-0000-00001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08" name="Picture 11" hidden="1">
          <a:extLst>
            <a:ext uri="{FF2B5EF4-FFF2-40B4-BE49-F238E27FC236}">
              <a16:creationId xmlns:a16="http://schemas.microsoft.com/office/drawing/2014/main" id="{00000000-0008-0000-0000-00001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10" name="Picture 11" hidden="1">
          <a:extLst>
            <a:ext uri="{FF2B5EF4-FFF2-40B4-BE49-F238E27FC236}">
              <a16:creationId xmlns:a16="http://schemas.microsoft.com/office/drawing/2014/main" id="{00000000-0008-0000-0000-00001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12" name="Picture 11" hidden="1">
          <a:extLst>
            <a:ext uri="{FF2B5EF4-FFF2-40B4-BE49-F238E27FC236}">
              <a16:creationId xmlns:a16="http://schemas.microsoft.com/office/drawing/2014/main" id="{00000000-0008-0000-0000-00002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14" name="Picture 11" hidden="1">
          <a:extLst>
            <a:ext uri="{FF2B5EF4-FFF2-40B4-BE49-F238E27FC236}">
              <a16:creationId xmlns:a16="http://schemas.microsoft.com/office/drawing/2014/main" id="{00000000-0008-0000-0000-00002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16" name="Picture 11" hidden="1">
          <a:extLst>
            <a:ext uri="{FF2B5EF4-FFF2-40B4-BE49-F238E27FC236}">
              <a16:creationId xmlns:a16="http://schemas.microsoft.com/office/drawing/2014/main" id="{00000000-0008-0000-0000-00002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18" name="Picture 11" hidden="1">
          <a:extLst>
            <a:ext uri="{FF2B5EF4-FFF2-40B4-BE49-F238E27FC236}">
              <a16:creationId xmlns:a16="http://schemas.microsoft.com/office/drawing/2014/main" id="{00000000-0008-0000-0000-00002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20" name="Picture 11" hidden="1">
          <a:extLst>
            <a:ext uri="{FF2B5EF4-FFF2-40B4-BE49-F238E27FC236}">
              <a16:creationId xmlns:a16="http://schemas.microsoft.com/office/drawing/2014/main" id="{00000000-0008-0000-0000-00002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22" name="Picture 11" hidden="1">
          <a:extLst>
            <a:ext uri="{FF2B5EF4-FFF2-40B4-BE49-F238E27FC236}">
              <a16:creationId xmlns:a16="http://schemas.microsoft.com/office/drawing/2014/main" id="{00000000-0008-0000-0000-00002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24" name="Picture 11" hidden="1">
          <a:extLst>
            <a:ext uri="{FF2B5EF4-FFF2-40B4-BE49-F238E27FC236}">
              <a16:creationId xmlns:a16="http://schemas.microsoft.com/office/drawing/2014/main" id="{00000000-0008-0000-0000-00002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26" name="Picture 11" hidden="1">
          <a:extLst>
            <a:ext uri="{FF2B5EF4-FFF2-40B4-BE49-F238E27FC236}">
              <a16:creationId xmlns:a16="http://schemas.microsoft.com/office/drawing/2014/main" id="{00000000-0008-0000-0000-00002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28" name="Picture 11" hidden="1">
          <a:extLst>
            <a:ext uri="{FF2B5EF4-FFF2-40B4-BE49-F238E27FC236}">
              <a16:creationId xmlns:a16="http://schemas.microsoft.com/office/drawing/2014/main" id="{00000000-0008-0000-0000-00003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30" name="Picture 11" hidden="1">
          <a:extLst>
            <a:ext uri="{FF2B5EF4-FFF2-40B4-BE49-F238E27FC236}">
              <a16:creationId xmlns:a16="http://schemas.microsoft.com/office/drawing/2014/main" id="{00000000-0008-0000-0000-00003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32" name="Picture 11" hidden="1">
          <a:extLst>
            <a:ext uri="{FF2B5EF4-FFF2-40B4-BE49-F238E27FC236}">
              <a16:creationId xmlns:a16="http://schemas.microsoft.com/office/drawing/2014/main" id="{00000000-0008-0000-0000-00003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34" name="Picture 11" hidden="1">
          <a:extLst>
            <a:ext uri="{FF2B5EF4-FFF2-40B4-BE49-F238E27FC236}">
              <a16:creationId xmlns:a16="http://schemas.microsoft.com/office/drawing/2014/main" id="{00000000-0008-0000-0000-00003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36" name="Picture 11" hidden="1">
          <a:extLst>
            <a:ext uri="{FF2B5EF4-FFF2-40B4-BE49-F238E27FC236}">
              <a16:creationId xmlns:a16="http://schemas.microsoft.com/office/drawing/2014/main" id="{00000000-0008-0000-0000-00003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38" name="Picture 11" hidden="1">
          <a:extLst>
            <a:ext uri="{FF2B5EF4-FFF2-40B4-BE49-F238E27FC236}">
              <a16:creationId xmlns:a16="http://schemas.microsoft.com/office/drawing/2014/main" id="{00000000-0008-0000-0000-00003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40" name="Picture 11" hidden="1">
          <a:extLst>
            <a:ext uri="{FF2B5EF4-FFF2-40B4-BE49-F238E27FC236}">
              <a16:creationId xmlns:a16="http://schemas.microsoft.com/office/drawing/2014/main" id="{00000000-0008-0000-0000-00003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42" name="Picture 11" hidden="1">
          <a:extLst>
            <a:ext uri="{FF2B5EF4-FFF2-40B4-BE49-F238E27FC236}">
              <a16:creationId xmlns:a16="http://schemas.microsoft.com/office/drawing/2014/main" id="{00000000-0008-0000-0000-00003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44" name="Picture 11" hidden="1">
          <a:extLst>
            <a:ext uri="{FF2B5EF4-FFF2-40B4-BE49-F238E27FC236}">
              <a16:creationId xmlns:a16="http://schemas.microsoft.com/office/drawing/2014/main" id="{00000000-0008-0000-0000-00004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46" name="Picture 11" hidden="1">
          <a:extLst>
            <a:ext uri="{FF2B5EF4-FFF2-40B4-BE49-F238E27FC236}">
              <a16:creationId xmlns:a16="http://schemas.microsoft.com/office/drawing/2014/main" id="{00000000-0008-0000-0000-00004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48" name="Picture 11" hidden="1">
          <a:extLst>
            <a:ext uri="{FF2B5EF4-FFF2-40B4-BE49-F238E27FC236}">
              <a16:creationId xmlns:a16="http://schemas.microsoft.com/office/drawing/2014/main" id="{00000000-0008-0000-0000-00004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50" name="Picture 11" hidden="1">
          <a:extLst>
            <a:ext uri="{FF2B5EF4-FFF2-40B4-BE49-F238E27FC236}">
              <a16:creationId xmlns:a16="http://schemas.microsoft.com/office/drawing/2014/main" id="{00000000-0008-0000-0000-00004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52" name="Picture 11" hidden="1">
          <a:extLst>
            <a:ext uri="{FF2B5EF4-FFF2-40B4-BE49-F238E27FC236}">
              <a16:creationId xmlns:a16="http://schemas.microsoft.com/office/drawing/2014/main" id="{00000000-0008-0000-0000-00004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54" name="Picture 11" hidden="1">
          <a:extLst>
            <a:ext uri="{FF2B5EF4-FFF2-40B4-BE49-F238E27FC236}">
              <a16:creationId xmlns:a16="http://schemas.microsoft.com/office/drawing/2014/main" id="{00000000-0008-0000-0000-00004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56" name="Picture 11" hidden="1">
          <a:extLst>
            <a:ext uri="{FF2B5EF4-FFF2-40B4-BE49-F238E27FC236}">
              <a16:creationId xmlns:a16="http://schemas.microsoft.com/office/drawing/2014/main" id="{00000000-0008-0000-0000-00004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58" name="Picture 11" hidden="1">
          <a:extLst>
            <a:ext uri="{FF2B5EF4-FFF2-40B4-BE49-F238E27FC236}">
              <a16:creationId xmlns:a16="http://schemas.microsoft.com/office/drawing/2014/main" id="{00000000-0008-0000-0000-00004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60" name="Picture 11" hidden="1">
          <a:extLst>
            <a:ext uri="{FF2B5EF4-FFF2-40B4-BE49-F238E27FC236}">
              <a16:creationId xmlns:a16="http://schemas.microsoft.com/office/drawing/2014/main" id="{00000000-0008-0000-0000-00005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62" name="Picture 11" hidden="1">
          <a:extLst>
            <a:ext uri="{FF2B5EF4-FFF2-40B4-BE49-F238E27FC236}">
              <a16:creationId xmlns:a16="http://schemas.microsoft.com/office/drawing/2014/main" id="{00000000-0008-0000-0000-00005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64" name="Picture 11" hidden="1">
          <a:extLst>
            <a:ext uri="{FF2B5EF4-FFF2-40B4-BE49-F238E27FC236}">
              <a16:creationId xmlns:a16="http://schemas.microsoft.com/office/drawing/2014/main" id="{00000000-0008-0000-0000-00005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66" name="Picture 11" hidden="1">
          <a:extLst>
            <a:ext uri="{FF2B5EF4-FFF2-40B4-BE49-F238E27FC236}">
              <a16:creationId xmlns:a16="http://schemas.microsoft.com/office/drawing/2014/main" id="{00000000-0008-0000-0000-00005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68" name="Picture 11" hidden="1">
          <a:extLst>
            <a:ext uri="{FF2B5EF4-FFF2-40B4-BE49-F238E27FC236}">
              <a16:creationId xmlns:a16="http://schemas.microsoft.com/office/drawing/2014/main" id="{00000000-0008-0000-0000-00005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70" name="Picture 11" hidden="1">
          <a:extLst>
            <a:ext uri="{FF2B5EF4-FFF2-40B4-BE49-F238E27FC236}">
              <a16:creationId xmlns:a16="http://schemas.microsoft.com/office/drawing/2014/main" id="{00000000-0008-0000-0000-00005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72" name="Picture 11" hidden="1">
          <a:extLst>
            <a:ext uri="{FF2B5EF4-FFF2-40B4-BE49-F238E27FC236}">
              <a16:creationId xmlns:a16="http://schemas.microsoft.com/office/drawing/2014/main" id="{00000000-0008-0000-0000-00005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74" name="Picture 11" hidden="1">
          <a:extLst>
            <a:ext uri="{FF2B5EF4-FFF2-40B4-BE49-F238E27FC236}">
              <a16:creationId xmlns:a16="http://schemas.microsoft.com/office/drawing/2014/main" id="{00000000-0008-0000-0000-00005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76" name="Picture 11" hidden="1">
          <a:extLst>
            <a:ext uri="{FF2B5EF4-FFF2-40B4-BE49-F238E27FC236}">
              <a16:creationId xmlns:a16="http://schemas.microsoft.com/office/drawing/2014/main" id="{00000000-0008-0000-0000-00006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78" name="Picture 11" hidden="1">
          <a:extLst>
            <a:ext uri="{FF2B5EF4-FFF2-40B4-BE49-F238E27FC236}">
              <a16:creationId xmlns:a16="http://schemas.microsoft.com/office/drawing/2014/main" id="{00000000-0008-0000-0000-00006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80" name="Picture 11" hidden="1">
          <a:extLst>
            <a:ext uri="{FF2B5EF4-FFF2-40B4-BE49-F238E27FC236}">
              <a16:creationId xmlns:a16="http://schemas.microsoft.com/office/drawing/2014/main" id="{00000000-0008-0000-0000-00006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82" name="Picture 11" hidden="1">
          <a:extLst>
            <a:ext uri="{FF2B5EF4-FFF2-40B4-BE49-F238E27FC236}">
              <a16:creationId xmlns:a16="http://schemas.microsoft.com/office/drawing/2014/main" id="{00000000-0008-0000-0000-00006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84" name="Picture 11" hidden="1">
          <a:extLst>
            <a:ext uri="{FF2B5EF4-FFF2-40B4-BE49-F238E27FC236}">
              <a16:creationId xmlns:a16="http://schemas.microsoft.com/office/drawing/2014/main" id="{00000000-0008-0000-0000-00006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86" name="Picture 11" hidden="1">
          <a:extLst>
            <a:ext uri="{FF2B5EF4-FFF2-40B4-BE49-F238E27FC236}">
              <a16:creationId xmlns:a16="http://schemas.microsoft.com/office/drawing/2014/main" id="{00000000-0008-0000-0000-00006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88" name="Picture 11" hidden="1">
          <a:extLst>
            <a:ext uri="{FF2B5EF4-FFF2-40B4-BE49-F238E27FC236}">
              <a16:creationId xmlns:a16="http://schemas.microsoft.com/office/drawing/2014/main" id="{00000000-0008-0000-0000-00006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90" name="Picture 7789" hidden="1">
          <a:extLst>
            <a:ext uri="{FF2B5EF4-FFF2-40B4-BE49-F238E27FC236}">
              <a16:creationId xmlns:a16="http://schemas.microsoft.com/office/drawing/2014/main" id="{00000000-0008-0000-0000-00006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92" name="Picture 11" hidden="1">
          <a:extLst>
            <a:ext uri="{FF2B5EF4-FFF2-40B4-BE49-F238E27FC236}">
              <a16:creationId xmlns:a16="http://schemas.microsoft.com/office/drawing/2014/main" id="{00000000-0008-0000-0000-00007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94" name="Picture 11" hidden="1">
          <a:extLst>
            <a:ext uri="{FF2B5EF4-FFF2-40B4-BE49-F238E27FC236}">
              <a16:creationId xmlns:a16="http://schemas.microsoft.com/office/drawing/2014/main" id="{00000000-0008-0000-0000-00007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96" name="Picture 11" hidden="1">
          <a:extLst>
            <a:ext uri="{FF2B5EF4-FFF2-40B4-BE49-F238E27FC236}">
              <a16:creationId xmlns:a16="http://schemas.microsoft.com/office/drawing/2014/main" id="{00000000-0008-0000-0000-00007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98" name="Picture 11" hidden="1">
          <a:extLst>
            <a:ext uri="{FF2B5EF4-FFF2-40B4-BE49-F238E27FC236}">
              <a16:creationId xmlns:a16="http://schemas.microsoft.com/office/drawing/2014/main" id="{00000000-0008-0000-0000-00007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00" name="Picture 11" hidden="1">
          <a:extLst>
            <a:ext uri="{FF2B5EF4-FFF2-40B4-BE49-F238E27FC236}">
              <a16:creationId xmlns:a16="http://schemas.microsoft.com/office/drawing/2014/main" id="{00000000-0008-0000-0000-00007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02" name="Picture 11" hidden="1">
          <a:extLst>
            <a:ext uri="{FF2B5EF4-FFF2-40B4-BE49-F238E27FC236}">
              <a16:creationId xmlns:a16="http://schemas.microsoft.com/office/drawing/2014/main" id="{00000000-0008-0000-0000-00007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04" name="Picture 11" hidden="1">
          <a:extLst>
            <a:ext uri="{FF2B5EF4-FFF2-40B4-BE49-F238E27FC236}">
              <a16:creationId xmlns:a16="http://schemas.microsoft.com/office/drawing/2014/main" id="{00000000-0008-0000-0000-00007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06" name="Picture 11" hidden="1">
          <a:extLst>
            <a:ext uri="{FF2B5EF4-FFF2-40B4-BE49-F238E27FC236}">
              <a16:creationId xmlns:a16="http://schemas.microsoft.com/office/drawing/2014/main" id="{00000000-0008-0000-0000-00007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08" name="Picture 11" hidden="1">
          <a:extLst>
            <a:ext uri="{FF2B5EF4-FFF2-40B4-BE49-F238E27FC236}">
              <a16:creationId xmlns:a16="http://schemas.microsoft.com/office/drawing/2014/main" id="{00000000-0008-0000-0000-00008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10" name="Picture 11" hidden="1">
          <a:extLst>
            <a:ext uri="{FF2B5EF4-FFF2-40B4-BE49-F238E27FC236}">
              <a16:creationId xmlns:a16="http://schemas.microsoft.com/office/drawing/2014/main" id="{00000000-0008-0000-0000-00008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12" name="Picture 11" hidden="1">
          <a:extLst>
            <a:ext uri="{FF2B5EF4-FFF2-40B4-BE49-F238E27FC236}">
              <a16:creationId xmlns:a16="http://schemas.microsoft.com/office/drawing/2014/main" id="{00000000-0008-0000-0000-00008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14" name="Picture 11" hidden="1">
          <a:extLst>
            <a:ext uri="{FF2B5EF4-FFF2-40B4-BE49-F238E27FC236}">
              <a16:creationId xmlns:a16="http://schemas.microsoft.com/office/drawing/2014/main" id="{00000000-0008-0000-0000-00008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16" name="Picture 11" hidden="1">
          <a:extLst>
            <a:ext uri="{FF2B5EF4-FFF2-40B4-BE49-F238E27FC236}">
              <a16:creationId xmlns:a16="http://schemas.microsoft.com/office/drawing/2014/main" id="{00000000-0008-0000-0000-00008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18" name="Picture 11" hidden="1">
          <a:extLst>
            <a:ext uri="{FF2B5EF4-FFF2-40B4-BE49-F238E27FC236}">
              <a16:creationId xmlns:a16="http://schemas.microsoft.com/office/drawing/2014/main" id="{00000000-0008-0000-0000-00008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20" name="Picture 11" hidden="1">
          <a:extLst>
            <a:ext uri="{FF2B5EF4-FFF2-40B4-BE49-F238E27FC236}">
              <a16:creationId xmlns:a16="http://schemas.microsoft.com/office/drawing/2014/main" id="{00000000-0008-0000-0000-00008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22" name="Picture 11" hidden="1">
          <a:extLst>
            <a:ext uri="{FF2B5EF4-FFF2-40B4-BE49-F238E27FC236}">
              <a16:creationId xmlns:a16="http://schemas.microsoft.com/office/drawing/2014/main" id="{00000000-0008-0000-0000-00008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24" name="Picture 11" hidden="1">
          <a:extLst>
            <a:ext uri="{FF2B5EF4-FFF2-40B4-BE49-F238E27FC236}">
              <a16:creationId xmlns:a16="http://schemas.microsoft.com/office/drawing/2014/main" id="{00000000-0008-0000-0000-00009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26" name="Picture 11" hidden="1">
          <a:extLst>
            <a:ext uri="{FF2B5EF4-FFF2-40B4-BE49-F238E27FC236}">
              <a16:creationId xmlns:a16="http://schemas.microsoft.com/office/drawing/2014/main" id="{00000000-0008-0000-0000-00009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28" name="Picture 11" hidden="1">
          <a:extLst>
            <a:ext uri="{FF2B5EF4-FFF2-40B4-BE49-F238E27FC236}">
              <a16:creationId xmlns:a16="http://schemas.microsoft.com/office/drawing/2014/main" id="{00000000-0008-0000-0000-00009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30" name="Picture 11" hidden="1">
          <a:extLst>
            <a:ext uri="{FF2B5EF4-FFF2-40B4-BE49-F238E27FC236}">
              <a16:creationId xmlns:a16="http://schemas.microsoft.com/office/drawing/2014/main" id="{00000000-0008-0000-0000-00009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32" name="Picture 11" hidden="1">
          <a:extLst>
            <a:ext uri="{FF2B5EF4-FFF2-40B4-BE49-F238E27FC236}">
              <a16:creationId xmlns:a16="http://schemas.microsoft.com/office/drawing/2014/main" id="{00000000-0008-0000-0000-00009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34" name="Picture 11" hidden="1">
          <a:extLst>
            <a:ext uri="{FF2B5EF4-FFF2-40B4-BE49-F238E27FC236}">
              <a16:creationId xmlns:a16="http://schemas.microsoft.com/office/drawing/2014/main" id="{00000000-0008-0000-0000-00009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36" name="Picture 11" hidden="1">
          <a:extLst>
            <a:ext uri="{FF2B5EF4-FFF2-40B4-BE49-F238E27FC236}">
              <a16:creationId xmlns:a16="http://schemas.microsoft.com/office/drawing/2014/main" id="{00000000-0008-0000-0000-00009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38" name="Picture 11" hidden="1">
          <a:extLst>
            <a:ext uri="{FF2B5EF4-FFF2-40B4-BE49-F238E27FC236}">
              <a16:creationId xmlns:a16="http://schemas.microsoft.com/office/drawing/2014/main" id="{00000000-0008-0000-0000-00009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40" name="Picture 11" hidden="1">
          <a:extLst>
            <a:ext uri="{FF2B5EF4-FFF2-40B4-BE49-F238E27FC236}">
              <a16:creationId xmlns:a16="http://schemas.microsoft.com/office/drawing/2014/main" id="{00000000-0008-0000-0000-0000A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42" name="Picture 11" hidden="1">
          <a:extLst>
            <a:ext uri="{FF2B5EF4-FFF2-40B4-BE49-F238E27FC236}">
              <a16:creationId xmlns:a16="http://schemas.microsoft.com/office/drawing/2014/main" id="{00000000-0008-0000-0000-0000A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44" name="Picture 11" hidden="1">
          <a:extLst>
            <a:ext uri="{FF2B5EF4-FFF2-40B4-BE49-F238E27FC236}">
              <a16:creationId xmlns:a16="http://schemas.microsoft.com/office/drawing/2014/main" id="{00000000-0008-0000-0000-0000A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46" name="Picture 11" hidden="1">
          <a:extLst>
            <a:ext uri="{FF2B5EF4-FFF2-40B4-BE49-F238E27FC236}">
              <a16:creationId xmlns:a16="http://schemas.microsoft.com/office/drawing/2014/main" id="{00000000-0008-0000-0000-0000A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48" name="Picture 11" hidden="1">
          <a:extLst>
            <a:ext uri="{FF2B5EF4-FFF2-40B4-BE49-F238E27FC236}">
              <a16:creationId xmlns:a16="http://schemas.microsoft.com/office/drawing/2014/main" id="{00000000-0008-0000-0000-0000A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50" name="Picture 11" hidden="1">
          <a:extLst>
            <a:ext uri="{FF2B5EF4-FFF2-40B4-BE49-F238E27FC236}">
              <a16:creationId xmlns:a16="http://schemas.microsoft.com/office/drawing/2014/main" id="{00000000-0008-0000-0000-0000A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52" name="Picture 11" hidden="1">
          <a:extLst>
            <a:ext uri="{FF2B5EF4-FFF2-40B4-BE49-F238E27FC236}">
              <a16:creationId xmlns:a16="http://schemas.microsoft.com/office/drawing/2014/main" id="{00000000-0008-0000-0000-0000A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54" name="Picture 11" hidden="1">
          <a:extLst>
            <a:ext uri="{FF2B5EF4-FFF2-40B4-BE49-F238E27FC236}">
              <a16:creationId xmlns:a16="http://schemas.microsoft.com/office/drawing/2014/main" id="{00000000-0008-0000-0000-0000A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56" name="Picture 11" hidden="1">
          <a:extLst>
            <a:ext uri="{FF2B5EF4-FFF2-40B4-BE49-F238E27FC236}">
              <a16:creationId xmlns:a16="http://schemas.microsoft.com/office/drawing/2014/main" id="{00000000-0008-0000-0000-0000B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58" name="Picture 11" hidden="1">
          <a:extLst>
            <a:ext uri="{FF2B5EF4-FFF2-40B4-BE49-F238E27FC236}">
              <a16:creationId xmlns:a16="http://schemas.microsoft.com/office/drawing/2014/main" id="{00000000-0008-0000-0000-0000B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60" name="Picture 11" hidden="1">
          <a:extLst>
            <a:ext uri="{FF2B5EF4-FFF2-40B4-BE49-F238E27FC236}">
              <a16:creationId xmlns:a16="http://schemas.microsoft.com/office/drawing/2014/main" id="{00000000-0008-0000-0000-0000B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62" name="Picture 11" hidden="1">
          <a:extLst>
            <a:ext uri="{FF2B5EF4-FFF2-40B4-BE49-F238E27FC236}">
              <a16:creationId xmlns:a16="http://schemas.microsoft.com/office/drawing/2014/main" id="{00000000-0008-0000-0000-0000B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64" name="Picture 11" hidden="1">
          <a:extLst>
            <a:ext uri="{FF2B5EF4-FFF2-40B4-BE49-F238E27FC236}">
              <a16:creationId xmlns:a16="http://schemas.microsoft.com/office/drawing/2014/main" id="{00000000-0008-0000-0000-0000B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66" name="Picture 11" hidden="1">
          <a:extLst>
            <a:ext uri="{FF2B5EF4-FFF2-40B4-BE49-F238E27FC236}">
              <a16:creationId xmlns:a16="http://schemas.microsoft.com/office/drawing/2014/main" id="{00000000-0008-0000-0000-0000B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68" name="Picture 11" hidden="1">
          <a:extLst>
            <a:ext uri="{FF2B5EF4-FFF2-40B4-BE49-F238E27FC236}">
              <a16:creationId xmlns:a16="http://schemas.microsoft.com/office/drawing/2014/main" id="{00000000-0008-0000-0000-0000B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70" name="Picture 11" hidden="1">
          <a:extLst>
            <a:ext uri="{FF2B5EF4-FFF2-40B4-BE49-F238E27FC236}">
              <a16:creationId xmlns:a16="http://schemas.microsoft.com/office/drawing/2014/main" id="{00000000-0008-0000-0000-0000B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72" name="Picture 11" hidden="1">
          <a:extLst>
            <a:ext uri="{FF2B5EF4-FFF2-40B4-BE49-F238E27FC236}">
              <a16:creationId xmlns:a16="http://schemas.microsoft.com/office/drawing/2014/main" id="{00000000-0008-0000-0000-0000C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74" name="Picture 11" hidden="1">
          <a:extLst>
            <a:ext uri="{FF2B5EF4-FFF2-40B4-BE49-F238E27FC236}">
              <a16:creationId xmlns:a16="http://schemas.microsoft.com/office/drawing/2014/main" id="{00000000-0008-0000-0000-0000C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76" name="Picture 11" hidden="1">
          <a:extLst>
            <a:ext uri="{FF2B5EF4-FFF2-40B4-BE49-F238E27FC236}">
              <a16:creationId xmlns:a16="http://schemas.microsoft.com/office/drawing/2014/main" id="{00000000-0008-0000-0000-0000C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78" name="Picture 11" hidden="1">
          <a:extLst>
            <a:ext uri="{FF2B5EF4-FFF2-40B4-BE49-F238E27FC236}">
              <a16:creationId xmlns:a16="http://schemas.microsoft.com/office/drawing/2014/main" id="{00000000-0008-0000-0000-0000C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80" name="Picture 11" hidden="1">
          <a:extLst>
            <a:ext uri="{FF2B5EF4-FFF2-40B4-BE49-F238E27FC236}">
              <a16:creationId xmlns:a16="http://schemas.microsoft.com/office/drawing/2014/main" id="{00000000-0008-0000-0000-0000C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82" name="Picture 11" hidden="1">
          <a:extLst>
            <a:ext uri="{FF2B5EF4-FFF2-40B4-BE49-F238E27FC236}">
              <a16:creationId xmlns:a16="http://schemas.microsoft.com/office/drawing/2014/main" id="{00000000-0008-0000-0000-0000C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84" name="Picture 11" hidden="1">
          <a:extLst>
            <a:ext uri="{FF2B5EF4-FFF2-40B4-BE49-F238E27FC236}">
              <a16:creationId xmlns:a16="http://schemas.microsoft.com/office/drawing/2014/main" id="{00000000-0008-0000-0000-0000C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86" name="Picture 11" hidden="1">
          <a:extLst>
            <a:ext uri="{FF2B5EF4-FFF2-40B4-BE49-F238E27FC236}">
              <a16:creationId xmlns:a16="http://schemas.microsoft.com/office/drawing/2014/main" id="{00000000-0008-0000-0000-0000C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88" name="Picture 11" hidden="1">
          <a:extLst>
            <a:ext uri="{FF2B5EF4-FFF2-40B4-BE49-F238E27FC236}">
              <a16:creationId xmlns:a16="http://schemas.microsoft.com/office/drawing/2014/main" id="{00000000-0008-0000-0000-0000D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90" name="Picture 11" hidden="1">
          <a:extLst>
            <a:ext uri="{FF2B5EF4-FFF2-40B4-BE49-F238E27FC236}">
              <a16:creationId xmlns:a16="http://schemas.microsoft.com/office/drawing/2014/main" id="{00000000-0008-0000-0000-0000D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92" name="Picture 11" hidden="1">
          <a:extLst>
            <a:ext uri="{FF2B5EF4-FFF2-40B4-BE49-F238E27FC236}">
              <a16:creationId xmlns:a16="http://schemas.microsoft.com/office/drawing/2014/main" id="{00000000-0008-0000-0000-0000D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94" name="Picture 11" hidden="1">
          <a:extLst>
            <a:ext uri="{FF2B5EF4-FFF2-40B4-BE49-F238E27FC236}">
              <a16:creationId xmlns:a16="http://schemas.microsoft.com/office/drawing/2014/main" id="{00000000-0008-0000-0000-0000D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96" name="Picture 11" hidden="1">
          <a:extLst>
            <a:ext uri="{FF2B5EF4-FFF2-40B4-BE49-F238E27FC236}">
              <a16:creationId xmlns:a16="http://schemas.microsoft.com/office/drawing/2014/main" id="{00000000-0008-0000-0000-0000D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98" name="Picture 7897" hidden="1">
          <a:extLst>
            <a:ext uri="{FF2B5EF4-FFF2-40B4-BE49-F238E27FC236}">
              <a16:creationId xmlns:a16="http://schemas.microsoft.com/office/drawing/2014/main" id="{00000000-0008-0000-0000-0000D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00" name="Picture 11" hidden="1">
          <a:extLst>
            <a:ext uri="{FF2B5EF4-FFF2-40B4-BE49-F238E27FC236}">
              <a16:creationId xmlns:a16="http://schemas.microsoft.com/office/drawing/2014/main" id="{00000000-0008-0000-0000-0000D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02" name="Picture 11" hidden="1">
          <a:extLst>
            <a:ext uri="{FF2B5EF4-FFF2-40B4-BE49-F238E27FC236}">
              <a16:creationId xmlns:a16="http://schemas.microsoft.com/office/drawing/2014/main" id="{00000000-0008-0000-0000-0000D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04" name="Picture 11" hidden="1">
          <a:extLst>
            <a:ext uri="{FF2B5EF4-FFF2-40B4-BE49-F238E27FC236}">
              <a16:creationId xmlns:a16="http://schemas.microsoft.com/office/drawing/2014/main" id="{00000000-0008-0000-0000-0000E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06" name="Picture 11" hidden="1">
          <a:extLst>
            <a:ext uri="{FF2B5EF4-FFF2-40B4-BE49-F238E27FC236}">
              <a16:creationId xmlns:a16="http://schemas.microsoft.com/office/drawing/2014/main" id="{00000000-0008-0000-0000-0000E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08" name="Picture 11" hidden="1">
          <a:extLst>
            <a:ext uri="{FF2B5EF4-FFF2-40B4-BE49-F238E27FC236}">
              <a16:creationId xmlns:a16="http://schemas.microsoft.com/office/drawing/2014/main" id="{00000000-0008-0000-0000-0000E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10" name="Picture 11" hidden="1">
          <a:extLst>
            <a:ext uri="{FF2B5EF4-FFF2-40B4-BE49-F238E27FC236}">
              <a16:creationId xmlns:a16="http://schemas.microsoft.com/office/drawing/2014/main" id="{00000000-0008-0000-0000-0000E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12" name="Picture 11" hidden="1">
          <a:extLst>
            <a:ext uri="{FF2B5EF4-FFF2-40B4-BE49-F238E27FC236}">
              <a16:creationId xmlns:a16="http://schemas.microsoft.com/office/drawing/2014/main" id="{00000000-0008-0000-0000-0000E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14" name="Picture 11" hidden="1">
          <a:extLst>
            <a:ext uri="{FF2B5EF4-FFF2-40B4-BE49-F238E27FC236}">
              <a16:creationId xmlns:a16="http://schemas.microsoft.com/office/drawing/2014/main" id="{00000000-0008-0000-0000-0000E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16" name="Picture 11" hidden="1">
          <a:extLst>
            <a:ext uri="{FF2B5EF4-FFF2-40B4-BE49-F238E27FC236}">
              <a16:creationId xmlns:a16="http://schemas.microsoft.com/office/drawing/2014/main" id="{00000000-0008-0000-0000-0000E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18" name="Picture 11" hidden="1">
          <a:extLst>
            <a:ext uri="{FF2B5EF4-FFF2-40B4-BE49-F238E27FC236}">
              <a16:creationId xmlns:a16="http://schemas.microsoft.com/office/drawing/2014/main" id="{00000000-0008-0000-0000-0000E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20" name="Picture 11" hidden="1">
          <a:extLst>
            <a:ext uri="{FF2B5EF4-FFF2-40B4-BE49-F238E27FC236}">
              <a16:creationId xmlns:a16="http://schemas.microsoft.com/office/drawing/2014/main" id="{00000000-0008-0000-0000-0000F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22" name="Picture 11" hidden="1">
          <a:extLst>
            <a:ext uri="{FF2B5EF4-FFF2-40B4-BE49-F238E27FC236}">
              <a16:creationId xmlns:a16="http://schemas.microsoft.com/office/drawing/2014/main" id="{00000000-0008-0000-0000-0000F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24" name="Picture 11" hidden="1">
          <a:extLst>
            <a:ext uri="{FF2B5EF4-FFF2-40B4-BE49-F238E27FC236}">
              <a16:creationId xmlns:a16="http://schemas.microsoft.com/office/drawing/2014/main" id="{00000000-0008-0000-0000-0000F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26" name="Picture 11" hidden="1">
          <a:extLst>
            <a:ext uri="{FF2B5EF4-FFF2-40B4-BE49-F238E27FC236}">
              <a16:creationId xmlns:a16="http://schemas.microsoft.com/office/drawing/2014/main" id="{00000000-0008-0000-0000-0000F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28" name="Picture 11" hidden="1">
          <a:extLst>
            <a:ext uri="{FF2B5EF4-FFF2-40B4-BE49-F238E27FC236}">
              <a16:creationId xmlns:a16="http://schemas.microsoft.com/office/drawing/2014/main" id="{00000000-0008-0000-0000-0000F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30" name="Picture 11" hidden="1">
          <a:extLst>
            <a:ext uri="{FF2B5EF4-FFF2-40B4-BE49-F238E27FC236}">
              <a16:creationId xmlns:a16="http://schemas.microsoft.com/office/drawing/2014/main" id="{00000000-0008-0000-0000-0000F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32" name="Picture 11" hidden="1">
          <a:extLst>
            <a:ext uri="{FF2B5EF4-FFF2-40B4-BE49-F238E27FC236}">
              <a16:creationId xmlns:a16="http://schemas.microsoft.com/office/drawing/2014/main" id="{00000000-0008-0000-0000-0000F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34" name="Picture 11" hidden="1">
          <a:extLst>
            <a:ext uri="{FF2B5EF4-FFF2-40B4-BE49-F238E27FC236}">
              <a16:creationId xmlns:a16="http://schemas.microsoft.com/office/drawing/2014/main" id="{00000000-0008-0000-0000-0000F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36" name="Picture 11" hidden="1">
          <a:extLst>
            <a:ext uri="{FF2B5EF4-FFF2-40B4-BE49-F238E27FC236}">
              <a16:creationId xmlns:a16="http://schemas.microsoft.com/office/drawing/2014/main" id="{00000000-0008-0000-0000-00000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38" name="Picture 11" hidden="1">
          <a:extLst>
            <a:ext uri="{FF2B5EF4-FFF2-40B4-BE49-F238E27FC236}">
              <a16:creationId xmlns:a16="http://schemas.microsoft.com/office/drawing/2014/main" id="{00000000-0008-0000-0000-00000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40" name="Picture 11" hidden="1">
          <a:extLst>
            <a:ext uri="{FF2B5EF4-FFF2-40B4-BE49-F238E27FC236}">
              <a16:creationId xmlns:a16="http://schemas.microsoft.com/office/drawing/2014/main" id="{00000000-0008-0000-0000-00000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42" name="Picture 11" hidden="1">
          <a:extLst>
            <a:ext uri="{FF2B5EF4-FFF2-40B4-BE49-F238E27FC236}">
              <a16:creationId xmlns:a16="http://schemas.microsoft.com/office/drawing/2014/main" id="{00000000-0008-0000-0000-00000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44" name="Picture 11" hidden="1">
          <a:extLst>
            <a:ext uri="{FF2B5EF4-FFF2-40B4-BE49-F238E27FC236}">
              <a16:creationId xmlns:a16="http://schemas.microsoft.com/office/drawing/2014/main" id="{00000000-0008-0000-0000-00000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46" name="Picture 11" hidden="1">
          <a:extLst>
            <a:ext uri="{FF2B5EF4-FFF2-40B4-BE49-F238E27FC236}">
              <a16:creationId xmlns:a16="http://schemas.microsoft.com/office/drawing/2014/main" id="{00000000-0008-0000-0000-00000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48" name="Picture 11" hidden="1">
          <a:extLst>
            <a:ext uri="{FF2B5EF4-FFF2-40B4-BE49-F238E27FC236}">
              <a16:creationId xmlns:a16="http://schemas.microsoft.com/office/drawing/2014/main" id="{00000000-0008-0000-0000-00000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50" name="Picture 11" hidden="1">
          <a:extLst>
            <a:ext uri="{FF2B5EF4-FFF2-40B4-BE49-F238E27FC236}">
              <a16:creationId xmlns:a16="http://schemas.microsoft.com/office/drawing/2014/main" id="{00000000-0008-0000-0000-00000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52" name="Picture 11" hidden="1">
          <a:extLst>
            <a:ext uri="{FF2B5EF4-FFF2-40B4-BE49-F238E27FC236}">
              <a16:creationId xmlns:a16="http://schemas.microsoft.com/office/drawing/2014/main" id="{00000000-0008-0000-0000-00001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54" name="Picture 11" hidden="1">
          <a:extLst>
            <a:ext uri="{FF2B5EF4-FFF2-40B4-BE49-F238E27FC236}">
              <a16:creationId xmlns:a16="http://schemas.microsoft.com/office/drawing/2014/main" id="{00000000-0008-0000-0000-00001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56" name="Picture 11" hidden="1">
          <a:extLst>
            <a:ext uri="{FF2B5EF4-FFF2-40B4-BE49-F238E27FC236}">
              <a16:creationId xmlns:a16="http://schemas.microsoft.com/office/drawing/2014/main" id="{00000000-0008-0000-0000-00001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58" name="Picture 11" hidden="1">
          <a:extLst>
            <a:ext uri="{FF2B5EF4-FFF2-40B4-BE49-F238E27FC236}">
              <a16:creationId xmlns:a16="http://schemas.microsoft.com/office/drawing/2014/main" id="{00000000-0008-0000-0000-00001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60" name="Picture 11" hidden="1">
          <a:extLst>
            <a:ext uri="{FF2B5EF4-FFF2-40B4-BE49-F238E27FC236}">
              <a16:creationId xmlns:a16="http://schemas.microsoft.com/office/drawing/2014/main" id="{00000000-0008-0000-0000-00001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62" name="Picture 11" hidden="1">
          <a:extLst>
            <a:ext uri="{FF2B5EF4-FFF2-40B4-BE49-F238E27FC236}">
              <a16:creationId xmlns:a16="http://schemas.microsoft.com/office/drawing/2014/main" id="{00000000-0008-0000-0000-00001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64" name="Picture 11" hidden="1">
          <a:extLst>
            <a:ext uri="{FF2B5EF4-FFF2-40B4-BE49-F238E27FC236}">
              <a16:creationId xmlns:a16="http://schemas.microsoft.com/office/drawing/2014/main" id="{00000000-0008-0000-0000-00001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66" name="Picture 11" hidden="1">
          <a:extLst>
            <a:ext uri="{FF2B5EF4-FFF2-40B4-BE49-F238E27FC236}">
              <a16:creationId xmlns:a16="http://schemas.microsoft.com/office/drawing/2014/main" id="{00000000-0008-0000-0000-00001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68" name="Picture 11" hidden="1">
          <a:extLst>
            <a:ext uri="{FF2B5EF4-FFF2-40B4-BE49-F238E27FC236}">
              <a16:creationId xmlns:a16="http://schemas.microsoft.com/office/drawing/2014/main" id="{00000000-0008-0000-0000-00002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70" name="Picture 11" hidden="1">
          <a:extLst>
            <a:ext uri="{FF2B5EF4-FFF2-40B4-BE49-F238E27FC236}">
              <a16:creationId xmlns:a16="http://schemas.microsoft.com/office/drawing/2014/main" id="{00000000-0008-0000-0000-00002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72" name="Picture 11" hidden="1">
          <a:extLst>
            <a:ext uri="{FF2B5EF4-FFF2-40B4-BE49-F238E27FC236}">
              <a16:creationId xmlns:a16="http://schemas.microsoft.com/office/drawing/2014/main" id="{00000000-0008-0000-0000-00002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74" name="Picture 11" hidden="1">
          <a:extLst>
            <a:ext uri="{FF2B5EF4-FFF2-40B4-BE49-F238E27FC236}">
              <a16:creationId xmlns:a16="http://schemas.microsoft.com/office/drawing/2014/main" id="{00000000-0008-0000-0000-00002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76" name="Picture 11" hidden="1">
          <a:extLst>
            <a:ext uri="{FF2B5EF4-FFF2-40B4-BE49-F238E27FC236}">
              <a16:creationId xmlns:a16="http://schemas.microsoft.com/office/drawing/2014/main" id="{00000000-0008-0000-0000-00002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78" name="Picture 11" hidden="1">
          <a:extLst>
            <a:ext uri="{FF2B5EF4-FFF2-40B4-BE49-F238E27FC236}">
              <a16:creationId xmlns:a16="http://schemas.microsoft.com/office/drawing/2014/main" id="{00000000-0008-0000-0000-00002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80" name="Picture 11" hidden="1">
          <a:extLst>
            <a:ext uri="{FF2B5EF4-FFF2-40B4-BE49-F238E27FC236}">
              <a16:creationId xmlns:a16="http://schemas.microsoft.com/office/drawing/2014/main" id="{00000000-0008-0000-0000-00002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82" name="Picture 11" hidden="1">
          <a:extLst>
            <a:ext uri="{FF2B5EF4-FFF2-40B4-BE49-F238E27FC236}">
              <a16:creationId xmlns:a16="http://schemas.microsoft.com/office/drawing/2014/main" id="{00000000-0008-0000-0000-00002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84" name="Picture 11" hidden="1">
          <a:extLst>
            <a:ext uri="{FF2B5EF4-FFF2-40B4-BE49-F238E27FC236}">
              <a16:creationId xmlns:a16="http://schemas.microsoft.com/office/drawing/2014/main" id="{00000000-0008-0000-0000-00003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86" name="Picture 11" hidden="1">
          <a:extLst>
            <a:ext uri="{FF2B5EF4-FFF2-40B4-BE49-F238E27FC236}">
              <a16:creationId xmlns:a16="http://schemas.microsoft.com/office/drawing/2014/main" id="{00000000-0008-0000-0000-00003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88" name="Picture 11" hidden="1">
          <a:extLst>
            <a:ext uri="{FF2B5EF4-FFF2-40B4-BE49-F238E27FC236}">
              <a16:creationId xmlns:a16="http://schemas.microsoft.com/office/drawing/2014/main" id="{00000000-0008-0000-0000-00003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90" name="Picture 11" hidden="1">
          <a:extLst>
            <a:ext uri="{FF2B5EF4-FFF2-40B4-BE49-F238E27FC236}">
              <a16:creationId xmlns:a16="http://schemas.microsoft.com/office/drawing/2014/main" id="{00000000-0008-0000-0000-00003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92" name="Picture 11" hidden="1">
          <a:extLst>
            <a:ext uri="{FF2B5EF4-FFF2-40B4-BE49-F238E27FC236}">
              <a16:creationId xmlns:a16="http://schemas.microsoft.com/office/drawing/2014/main" id="{00000000-0008-0000-0000-00003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94" name="Picture 11" hidden="1">
          <a:extLst>
            <a:ext uri="{FF2B5EF4-FFF2-40B4-BE49-F238E27FC236}">
              <a16:creationId xmlns:a16="http://schemas.microsoft.com/office/drawing/2014/main" id="{00000000-0008-0000-0000-00003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96" name="Picture 11" hidden="1">
          <a:extLst>
            <a:ext uri="{FF2B5EF4-FFF2-40B4-BE49-F238E27FC236}">
              <a16:creationId xmlns:a16="http://schemas.microsoft.com/office/drawing/2014/main" id="{00000000-0008-0000-0000-00003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7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F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7998" name="Picture 11" hidden="1">
          <a:extLst>
            <a:ext uri="{FF2B5EF4-FFF2-40B4-BE49-F238E27FC236}">
              <a16:creationId xmlns:a16="http://schemas.microsoft.com/office/drawing/2014/main" id="{00000000-0008-0000-0000-00003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00" name="Picture 11" hidden="1">
          <a:extLst>
            <a:ext uri="{FF2B5EF4-FFF2-40B4-BE49-F238E27FC236}">
              <a16:creationId xmlns:a16="http://schemas.microsoft.com/office/drawing/2014/main" id="{00000000-0008-0000-0000-00004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02" name="Picture 11" hidden="1">
          <a:extLst>
            <a:ext uri="{FF2B5EF4-FFF2-40B4-BE49-F238E27FC236}">
              <a16:creationId xmlns:a16="http://schemas.microsoft.com/office/drawing/2014/main" id="{00000000-0008-0000-0000-00004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04" name="Picture 11" hidden="1">
          <a:extLst>
            <a:ext uri="{FF2B5EF4-FFF2-40B4-BE49-F238E27FC236}">
              <a16:creationId xmlns:a16="http://schemas.microsoft.com/office/drawing/2014/main" id="{00000000-0008-0000-0000-00004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06" name="Picture 8005" hidden="1">
          <a:extLst>
            <a:ext uri="{FF2B5EF4-FFF2-40B4-BE49-F238E27FC236}">
              <a16:creationId xmlns:a16="http://schemas.microsoft.com/office/drawing/2014/main" id="{00000000-0008-0000-0000-00004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08" name="Picture 11" hidden="1">
          <a:extLst>
            <a:ext uri="{FF2B5EF4-FFF2-40B4-BE49-F238E27FC236}">
              <a16:creationId xmlns:a16="http://schemas.microsoft.com/office/drawing/2014/main" id="{00000000-0008-0000-0000-00004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10" name="Picture 11" hidden="1">
          <a:extLst>
            <a:ext uri="{FF2B5EF4-FFF2-40B4-BE49-F238E27FC236}">
              <a16:creationId xmlns:a16="http://schemas.microsoft.com/office/drawing/2014/main" id="{00000000-0008-0000-0000-00004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12" name="Picture 11" hidden="1">
          <a:extLst>
            <a:ext uri="{FF2B5EF4-FFF2-40B4-BE49-F238E27FC236}">
              <a16:creationId xmlns:a16="http://schemas.microsoft.com/office/drawing/2014/main" id="{00000000-0008-0000-0000-00004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14" name="Picture 11" hidden="1">
          <a:extLst>
            <a:ext uri="{FF2B5EF4-FFF2-40B4-BE49-F238E27FC236}">
              <a16:creationId xmlns:a16="http://schemas.microsoft.com/office/drawing/2014/main" id="{00000000-0008-0000-0000-00004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16" name="Picture 11" hidden="1">
          <a:extLst>
            <a:ext uri="{FF2B5EF4-FFF2-40B4-BE49-F238E27FC236}">
              <a16:creationId xmlns:a16="http://schemas.microsoft.com/office/drawing/2014/main" id="{00000000-0008-0000-0000-00005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18" name="Picture 11" hidden="1">
          <a:extLst>
            <a:ext uri="{FF2B5EF4-FFF2-40B4-BE49-F238E27FC236}">
              <a16:creationId xmlns:a16="http://schemas.microsoft.com/office/drawing/2014/main" id="{00000000-0008-0000-0000-00005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20" name="Picture 11" hidden="1">
          <a:extLst>
            <a:ext uri="{FF2B5EF4-FFF2-40B4-BE49-F238E27FC236}">
              <a16:creationId xmlns:a16="http://schemas.microsoft.com/office/drawing/2014/main" id="{00000000-0008-0000-0000-00005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22" name="Picture 11" hidden="1">
          <a:extLst>
            <a:ext uri="{FF2B5EF4-FFF2-40B4-BE49-F238E27FC236}">
              <a16:creationId xmlns:a16="http://schemas.microsoft.com/office/drawing/2014/main" id="{00000000-0008-0000-0000-00005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24" name="Picture 11" hidden="1">
          <a:extLst>
            <a:ext uri="{FF2B5EF4-FFF2-40B4-BE49-F238E27FC236}">
              <a16:creationId xmlns:a16="http://schemas.microsoft.com/office/drawing/2014/main" id="{00000000-0008-0000-0000-00005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26" name="Picture 11" hidden="1">
          <a:extLst>
            <a:ext uri="{FF2B5EF4-FFF2-40B4-BE49-F238E27FC236}">
              <a16:creationId xmlns:a16="http://schemas.microsoft.com/office/drawing/2014/main" id="{00000000-0008-0000-0000-00005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28" name="Picture 11" hidden="1">
          <a:extLst>
            <a:ext uri="{FF2B5EF4-FFF2-40B4-BE49-F238E27FC236}">
              <a16:creationId xmlns:a16="http://schemas.microsoft.com/office/drawing/2014/main" id="{00000000-0008-0000-0000-00005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30" name="Picture 11" hidden="1">
          <a:extLst>
            <a:ext uri="{FF2B5EF4-FFF2-40B4-BE49-F238E27FC236}">
              <a16:creationId xmlns:a16="http://schemas.microsoft.com/office/drawing/2014/main" id="{00000000-0008-0000-0000-00005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32" name="Picture 11" hidden="1">
          <a:extLst>
            <a:ext uri="{FF2B5EF4-FFF2-40B4-BE49-F238E27FC236}">
              <a16:creationId xmlns:a16="http://schemas.microsoft.com/office/drawing/2014/main" id="{00000000-0008-0000-0000-00006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34" name="Picture 11" hidden="1">
          <a:extLst>
            <a:ext uri="{FF2B5EF4-FFF2-40B4-BE49-F238E27FC236}">
              <a16:creationId xmlns:a16="http://schemas.microsoft.com/office/drawing/2014/main" id="{00000000-0008-0000-0000-00006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36" name="Picture 11" hidden="1">
          <a:extLst>
            <a:ext uri="{FF2B5EF4-FFF2-40B4-BE49-F238E27FC236}">
              <a16:creationId xmlns:a16="http://schemas.microsoft.com/office/drawing/2014/main" id="{00000000-0008-0000-0000-00006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38" name="Picture 11" hidden="1">
          <a:extLst>
            <a:ext uri="{FF2B5EF4-FFF2-40B4-BE49-F238E27FC236}">
              <a16:creationId xmlns:a16="http://schemas.microsoft.com/office/drawing/2014/main" id="{00000000-0008-0000-0000-00006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40" name="Picture 11" hidden="1">
          <a:extLst>
            <a:ext uri="{FF2B5EF4-FFF2-40B4-BE49-F238E27FC236}">
              <a16:creationId xmlns:a16="http://schemas.microsoft.com/office/drawing/2014/main" id="{00000000-0008-0000-0000-00006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42" name="Picture 11" hidden="1">
          <a:extLst>
            <a:ext uri="{FF2B5EF4-FFF2-40B4-BE49-F238E27FC236}">
              <a16:creationId xmlns:a16="http://schemas.microsoft.com/office/drawing/2014/main" id="{00000000-0008-0000-0000-00006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44" name="Picture 11" hidden="1">
          <a:extLst>
            <a:ext uri="{FF2B5EF4-FFF2-40B4-BE49-F238E27FC236}">
              <a16:creationId xmlns:a16="http://schemas.microsoft.com/office/drawing/2014/main" id="{00000000-0008-0000-0000-00006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46" name="Picture 11" hidden="1">
          <a:extLst>
            <a:ext uri="{FF2B5EF4-FFF2-40B4-BE49-F238E27FC236}">
              <a16:creationId xmlns:a16="http://schemas.microsoft.com/office/drawing/2014/main" id="{00000000-0008-0000-0000-00006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48" name="Picture 11" hidden="1">
          <a:extLst>
            <a:ext uri="{FF2B5EF4-FFF2-40B4-BE49-F238E27FC236}">
              <a16:creationId xmlns:a16="http://schemas.microsoft.com/office/drawing/2014/main" id="{00000000-0008-0000-0000-00007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50" name="Picture 11" hidden="1">
          <a:extLst>
            <a:ext uri="{FF2B5EF4-FFF2-40B4-BE49-F238E27FC236}">
              <a16:creationId xmlns:a16="http://schemas.microsoft.com/office/drawing/2014/main" id="{00000000-0008-0000-0000-00007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52" name="Picture 11" hidden="1">
          <a:extLst>
            <a:ext uri="{FF2B5EF4-FFF2-40B4-BE49-F238E27FC236}">
              <a16:creationId xmlns:a16="http://schemas.microsoft.com/office/drawing/2014/main" id="{00000000-0008-0000-0000-00007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54" name="Picture 11" hidden="1">
          <a:extLst>
            <a:ext uri="{FF2B5EF4-FFF2-40B4-BE49-F238E27FC236}">
              <a16:creationId xmlns:a16="http://schemas.microsoft.com/office/drawing/2014/main" id="{00000000-0008-0000-0000-00007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56" name="Picture 11" hidden="1">
          <a:extLst>
            <a:ext uri="{FF2B5EF4-FFF2-40B4-BE49-F238E27FC236}">
              <a16:creationId xmlns:a16="http://schemas.microsoft.com/office/drawing/2014/main" id="{00000000-0008-0000-0000-00007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58" name="Picture 11" hidden="1">
          <a:extLst>
            <a:ext uri="{FF2B5EF4-FFF2-40B4-BE49-F238E27FC236}">
              <a16:creationId xmlns:a16="http://schemas.microsoft.com/office/drawing/2014/main" id="{00000000-0008-0000-0000-00007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60" name="Picture 11" hidden="1">
          <a:extLst>
            <a:ext uri="{FF2B5EF4-FFF2-40B4-BE49-F238E27FC236}">
              <a16:creationId xmlns:a16="http://schemas.microsoft.com/office/drawing/2014/main" id="{00000000-0008-0000-0000-00007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62" name="Picture 11" hidden="1">
          <a:extLst>
            <a:ext uri="{FF2B5EF4-FFF2-40B4-BE49-F238E27FC236}">
              <a16:creationId xmlns:a16="http://schemas.microsoft.com/office/drawing/2014/main" id="{00000000-0008-0000-0000-00007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64" name="Picture 11" hidden="1">
          <a:extLst>
            <a:ext uri="{FF2B5EF4-FFF2-40B4-BE49-F238E27FC236}">
              <a16:creationId xmlns:a16="http://schemas.microsoft.com/office/drawing/2014/main" id="{00000000-0008-0000-0000-00008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66" name="Picture 11" hidden="1">
          <a:extLst>
            <a:ext uri="{FF2B5EF4-FFF2-40B4-BE49-F238E27FC236}">
              <a16:creationId xmlns:a16="http://schemas.microsoft.com/office/drawing/2014/main" id="{00000000-0008-0000-0000-00008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68" name="Picture 11" hidden="1">
          <a:extLst>
            <a:ext uri="{FF2B5EF4-FFF2-40B4-BE49-F238E27FC236}">
              <a16:creationId xmlns:a16="http://schemas.microsoft.com/office/drawing/2014/main" id="{00000000-0008-0000-0000-00008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70" name="Picture 11" hidden="1">
          <a:extLst>
            <a:ext uri="{FF2B5EF4-FFF2-40B4-BE49-F238E27FC236}">
              <a16:creationId xmlns:a16="http://schemas.microsoft.com/office/drawing/2014/main" id="{00000000-0008-0000-0000-00008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72" name="Picture 11" hidden="1">
          <a:extLst>
            <a:ext uri="{FF2B5EF4-FFF2-40B4-BE49-F238E27FC236}">
              <a16:creationId xmlns:a16="http://schemas.microsoft.com/office/drawing/2014/main" id="{00000000-0008-0000-0000-00008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74" name="Picture 11" hidden="1">
          <a:extLst>
            <a:ext uri="{FF2B5EF4-FFF2-40B4-BE49-F238E27FC236}">
              <a16:creationId xmlns:a16="http://schemas.microsoft.com/office/drawing/2014/main" id="{00000000-0008-0000-0000-00008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76" name="Picture 11" hidden="1">
          <a:extLst>
            <a:ext uri="{FF2B5EF4-FFF2-40B4-BE49-F238E27FC236}">
              <a16:creationId xmlns:a16="http://schemas.microsoft.com/office/drawing/2014/main" id="{00000000-0008-0000-0000-00008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78" name="Picture 11" hidden="1">
          <a:extLst>
            <a:ext uri="{FF2B5EF4-FFF2-40B4-BE49-F238E27FC236}">
              <a16:creationId xmlns:a16="http://schemas.microsoft.com/office/drawing/2014/main" id="{00000000-0008-0000-0000-00008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80" name="Picture 11" hidden="1">
          <a:extLst>
            <a:ext uri="{FF2B5EF4-FFF2-40B4-BE49-F238E27FC236}">
              <a16:creationId xmlns:a16="http://schemas.microsoft.com/office/drawing/2014/main" id="{00000000-0008-0000-0000-00009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82" name="Picture 11" hidden="1">
          <a:extLst>
            <a:ext uri="{FF2B5EF4-FFF2-40B4-BE49-F238E27FC236}">
              <a16:creationId xmlns:a16="http://schemas.microsoft.com/office/drawing/2014/main" id="{00000000-0008-0000-0000-00009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84" name="Picture 11" hidden="1">
          <a:extLst>
            <a:ext uri="{FF2B5EF4-FFF2-40B4-BE49-F238E27FC236}">
              <a16:creationId xmlns:a16="http://schemas.microsoft.com/office/drawing/2014/main" id="{00000000-0008-0000-0000-00009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86" name="Picture 11" hidden="1">
          <a:extLst>
            <a:ext uri="{FF2B5EF4-FFF2-40B4-BE49-F238E27FC236}">
              <a16:creationId xmlns:a16="http://schemas.microsoft.com/office/drawing/2014/main" id="{00000000-0008-0000-0000-00009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88" name="Picture 11" hidden="1">
          <a:extLst>
            <a:ext uri="{FF2B5EF4-FFF2-40B4-BE49-F238E27FC236}">
              <a16:creationId xmlns:a16="http://schemas.microsoft.com/office/drawing/2014/main" id="{00000000-0008-0000-0000-00009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90" name="Picture 11" hidden="1">
          <a:extLst>
            <a:ext uri="{FF2B5EF4-FFF2-40B4-BE49-F238E27FC236}">
              <a16:creationId xmlns:a16="http://schemas.microsoft.com/office/drawing/2014/main" id="{00000000-0008-0000-0000-00009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92" name="Picture 11" hidden="1">
          <a:extLst>
            <a:ext uri="{FF2B5EF4-FFF2-40B4-BE49-F238E27FC236}">
              <a16:creationId xmlns:a16="http://schemas.microsoft.com/office/drawing/2014/main" id="{00000000-0008-0000-0000-00009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94" name="Picture 11" hidden="1">
          <a:extLst>
            <a:ext uri="{FF2B5EF4-FFF2-40B4-BE49-F238E27FC236}">
              <a16:creationId xmlns:a16="http://schemas.microsoft.com/office/drawing/2014/main" id="{00000000-0008-0000-0000-00009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96" name="Picture 11" hidden="1">
          <a:extLst>
            <a:ext uri="{FF2B5EF4-FFF2-40B4-BE49-F238E27FC236}">
              <a16:creationId xmlns:a16="http://schemas.microsoft.com/office/drawing/2014/main" id="{00000000-0008-0000-0000-0000A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98" name="Picture 11" hidden="1">
          <a:extLst>
            <a:ext uri="{FF2B5EF4-FFF2-40B4-BE49-F238E27FC236}">
              <a16:creationId xmlns:a16="http://schemas.microsoft.com/office/drawing/2014/main" id="{00000000-0008-0000-0000-0000A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00" name="Picture 11" hidden="1">
          <a:extLst>
            <a:ext uri="{FF2B5EF4-FFF2-40B4-BE49-F238E27FC236}">
              <a16:creationId xmlns:a16="http://schemas.microsoft.com/office/drawing/2014/main" id="{00000000-0008-0000-0000-0000A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02" name="Picture 11" hidden="1">
          <a:extLst>
            <a:ext uri="{FF2B5EF4-FFF2-40B4-BE49-F238E27FC236}">
              <a16:creationId xmlns:a16="http://schemas.microsoft.com/office/drawing/2014/main" id="{00000000-0008-0000-0000-0000A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04" name="Picture 11" hidden="1">
          <a:extLst>
            <a:ext uri="{FF2B5EF4-FFF2-40B4-BE49-F238E27FC236}">
              <a16:creationId xmlns:a16="http://schemas.microsoft.com/office/drawing/2014/main" id="{00000000-0008-0000-0000-0000A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06" name="Picture 11" hidden="1">
          <a:extLst>
            <a:ext uri="{FF2B5EF4-FFF2-40B4-BE49-F238E27FC236}">
              <a16:creationId xmlns:a16="http://schemas.microsoft.com/office/drawing/2014/main" id="{00000000-0008-0000-0000-0000A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08" name="Picture 11" hidden="1">
          <a:extLst>
            <a:ext uri="{FF2B5EF4-FFF2-40B4-BE49-F238E27FC236}">
              <a16:creationId xmlns:a16="http://schemas.microsoft.com/office/drawing/2014/main" id="{00000000-0008-0000-0000-0000A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10" name="Picture 11" hidden="1">
          <a:extLst>
            <a:ext uri="{FF2B5EF4-FFF2-40B4-BE49-F238E27FC236}">
              <a16:creationId xmlns:a16="http://schemas.microsoft.com/office/drawing/2014/main" id="{00000000-0008-0000-0000-0000A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12" name="Picture 11" hidden="1">
          <a:extLst>
            <a:ext uri="{FF2B5EF4-FFF2-40B4-BE49-F238E27FC236}">
              <a16:creationId xmlns:a16="http://schemas.microsoft.com/office/drawing/2014/main" id="{00000000-0008-0000-0000-0000B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14" name="Picture 8113" hidden="1">
          <a:extLst>
            <a:ext uri="{FF2B5EF4-FFF2-40B4-BE49-F238E27FC236}">
              <a16:creationId xmlns:a16="http://schemas.microsoft.com/office/drawing/2014/main" id="{00000000-0008-0000-0000-0000B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16" name="Picture 11" hidden="1">
          <a:extLst>
            <a:ext uri="{FF2B5EF4-FFF2-40B4-BE49-F238E27FC236}">
              <a16:creationId xmlns:a16="http://schemas.microsoft.com/office/drawing/2014/main" id="{00000000-0008-0000-0000-0000B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18" name="Picture 11" hidden="1">
          <a:extLst>
            <a:ext uri="{FF2B5EF4-FFF2-40B4-BE49-F238E27FC236}">
              <a16:creationId xmlns:a16="http://schemas.microsoft.com/office/drawing/2014/main" id="{00000000-0008-0000-0000-0000B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20" name="Picture 11" hidden="1">
          <a:extLst>
            <a:ext uri="{FF2B5EF4-FFF2-40B4-BE49-F238E27FC236}">
              <a16:creationId xmlns:a16="http://schemas.microsoft.com/office/drawing/2014/main" id="{00000000-0008-0000-0000-0000B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22" name="Picture 11" hidden="1">
          <a:extLst>
            <a:ext uri="{FF2B5EF4-FFF2-40B4-BE49-F238E27FC236}">
              <a16:creationId xmlns:a16="http://schemas.microsoft.com/office/drawing/2014/main" id="{00000000-0008-0000-0000-0000B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24" name="Picture 11" hidden="1">
          <a:extLst>
            <a:ext uri="{FF2B5EF4-FFF2-40B4-BE49-F238E27FC236}">
              <a16:creationId xmlns:a16="http://schemas.microsoft.com/office/drawing/2014/main" id="{00000000-0008-0000-0000-0000B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26" name="Picture 11" hidden="1">
          <a:extLst>
            <a:ext uri="{FF2B5EF4-FFF2-40B4-BE49-F238E27FC236}">
              <a16:creationId xmlns:a16="http://schemas.microsoft.com/office/drawing/2014/main" id="{00000000-0008-0000-0000-0000B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28" name="Picture 11" hidden="1">
          <a:extLst>
            <a:ext uri="{FF2B5EF4-FFF2-40B4-BE49-F238E27FC236}">
              <a16:creationId xmlns:a16="http://schemas.microsoft.com/office/drawing/2014/main" id="{00000000-0008-0000-0000-0000C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30" name="Picture 11" hidden="1">
          <a:extLst>
            <a:ext uri="{FF2B5EF4-FFF2-40B4-BE49-F238E27FC236}">
              <a16:creationId xmlns:a16="http://schemas.microsoft.com/office/drawing/2014/main" id="{00000000-0008-0000-0000-0000C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32" name="Picture 11" hidden="1">
          <a:extLst>
            <a:ext uri="{FF2B5EF4-FFF2-40B4-BE49-F238E27FC236}">
              <a16:creationId xmlns:a16="http://schemas.microsoft.com/office/drawing/2014/main" id="{00000000-0008-0000-0000-0000C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34" name="Picture 11" hidden="1">
          <a:extLst>
            <a:ext uri="{FF2B5EF4-FFF2-40B4-BE49-F238E27FC236}">
              <a16:creationId xmlns:a16="http://schemas.microsoft.com/office/drawing/2014/main" id="{00000000-0008-0000-0000-0000C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36" name="Picture 11" hidden="1">
          <a:extLst>
            <a:ext uri="{FF2B5EF4-FFF2-40B4-BE49-F238E27FC236}">
              <a16:creationId xmlns:a16="http://schemas.microsoft.com/office/drawing/2014/main" id="{00000000-0008-0000-0000-0000C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38" name="Picture 11" hidden="1">
          <a:extLst>
            <a:ext uri="{FF2B5EF4-FFF2-40B4-BE49-F238E27FC236}">
              <a16:creationId xmlns:a16="http://schemas.microsoft.com/office/drawing/2014/main" id="{00000000-0008-0000-0000-0000C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40" name="Picture 11" hidden="1">
          <a:extLst>
            <a:ext uri="{FF2B5EF4-FFF2-40B4-BE49-F238E27FC236}">
              <a16:creationId xmlns:a16="http://schemas.microsoft.com/office/drawing/2014/main" id="{00000000-0008-0000-0000-0000C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42" name="Picture 11" hidden="1">
          <a:extLst>
            <a:ext uri="{FF2B5EF4-FFF2-40B4-BE49-F238E27FC236}">
              <a16:creationId xmlns:a16="http://schemas.microsoft.com/office/drawing/2014/main" id="{00000000-0008-0000-0000-0000C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44" name="Picture 11" hidden="1">
          <a:extLst>
            <a:ext uri="{FF2B5EF4-FFF2-40B4-BE49-F238E27FC236}">
              <a16:creationId xmlns:a16="http://schemas.microsoft.com/office/drawing/2014/main" id="{00000000-0008-0000-0000-0000D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46" name="Picture 11" hidden="1">
          <a:extLst>
            <a:ext uri="{FF2B5EF4-FFF2-40B4-BE49-F238E27FC236}">
              <a16:creationId xmlns:a16="http://schemas.microsoft.com/office/drawing/2014/main" id="{00000000-0008-0000-0000-0000D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48" name="Picture 11" hidden="1">
          <a:extLst>
            <a:ext uri="{FF2B5EF4-FFF2-40B4-BE49-F238E27FC236}">
              <a16:creationId xmlns:a16="http://schemas.microsoft.com/office/drawing/2014/main" id="{00000000-0008-0000-0000-0000D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50" name="Picture 11" hidden="1">
          <a:extLst>
            <a:ext uri="{FF2B5EF4-FFF2-40B4-BE49-F238E27FC236}">
              <a16:creationId xmlns:a16="http://schemas.microsoft.com/office/drawing/2014/main" id="{00000000-0008-0000-0000-0000D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52" name="Picture 11" hidden="1">
          <a:extLst>
            <a:ext uri="{FF2B5EF4-FFF2-40B4-BE49-F238E27FC236}">
              <a16:creationId xmlns:a16="http://schemas.microsoft.com/office/drawing/2014/main" id="{00000000-0008-0000-0000-0000D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54" name="Picture 11" hidden="1">
          <a:extLst>
            <a:ext uri="{FF2B5EF4-FFF2-40B4-BE49-F238E27FC236}">
              <a16:creationId xmlns:a16="http://schemas.microsoft.com/office/drawing/2014/main" id="{00000000-0008-0000-0000-0000D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56" name="Picture 11" hidden="1">
          <a:extLst>
            <a:ext uri="{FF2B5EF4-FFF2-40B4-BE49-F238E27FC236}">
              <a16:creationId xmlns:a16="http://schemas.microsoft.com/office/drawing/2014/main" id="{00000000-0008-0000-0000-0000D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58" name="Picture 11" hidden="1">
          <a:extLst>
            <a:ext uri="{FF2B5EF4-FFF2-40B4-BE49-F238E27FC236}">
              <a16:creationId xmlns:a16="http://schemas.microsoft.com/office/drawing/2014/main" id="{00000000-0008-0000-0000-0000D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60" name="Picture 11" hidden="1">
          <a:extLst>
            <a:ext uri="{FF2B5EF4-FFF2-40B4-BE49-F238E27FC236}">
              <a16:creationId xmlns:a16="http://schemas.microsoft.com/office/drawing/2014/main" id="{00000000-0008-0000-0000-0000E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62" name="Picture 11" hidden="1">
          <a:extLst>
            <a:ext uri="{FF2B5EF4-FFF2-40B4-BE49-F238E27FC236}">
              <a16:creationId xmlns:a16="http://schemas.microsoft.com/office/drawing/2014/main" id="{00000000-0008-0000-0000-0000E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64" name="Picture 11" hidden="1">
          <a:extLst>
            <a:ext uri="{FF2B5EF4-FFF2-40B4-BE49-F238E27FC236}">
              <a16:creationId xmlns:a16="http://schemas.microsoft.com/office/drawing/2014/main" id="{00000000-0008-0000-0000-0000E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66" name="Picture 11" hidden="1">
          <a:extLst>
            <a:ext uri="{FF2B5EF4-FFF2-40B4-BE49-F238E27FC236}">
              <a16:creationId xmlns:a16="http://schemas.microsoft.com/office/drawing/2014/main" id="{00000000-0008-0000-0000-0000E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68" name="Picture 11" hidden="1">
          <a:extLst>
            <a:ext uri="{FF2B5EF4-FFF2-40B4-BE49-F238E27FC236}">
              <a16:creationId xmlns:a16="http://schemas.microsoft.com/office/drawing/2014/main" id="{00000000-0008-0000-0000-0000E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70" name="Picture 11" hidden="1">
          <a:extLst>
            <a:ext uri="{FF2B5EF4-FFF2-40B4-BE49-F238E27FC236}">
              <a16:creationId xmlns:a16="http://schemas.microsoft.com/office/drawing/2014/main" id="{00000000-0008-0000-0000-0000E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72" name="Picture 11" hidden="1">
          <a:extLst>
            <a:ext uri="{FF2B5EF4-FFF2-40B4-BE49-F238E27FC236}">
              <a16:creationId xmlns:a16="http://schemas.microsoft.com/office/drawing/2014/main" id="{00000000-0008-0000-0000-0000E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74" name="Picture 11" hidden="1">
          <a:extLst>
            <a:ext uri="{FF2B5EF4-FFF2-40B4-BE49-F238E27FC236}">
              <a16:creationId xmlns:a16="http://schemas.microsoft.com/office/drawing/2014/main" id="{00000000-0008-0000-0000-0000E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76" name="Picture 11" hidden="1">
          <a:extLst>
            <a:ext uri="{FF2B5EF4-FFF2-40B4-BE49-F238E27FC236}">
              <a16:creationId xmlns:a16="http://schemas.microsoft.com/office/drawing/2014/main" id="{00000000-0008-0000-0000-0000F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78" name="Picture 11" hidden="1">
          <a:extLst>
            <a:ext uri="{FF2B5EF4-FFF2-40B4-BE49-F238E27FC236}">
              <a16:creationId xmlns:a16="http://schemas.microsoft.com/office/drawing/2014/main" id="{00000000-0008-0000-0000-0000F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80" name="Picture 11" hidden="1">
          <a:extLst>
            <a:ext uri="{FF2B5EF4-FFF2-40B4-BE49-F238E27FC236}">
              <a16:creationId xmlns:a16="http://schemas.microsoft.com/office/drawing/2014/main" id="{00000000-0008-0000-0000-0000F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82" name="Picture 11" hidden="1">
          <a:extLst>
            <a:ext uri="{FF2B5EF4-FFF2-40B4-BE49-F238E27FC236}">
              <a16:creationId xmlns:a16="http://schemas.microsoft.com/office/drawing/2014/main" id="{00000000-0008-0000-0000-0000F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84" name="Picture 11" hidden="1">
          <a:extLst>
            <a:ext uri="{FF2B5EF4-FFF2-40B4-BE49-F238E27FC236}">
              <a16:creationId xmlns:a16="http://schemas.microsoft.com/office/drawing/2014/main" id="{00000000-0008-0000-0000-0000F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86" name="Picture 11" hidden="1">
          <a:extLst>
            <a:ext uri="{FF2B5EF4-FFF2-40B4-BE49-F238E27FC236}">
              <a16:creationId xmlns:a16="http://schemas.microsoft.com/office/drawing/2014/main" id="{00000000-0008-0000-0000-0000F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88" name="Picture 11" hidden="1">
          <a:extLst>
            <a:ext uri="{FF2B5EF4-FFF2-40B4-BE49-F238E27FC236}">
              <a16:creationId xmlns:a16="http://schemas.microsoft.com/office/drawing/2014/main" id="{00000000-0008-0000-0000-0000F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90" name="Picture 11" hidden="1">
          <a:extLst>
            <a:ext uri="{FF2B5EF4-FFF2-40B4-BE49-F238E27FC236}">
              <a16:creationId xmlns:a16="http://schemas.microsoft.com/office/drawing/2014/main" id="{00000000-0008-0000-0000-0000F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92" name="Picture 11" hidden="1">
          <a:extLst>
            <a:ext uri="{FF2B5EF4-FFF2-40B4-BE49-F238E27FC236}">
              <a16:creationId xmlns:a16="http://schemas.microsoft.com/office/drawing/2014/main" id="{00000000-0008-0000-0000-00000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94" name="Picture 11" hidden="1">
          <a:extLst>
            <a:ext uri="{FF2B5EF4-FFF2-40B4-BE49-F238E27FC236}">
              <a16:creationId xmlns:a16="http://schemas.microsoft.com/office/drawing/2014/main" id="{00000000-0008-0000-0000-00000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96" name="Picture 11" hidden="1">
          <a:extLst>
            <a:ext uri="{FF2B5EF4-FFF2-40B4-BE49-F238E27FC236}">
              <a16:creationId xmlns:a16="http://schemas.microsoft.com/office/drawing/2014/main" id="{00000000-0008-0000-0000-00000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98" name="Picture 11" hidden="1">
          <a:extLst>
            <a:ext uri="{FF2B5EF4-FFF2-40B4-BE49-F238E27FC236}">
              <a16:creationId xmlns:a16="http://schemas.microsoft.com/office/drawing/2014/main" id="{00000000-0008-0000-0000-00000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00" name="Picture 11" hidden="1">
          <a:extLst>
            <a:ext uri="{FF2B5EF4-FFF2-40B4-BE49-F238E27FC236}">
              <a16:creationId xmlns:a16="http://schemas.microsoft.com/office/drawing/2014/main" id="{00000000-0008-0000-0000-00000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02" name="Picture 11" hidden="1">
          <a:extLst>
            <a:ext uri="{FF2B5EF4-FFF2-40B4-BE49-F238E27FC236}">
              <a16:creationId xmlns:a16="http://schemas.microsoft.com/office/drawing/2014/main" id="{00000000-0008-0000-0000-00000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04" name="Picture 11" hidden="1">
          <a:extLst>
            <a:ext uri="{FF2B5EF4-FFF2-40B4-BE49-F238E27FC236}">
              <a16:creationId xmlns:a16="http://schemas.microsoft.com/office/drawing/2014/main" id="{00000000-0008-0000-0000-00000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06" name="Picture 11" hidden="1">
          <a:extLst>
            <a:ext uri="{FF2B5EF4-FFF2-40B4-BE49-F238E27FC236}">
              <a16:creationId xmlns:a16="http://schemas.microsoft.com/office/drawing/2014/main" id="{00000000-0008-0000-0000-00000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08" name="Picture 11" hidden="1">
          <a:extLst>
            <a:ext uri="{FF2B5EF4-FFF2-40B4-BE49-F238E27FC236}">
              <a16:creationId xmlns:a16="http://schemas.microsoft.com/office/drawing/2014/main" id="{00000000-0008-0000-0000-00001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10" name="Picture 11" hidden="1">
          <a:extLst>
            <a:ext uri="{FF2B5EF4-FFF2-40B4-BE49-F238E27FC236}">
              <a16:creationId xmlns:a16="http://schemas.microsoft.com/office/drawing/2014/main" id="{00000000-0008-0000-0000-00001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12" name="Picture 11" hidden="1">
          <a:extLst>
            <a:ext uri="{FF2B5EF4-FFF2-40B4-BE49-F238E27FC236}">
              <a16:creationId xmlns:a16="http://schemas.microsoft.com/office/drawing/2014/main" id="{00000000-0008-0000-0000-00001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14" name="Picture 11" hidden="1">
          <a:extLst>
            <a:ext uri="{FF2B5EF4-FFF2-40B4-BE49-F238E27FC236}">
              <a16:creationId xmlns:a16="http://schemas.microsoft.com/office/drawing/2014/main" id="{00000000-0008-0000-0000-00001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16" name="Picture 11" hidden="1">
          <a:extLst>
            <a:ext uri="{FF2B5EF4-FFF2-40B4-BE49-F238E27FC236}">
              <a16:creationId xmlns:a16="http://schemas.microsoft.com/office/drawing/2014/main" id="{00000000-0008-0000-0000-00001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18" name="Picture 11" hidden="1">
          <a:extLst>
            <a:ext uri="{FF2B5EF4-FFF2-40B4-BE49-F238E27FC236}">
              <a16:creationId xmlns:a16="http://schemas.microsoft.com/office/drawing/2014/main" id="{00000000-0008-0000-0000-00001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20" name="Picture 11" hidden="1">
          <a:extLst>
            <a:ext uri="{FF2B5EF4-FFF2-40B4-BE49-F238E27FC236}">
              <a16:creationId xmlns:a16="http://schemas.microsoft.com/office/drawing/2014/main" id="{00000000-0008-0000-0000-00001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22" name="Picture 8221" hidden="1">
          <a:extLst>
            <a:ext uri="{FF2B5EF4-FFF2-40B4-BE49-F238E27FC236}">
              <a16:creationId xmlns:a16="http://schemas.microsoft.com/office/drawing/2014/main" id="{00000000-0008-0000-0000-00001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24" name="Picture 11" hidden="1">
          <a:extLst>
            <a:ext uri="{FF2B5EF4-FFF2-40B4-BE49-F238E27FC236}">
              <a16:creationId xmlns:a16="http://schemas.microsoft.com/office/drawing/2014/main" id="{00000000-0008-0000-0000-00002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26" name="Picture 11" hidden="1">
          <a:extLst>
            <a:ext uri="{FF2B5EF4-FFF2-40B4-BE49-F238E27FC236}">
              <a16:creationId xmlns:a16="http://schemas.microsoft.com/office/drawing/2014/main" id="{00000000-0008-0000-0000-00002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28" name="Picture 11" hidden="1">
          <a:extLst>
            <a:ext uri="{FF2B5EF4-FFF2-40B4-BE49-F238E27FC236}">
              <a16:creationId xmlns:a16="http://schemas.microsoft.com/office/drawing/2014/main" id="{00000000-0008-0000-0000-00002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30" name="Picture 11" hidden="1">
          <a:extLst>
            <a:ext uri="{FF2B5EF4-FFF2-40B4-BE49-F238E27FC236}">
              <a16:creationId xmlns:a16="http://schemas.microsoft.com/office/drawing/2014/main" id="{00000000-0008-0000-0000-00002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32" name="Picture 11" hidden="1">
          <a:extLst>
            <a:ext uri="{FF2B5EF4-FFF2-40B4-BE49-F238E27FC236}">
              <a16:creationId xmlns:a16="http://schemas.microsoft.com/office/drawing/2014/main" id="{00000000-0008-0000-0000-00002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34" name="Picture 11" hidden="1">
          <a:extLst>
            <a:ext uri="{FF2B5EF4-FFF2-40B4-BE49-F238E27FC236}">
              <a16:creationId xmlns:a16="http://schemas.microsoft.com/office/drawing/2014/main" id="{00000000-0008-0000-0000-00002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36" name="Picture 11" hidden="1">
          <a:extLst>
            <a:ext uri="{FF2B5EF4-FFF2-40B4-BE49-F238E27FC236}">
              <a16:creationId xmlns:a16="http://schemas.microsoft.com/office/drawing/2014/main" id="{00000000-0008-0000-0000-00002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38" name="Picture 11" hidden="1">
          <a:extLst>
            <a:ext uri="{FF2B5EF4-FFF2-40B4-BE49-F238E27FC236}">
              <a16:creationId xmlns:a16="http://schemas.microsoft.com/office/drawing/2014/main" id="{00000000-0008-0000-0000-00002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40" name="Picture 11" hidden="1">
          <a:extLst>
            <a:ext uri="{FF2B5EF4-FFF2-40B4-BE49-F238E27FC236}">
              <a16:creationId xmlns:a16="http://schemas.microsoft.com/office/drawing/2014/main" id="{00000000-0008-0000-0000-00003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42" name="Picture 11" hidden="1">
          <a:extLst>
            <a:ext uri="{FF2B5EF4-FFF2-40B4-BE49-F238E27FC236}">
              <a16:creationId xmlns:a16="http://schemas.microsoft.com/office/drawing/2014/main" id="{00000000-0008-0000-0000-00003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44" name="Picture 11" hidden="1">
          <a:extLst>
            <a:ext uri="{FF2B5EF4-FFF2-40B4-BE49-F238E27FC236}">
              <a16:creationId xmlns:a16="http://schemas.microsoft.com/office/drawing/2014/main" id="{00000000-0008-0000-0000-00003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46" name="Picture 11" hidden="1">
          <a:extLst>
            <a:ext uri="{FF2B5EF4-FFF2-40B4-BE49-F238E27FC236}">
              <a16:creationId xmlns:a16="http://schemas.microsoft.com/office/drawing/2014/main" id="{00000000-0008-0000-0000-00003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48" name="Picture 11" hidden="1">
          <a:extLst>
            <a:ext uri="{FF2B5EF4-FFF2-40B4-BE49-F238E27FC236}">
              <a16:creationId xmlns:a16="http://schemas.microsoft.com/office/drawing/2014/main" id="{00000000-0008-0000-0000-00003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50" name="Picture 11" hidden="1">
          <a:extLst>
            <a:ext uri="{FF2B5EF4-FFF2-40B4-BE49-F238E27FC236}">
              <a16:creationId xmlns:a16="http://schemas.microsoft.com/office/drawing/2014/main" id="{00000000-0008-0000-0000-00003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52" name="Picture 11" hidden="1">
          <a:extLst>
            <a:ext uri="{FF2B5EF4-FFF2-40B4-BE49-F238E27FC236}">
              <a16:creationId xmlns:a16="http://schemas.microsoft.com/office/drawing/2014/main" id="{00000000-0008-0000-0000-00003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54" name="Picture 11" hidden="1">
          <a:extLst>
            <a:ext uri="{FF2B5EF4-FFF2-40B4-BE49-F238E27FC236}">
              <a16:creationId xmlns:a16="http://schemas.microsoft.com/office/drawing/2014/main" id="{00000000-0008-0000-0000-00003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56" name="Picture 11" hidden="1">
          <a:extLst>
            <a:ext uri="{FF2B5EF4-FFF2-40B4-BE49-F238E27FC236}">
              <a16:creationId xmlns:a16="http://schemas.microsoft.com/office/drawing/2014/main" id="{00000000-0008-0000-0000-00004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58" name="Picture 11" hidden="1">
          <a:extLst>
            <a:ext uri="{FF2B5EF4-FFF2-40B4-BE49-F238E27FC236}">
              <a16:creationId xmlns:a16="http://schemas.microsoft.com/office/drawing/2014/main" id="{00000000-0008-0000-0000-00004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60" name="Picture 11" hidden="1">
          <a:extLst>
            <a:ext uri="{FF2B5EF4-FFF2-40B4-BE49-F238E27FC236}">
              <a16:creationId xmlns:a16="http://schemas.microsoft.com/office/drawing/2014/main" id="{00000000-0008-0000-0000-00004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62" name="Picture 11" hidden="1">
          <a:extLst>
            <a:ext uri="{FF2B5EF4-FFF2-40B4-BE49-F238E27FC236}">
              <a16:creationId xmlns:a16="http://schemas.microsoft.com/office/drawing/2014/main" id="{00000000-0008-0000-0000-00004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64" name="Picture 11" hidden="1">
          <a:extLst>
            <a:ext uri="{FF2B5EF4-FFF2-40B4-BE49-F238E27FC236}">
              <a16:creationId xmlns:a16="http://schemas.microsoft.com/office/drawing/2014/main" id="{00000000-0008-0000-0000-00004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66" name="Picture 11" hidden="1">
          <a:extLst>
            <a:ext uri="{FF2B5EF4-FFF2-40B4-BE49-F238E27FC236}">
              <a16:creationId xmlns:a16="http://schemas.microsoft.com/office/drawing/2014/main" id="{00000000-0008-0000-0000-00004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68" name="Picture 11" hidden="1">
          <a:extLst>
            <a:ext uri="{FF2B5EF4-FFF2-40B4-BE49-F238E27FC236}">
              <a16:creationId xmlns:a16="http://schemas.microsoft.com/office/drawing/2014/main" id="{00000000-0008-0000-0000-00004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70" name="Picture 11" hidden="1">
          <a:extLst>
            <a:ext uri="{FF2B5EF4-FFF2-40B4-BE49-F238E27FC236}">
              <a16:creationId xmlns:a16="http://schemas.microsoft.com/office/drawing/2014/main" id="{00000000-0008-0000-0000-00004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72" name="Picture 11" hidden="1">
          <a:extLst>
            <a:ext uri="{FF2B5EF4-FFF2-40B4-BE49-F238E27FC236}">
              <a16:creationId xmlns:a16="http://schemas.microsoft.com/office/drawing/2014/main" id="{00000000-0008-0000-0000-00005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74" name="Picture 11" hidden="1">
          <a:extLst>
            <a:ext uri="{FF2B5EF4-FFF2-40B4-BE49-F238E27FC236}">
              <a16:creationId xmlns:a16="http://schemas.microsoft.com/office/drawing/2014/main" id="{00000000-0008-0000-0000-00005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76" name="Picture 11" hidden="1">
          <a:extLst>
            <a:ext uri="{FF2B5EF4-FFF2-40B4-BE49-F238E27FC236}">
              <a16:creationId xmlns:a16="http://schemas.microsoft.com/office/drawing/2014/main" id="{00000000-0008-0000-0000-00005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78" name="Picture 11" hidden="1">
          <a:extLst>
            <a:ext uri="{FF2B5EF4-FFF2-40B4-BE49-F238E27FC236}">
              <a16:creationId xmlns:a16="http://schemas.microsoft.com/office/drawing/2014/main" id="{00000000-0008-0000-0000-00005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80" name="Picture 11" hidden="1">
          <a:extLst>
            <a:ext uri="{FF2B5EF4-FFF2-40B4-BE49-F238E27FC236}">
              <a16:creationId xmlns:a16="http://schemas.microsoft.com/office/drawing/2014/main" id="{00000000-0008-0000-0000-00005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82" name="Picture 11" hidden="1">
          <a:extLst>
            <a:ext uri="{FF2B5EF4-FFF2-40B4-BE49-F238E27FC236}">
              <a16:creationId xmlns:a16="http://schemas.microsoft.com/office/drawing/2014/main" id="{00000000-0008-0000-0000-00005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84" name="Picture 11" hidden="1">
          <a:extLst>
            <a:ext uri="{FF2B5EF4-FFF2-40B4-BE49-F238E27FC236}">
              <a16:creationId xmlns:a16="http://schemas.microsoft.com/office/drawing/2014/main" id="{00000000-0008-0000-0000-00005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86" name="Picture 11" hidden="1">
          <a:extLst>
            <a:ext uri="{FF2B5EF4-FFF2-40B4-BE49-F238E27FC236}">
              <a16:creationId xmlns:a16="http://schemas.microsoft.com/office/drawing/2014/main" id="{00000000-0008-0000-0000-00005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88" name="Picture 11" hidden="1">
          <a:extLst>
            <a:ext uri="{FF2B5EF4-FFF2-40B4-BE49-F238E27FC236}">
              <a16:creationId xmlns:a16="http://schemas.microsoft.com/office/drawing/2014/main" id="{00000000-0008-0000-0000-00006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90" name="Picture 11" hidden="1">
          <a:extLst>
            <a:ext uri="{FF2B5EF4-FFF2-40B4-BE49-F238E27FC236}">
              <a16:creationId xmlns:a16="http://schemas.microsoft.com/office/drawing/2014/main" id="{00000000-0008-0000-0000-00006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92" name="Picture 11" hidden="1">
          <a:extLst>
            <a:ext uri="{FF2B5EF4-FFF2-40B4-BE49-F238E27FC236}">
              <a16:creationId xmlns:a16="http://schemas.microsoft.com/office/drawing/2014/main" id="{00000000-0008-0000-0000-00006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94" name="Picture 11" hidden="1">
          <a:extLst>
            <a:ext uri="{FF2B5EF4-FFF2-40B4-BE49-F238E27FC236}">
              <a16:creationId xmlns:a16="http://schemas.microsoft.com/office/drawing/2014/main" id="{00000000-0008-0000-0000-00006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96" name="Picture 11" hidden="1">
          <a:extLst>
            <a:ext uri="{FF2B5EF4-FFF2-40B4-BE49-F238E27FC236}">
              <a16:creationId xmlns:a16="http://schemas.microsoft.com/office/drawing/2014/main" id="{00000000-0008-0000-0000-00006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98" name="Picture 11" hidden="1">
          <a:extLst>
            <a:ext uri="{FF2B5EF4-FFF2-40B4-BE49-F238E27FC236}">
              <a16:creationId xmlns:a16="http://schemas.microsoft.com/office/drawing/2014/main" id="{00000000-0008-0000-0000-00006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00" name="Picture 11" hidden="1">
          <a:extLst>
            <a:ext uri="{FF2B5EF4-FFF2-40B4-BE49-F238E27FC236}">
              <a16:creationId xmlns:a16="http://schemas.microsoft.com/office/drawing/2014/main" id="{00000000-0008-0000-0000-00006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02" name="Picture 11" hidden="1">
          <a:extLst>
            <a:ext uri="{FF2B5EF4-FFF2-40B4-BE49-F238E27FC236}">
              <a16:creationId xmlns:a16="http://schemas.microsoft.com/office/drawing/2014/main" id="{00000000-0008-0000-0000-00006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04" name="Picture 11" hidden="1">
          <a:extLst>
            <a:ext uri="{FF2B5EF4-FFF2-40B4-BE49-F238E27FC236}">
              <a16:creationId xmlns:a16="http://schemas.microsoft.com/office/drawing/2014/main" id="{00000000-0008-0000-0000-00007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06" name="Picture 11" hidden="1">
          <a:extLst>
            <a:ext uri="{FF2B5EF4-FFF2-40B4-BE49-F238E27FC236}">
              <a16:creationId xmlns:a16="http://schemas.microsoft.com/office/drawing/2014/main" id="{00000000-0008-0000-0000-00007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08" name="Picture 11" hidden="1">
          <a:extLst>
            <a:ext uri="{FF2B5EF4-FFF2-40B4-BE49-F238E27FC236}">
              <a16:creationId xmlns:a16="http://schemas.microsoft.com/office/drawing/2014/main" id="{00000000-0008-0000-0000-00007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10" name="Picture 11" hidden="1">
          <a:extLst>
            <a:ext uri="{FF2B5EF4-FFF2-40B4-BE49-F238E27FC236}">
              <a16:creationId xmlns:a16="http://schemas.microsoft.com/office/drawing/2014/main" id="{00000000-0008-0000-0000-00007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12" name="Picture 11" hidden="1">
          <a:extLst>
            <a:ext uri="{FF2B5EF4-FFF2-40B4-BE49-F238E27FC236}">
              <a16:creationId xmlns:a16="http://schemas.microsoft.com/office/drawing/2014/main" id="{00000000-0008-0000-0000-00007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14" name="Picture 11" hidden="1">
          <a:extLst>
            <a:ext uri="{FF2B5EF4-FFF2-40B4-BE49-F238E27FC236}">
              <a16:creationId xmlns:a16="http://schemas.microsoft.com/office/drawing/2014/main" id="{00000000-0008-0000-0000-00007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16" name="Picture 11" hidden="1">
          <a:extLst>
            <a:ext uri="{FF2B5EF4-FFF2-40B4-BE49-F238E27FC236}">
              <a16:creationId xmlns:a16="http://schemas.microsoft.com/office/drawing/2014/main" id="{00000000-0008-0000-0000-00007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18" name="Picture 11" hidden="1">
          <a:extLst>
            <a:ext uri="{FF2B5EF4-FFF2-40B4-BE49-F238E27FC236}">
              <a16:creationId xmlns:a16="http://schemas.microsoft.com/office/drawing/2014/main" id="{00000000-0008-0000-0000-00007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20" name="Picture 11" hidden="1">
          <a:extLst>
            <a:ext uri="{FF2B5EF4-FFF2-40B4-BE49-F238E27FC236}">
              <a16:creationId xmlns:a16="http://schemas.microsoft.com/office/drawing/2014/main" id="{00000000-0008-0000-0000-00008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22" name="Picture 11" hidden="1">
          <a:extLst>
            <a:ext uri="{FF2B5EF4-FFF2-40B4-BE49-F238E27FC236}">
              <a16:creationId xmlns:a16="http://schemas.microsoft.com/office/drawing/2014/main" id="{00000000-0008-0000-0000-00008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24" name="Picture 11" hidden="1">
          <a:extLst>
            <a:ext uri="{FF2B5EF4-FFF2-40B4-BE49-F238E27FC236}">
              <a16:creationId xmlns:a16="http://schemas.microsoft.com/office/drawing/2014/main" id="{00000000-0008-0000-0000-00008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26" name="Picture 11" hidden="1">
          <a:extLst>
            <a:ext uri="{FF2B5EF4-FFF2-40B4-BE49-F238E27FC236}">
              <a16:creationId xmlns:a16="http://schemas.microsoft.com/office/drawing/2014/main" id="{00000000-0008-0000-0000-00008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28" name="Picture 11" hidden="1">
          <a:extLst>
            <a:ext uri="{FF2B5EF4-FFF2-40B4-BE49-F238E27FC236}">
              <a16:creationId xmlns:a16="http://schemas.microsoft.com/office/drawing/2014/main" id="{00000000-0008-0000-0000-00008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30" name="Picture 8329" hidden="1">
          <a:extLst>
            <a:ext uri="{FF2B5EF4-FFF2-40B4-BE49-F238E27FC236}">
              <a16:creationId xmlns:a16="http://schemas.microsoft.com/office/drawing/2014/main" id="{00000000-0008-0000-0000-00008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32" name="Picture 11" hidden="1">
          <a:extLst>
            <a:ext uri="{FF2B5EF4-FFF2-40B4-BE49-F238E27FC236}">
              <a16:creationId xmlns:a16="http://schemas.microsoft.com/office/drawing/2014/main" id="{00000000-0008-0000-0000-00008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34" name="Picture 11" hidden="1">
          <a:extLst>
            <a:ext uri="{FF2B5EF4-FFF2-40B4-BE49-F238E27FC236}">
              <a16:creationId xmlns:a16="http://schemas.microsoft.com/office/drawing/2014/main" id="{00000000-0008-0000-0000-00008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36" name="Picture 11" hidden="1">
          <a:extLst>
            <a:ext uri="{FF2B5EF4-FFF2-40B4-BE49-F238E27FC236}">
              <a16:creationId xmlns:a16="http://schemas.microsoft.com/office/drawing/2014/main" id="{00000000-0008-0000-0000-00009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38" name="Picture 11" hidden="1">
          <a:extLst>
            <a:ext uri="{FF2B5EF4-FFF2-40B4-BE49-F238E27FC236}">
              <a16:creationId xmlns:a16="http://schemas.microsoft.com/office/drawing/2014/main" id="{00000000-0008-0000-0000-00009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40" name="Picture 11" hidden="1">
          <a:extLst>
            <a:ext uri="{FF2B5EF4-FFF2-40B4-BE49-F238E27FC236}">
              <a16:creationId xmlns:a16="http://schemas.microsoft.com/office/drawing/2014/main" id="{00000000-0008-0000-0000-00009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42" name="Picture 11" hidden="1">
          <a:extLst>
            <a:ext uri="{FF2B5EF4-FFF2-40B4-BE49-F238E27FC236}">
              <a16:creationId xmlns:a16="http://schemas.microsoft.com/office/drawing/2014/main" id="{00000000-0008-0000-0000-00009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44" name="Picture 11" hidden="1">
          <a:extLst>
            <a:ext uri="{FF2B5EF4-FFF2-40B4-BE49-F238E27FC236}">
              <a16:creationId xmlns:a16="http://schemas.microsoft.com/office/drawing/2014/main" id="{00000000-0008-0000-0000-00009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46" name="Picture 11" hidden="1">
          <a:extLst>
            <a:ext uri="{FF2B5EF4-FFF2-40B4-BE49-F238E27FC236}">
              <a16:creationId xmlns:a16="http://schemas.microsoft.com/office/drawing/2014/main" id="{00000000-0008-0000-0000-00009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48" name="Picture 11" hidden="1">
          <a:extLst>
            <a:ext uri="{FF2B5EF4-FFF2-40B4-BE49-F238E27FC236}">
              <a16:creationId xmlns:a16="http://schemas.microsoft.com/office/drawing/2014/main" id="{00000000-0008-0000-0000-00009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50" name="Picture 11" hidden="1">
          <a:extLst>
            <a:ext uri="{FF2B5EF4-FFF2-40B4-BE49-F238E27FC236}">
              <a16:creationId xmlns:a16="http://schemas.microsoft.com/office/drawing/2014/main" id="{00000000-0008-0000-0000-00009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52" name="Picture 11" hidden="1">
          <a:extLst>
            <a:ext uri="{FF2B5EF4-FFF2-40B4-BE49-F238E27FC236}">
              <a16:creationId xmlns:a16="http://schemas.microsoft.com/office/drawing/2014/main" id="{00000000-0008-0000-0000-0000A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54" name="Picture 11" hidden="1">
          <a:extLst>
            <a:ext uri="{FF2B5EF4-FFF2-40B4-BE49-F238E27FC236}">
              <a16:creationId xmlns:a16="http://schemas.microsoft.com/office/drawing/2014/main" id="{00000000-0008-0000-0000-0000A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56" name="Picture 11" hidden="1">
          <a:extLst>
            <a:ext uri="{FF2B5EF4-FFF2-40B4-BE49-F238E27FC236}">
              <a16:creationId xmlns:a16="http://schemas.microsoft.com/office/drawing/2014/main" id="{00000000-0008-0000-0000-0000A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58" name="Picture 11" hidden="1">
          <a:extLst>
            <a:ext uri="{FF2B5EF4-FFF2-40B4-BE49-F238E27FC236}">
              <a16:creationId xmlns:a16="http://schemas.microsoft.com/office/drawing/2014/main" id="{00000000-0008-0000-0000-0000A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60" name="Picture 11" hidden="1">
          <a:extLst>
            <a:ext uri="{FF2B5EF4-FFF2-40B4-BE49-F238E27FC236}">
              <a16:creationId xmlns:a16="http://schemas.microsoft.com/office/drawing/2014/main" id="{00000000-0008-0000-0000-0000A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62" name="Picture 11" hidden="1">
          <a:extLst>
            <a:ext uri="{FF2B5EF4-FFF2-40B4-BE49-F238E27FC236}">
              <a16:creationId xmlns:a16="http://schemas.microsoft.com/office/drawing/2014/main" id="{00000000-0008-0000-0000-0000A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64" name="Picture 11" hidden="1">
          <a:extLst>
            <a:ext uri="{FF2B5EF4-FFF2-40B4-BE49-F238E27FC236}">
              <a16:creationId xmlns:a16="http://schemas.microsoft.com/office/drawing/2014/main" id="{00000000-0008-0000-0000-0000A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66" name="Picture 11" hidden="1">
          <a:extLst>
            <a:ext uri="{FF2B5EF4-FFF2-40B4-BE49-F238E27FC236}">
              <a16:creationId xmlns:a16="http://schemas.microsoft.com/office/drawing/2014/main" id="{00000000-0008-0000-0000-0000A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68" name="Picture 11" hidden="1">
          <a:extLst>
            <a:ext uri="{FF2B5EF4-FFF2-40B4-BE49-F238E27FC236}">
              <a16:creationId xmlns:a16="http://schemas.microsoft.com/office/drawing/2014/main" id="{00000000-0008-0000-0000-0000B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70" name="Picture 11" hidden="1">
          <a:extLst>
            <a:ext uri="{FF2B5EF4-FFF2-40B4-BE49-F238E27FC236}">
              <a16:creationId xmlns:a16="http://schemas.microsoft.com/office/drawing/2014/main" id="{00000000-0008-0000-0000-0000B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72" name="Picture 11" hidden="1">
          <a:extLst>
            <a:ext uri="{FF2B5EF4-FFF2-40B4-BE49-F238E27FC236}">
              <a16:creationId xmlns:a16="http://schemas.microsoft.com/office/drawing/2014/main" id="{00000000-0008-0000-0000-0000B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74" name="Picture 11" hidden="1">
          <a:extLst>
            <a:ext uri="{FF2B5EF4-FFF2-40B4-BE49-F238E27FC236}">
              <a16:creationId xmlns:a16="http://schemas.microsoft.com/office/drawing/2014/main" id="{00000000-0008-0000-0000-0000B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76" name="Picture 11" hidden="1">
          <a:extLst>
            <a:ext uri="{FF2B5EF4-FFF2-40B4-BE49-F238E27FC236}">
              <a16:creationId xmlns:a16="http://schemas.microsoft.com/office/drawing/2014/main" id="{00000000-0008-0000-0000-0000B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78" name="Picture 11" hidden="1">
          <a:extLst>
            <a:ext uri="{FF2B5EF4-FFF2-40B4-BE49-F238E27FC236}">
              <a16:creationId xmlns:a16="http://schemas.microsoft.com/office/drawing/2014/main" id="{00000000-0008-0000-0000-0000B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80" name="Picture 11" hidden="1">
          <a:extLst>
            <a:ext uri="{FF2B5EF4-FFF2-40B4-BE49-F238E27FC236}">
              <a16:creationId xmlns:a16="http://schemas.microsoft.com/office/drawing/2014/main" id="{00000000-0008-0000-0000-0000B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82" name="Picture 11" hidden="1">
          <a:extLst>
            <a:ext uri="{FF2B5EF4-FFF2-40B4-BE49-F238E27FC236}">
              <a16:creationId xmlns:a16="http://schemas.microsoft.com/office/drawing/2014/main" id="{00000000-0008-0000-0000-0000B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84" name="Picture 11" hidden="1">
          <a:extLst>
            <a:ext uri="{FF2B5EF4-FFF2-40B4-BE49-F238E27FC236}">
              <a16:creationId xmlns:a16="http://schemas.microsoft.com/office/drawing/2014/main" id="{00000000-0008-0000-0000-0000C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86" name="Picture 11" hidden="1">
          <a:extLst>
            <a:ext uri="{FF2B5EF4-FFF2-40B4-BE49-F238E27FC236}">
              <a16:creationId xmlns:a16="http://schemas.microsoft.com/office/drawing/2014/main" id="{00000000-0008-0000-0000-0000C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88" name="Picture 11" hidden="1">
          <a:extLst>
            <a:ext uri="{FF2B5EF4-FFF2-40B4-BE49-F238E27FC236}">
              <a16:creationId xmlns:a16="http://schemas.microsoft.com/office/drawing/2014/main" id="{00000000-0008-0000-0000-0000C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90" name="Picture 11" hidden="1">
          <a:extLst>
            <a:ext uri="{FF2B5EF4-FFF2-40B4-BE49-F238E27FC236}">
              <a16:creationId xmlns:a16="http://schemas.microsoft.com/office/drawing/2014/main" id="{00000000-0008-0000-0000-0000C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92" name="Picture 11" hidden="1">
          <a:extLst>
            <a:ext uri="{FF2B5EF4-FFF2-40B4-BE49-F238E27FC236}">
              <a16:creationId xmlns:a16="http://schemas.microsoft.com/office/drawing/2014/main" id="{00000000-0008-0000-0000-0000C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94" name="Picture 11" hidden="1">
          <a:extLst>
            <a:ext uri="{FF2B5EF4-FFF2-40B4-BE49-F238E27FC236}">
              <a16:creationId xmlns:a16="http://schemas.microsoft.com/office/drawing/2014/main" id="{00000000-0008-0000-0000-0000C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96" name="Picture 11" hidden="1">
          <a:extLst>
            <a:ext uri="{FF2B5EF4-FFF2-40B4-BE49-F238E27FC236}">
              <a16:creationId xmlns:a16="http://schemas.microsoft.com/office/drawing/2014/main" id="{00000000-0008-0000-0000-0000C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98" name="Picture 11" hidden="1">
          <a:extLst>
            <a:ext uri="{FF2B5EF4-FFF2-40B4-BE49-F238E27FC236}">
              <a16:creationId xmlns:a16="http://schemas.microsoft.com/office/drawing/2014/main" id="{00000000-0008-0000-0000-0000C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00" name="Picture 11" hidden="1">
          <a:extLst>
            <a:ext uri="{FF2B5EF4-FFF2-40B4-BE49-F238E27FC236}">
              <a16:creationId xmlns:a16="http://schemas.microsoft.com/office/drawing/2014/main" id="{00000000-0008-0000-0000-0000D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02" name="Picture 11" hidden="1">
          <a:extLst>
            <a:ext uri="{FF2B5EF4-FFF2-40B4-BE49-F238E27FC236}">
              <a16:creationId xmlns:a16="http://schemas.microsoft.com/office/drawing/2014/main" id="{00000000-0008-0000-0000-0000D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04" name="Picture 11" hidden="1">
          <a:extLst>
            <a:ext uri="{FF2B5EF4-FFF2-40B4-BE49-F238E27FC236}">
              <a16:creationId xmlns:a16="http://schemas.microsoft.com/office/drawing/2014/main" id="{00000000-0008-0000-0000-0000D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06" name="Picture 11" hidden="1">
          <a:extLst>
            <a:ext uri="{FF2B5EF4-FFF2-40B4-BE49-F238E27FC236}">
              <a16:creationId xmlns:a16="http://schemas.microsoft.com/office/drawing/2014/main" id="{00000000-0008-0000-0000-0000D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08" name="Picture 11" hidden="1">
          <a:extLst>
            <a:ext uri="{FF2B5EF4-FFF2-40B4-BE49-F238E27FC236}">
              <a16:creationId xmlns:a16="http://schemas.microsoft.com/office/drawing/2014/main" id="{00000000-0008-0000-0000-0000D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10" name="Picture 11" hidden="1">
          <a:extLst>
            <a:ext uri="{FF2B5EF4-FFF2-40B4-BE49-F238E27FC236}">
              <a16:creationId xmlns:a16="http://schemas.microsoft.com/office/drawing/2014/main" id="{00000000-0008-0000-0000-0000D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12" name="Picture 11" hidden="1">
          <a:extLst>
            <a:ext uri="{FF2B5EF4-FFF2-40B4-BE49-F238E27FC236}">
              <a16:creationId xmlns:a16="http://schemas.microsoft.com/office/drawing/2014/main" id="{00000000-0008-0000-0000-0000D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14" name="Picture 11" hidden="1">
          <a:extLst>
            <a:ext uri="{FF2B5EF4-FFF2-40B4-BE49-F238E27FC236}">
              <a16:creationId xmlns:a16="http://schemas.microsoft.com/office/drawing/2014/main" id="{00000000-0008-0000-0000-0000D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16" name="Picture 11" hidden="1">
          <a:extLst>
            <a:ext uri="{FF2B5EF4-FFF2-40B4-BE49-F238E27FC236}">
              <a16:creationId xmlns:a16="http://schemas.microsoft.com/office/drawing/2014/main" id="{00000000-0008-0000-0000-0000E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18" name="Picture 11" hidden="1">
          <a:extLst>
            <a:ext uri="{FF2B5EF4-FFF2-40B4-BE49-F238E27FC236}">
              <a16:creationId xmlns:a16="http://schemas.microsoft.com/office/drawing/2014/main" id="{00000000-0008-0000-0000-0000E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20" name="Picture 11" hidden="1">
          <a:extLst>
            <a:ext uri="{FF2B5EF4-FFF2-40B4-BE49-F238E27FC236}">
              <a16:creationId xmlns:a16="http://schemas.microsoft.com/office/drawing/2014/main" id="{00000000-0008-0000-0000-0000E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22" name="Picture 11" hidden="1">
          <a:extLst>
            <a:ext uri="{FF2B5EF4-FFF2-40B4-BE49-F238E27FC236}">
              <a16:creationId xmlns:a16="http://schemas.microsoft.com/office/drawing/2014/main" id="{00000000-0008-0000-0000-0000E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24" name="Picture 11" hidden="1">
          <a:extLst>
            <a:ext uri="{FF2B5EF4-FFF2-40B4-BE49-F238E27FC236}">
              <a16:creationId xmlns:a16="http://schemas.microsoft.com/office/drawing/2014/main" id="{00000000-0008-0000-0000-0000E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26" name="Picture 11" hidden="1">
          <a:extLst>
            <a:ext uri="{FF2B5EF4-FFF2-40B4-BE49-F238E27FC236}">
              <a16:creationId xmlns:a16="http://schemas.microsoft.com/office/drawing/2014/main" id="{00000000-0008-0000-0000-0000E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28" name="Picture 11" hidden="1">
          <a:extLst>
            <a:ext uri="{FF2B5EF4-FFF2-40B4-BE49-F238E27FC236}">
              <a16:creationId xmlns:a16="http://schemas.microsoft.com/office/drawing/2014/main" id="{00000000-0008-0000-0000-0000E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8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0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8430" name="Picture 11" hidden="1">
          <a:extLst>
            <a:ext uri="{FF2B5EF4-FFF2-40B4-BE49-F238E27FC236}">
              <a16:creationId xmlns:a16="http://schemas.microsoft.com/office/drawing/2014/main" id="{00000000-0008-0000-0000-0000E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32" name="Picture 11" hidden="1">
          <a:extLst>
            <a:ext uri="{FF2B5EF4-FFF2-40B4-BE49-F238E27FC236}">
              <a16:creationId xmlns:a16="http://schemas.microsoft.com/office/drawing/2014/main" id="{00000000-0008-0000-0000-0000F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34" name="Picture 11" hidden="1">
          <a:extLst>
            <a:ext uri="{FF2B5EF4-FFF2-40B4-BE49-F238E27FC236}">
              <a16:creationId xmlns:a16="http://schemas.microsoft.com/office/drawing/2014/main" id="{00000000-0008-0000-0000-0000F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36" name="Picture 11" hidden="1">
          <a:extLst>
            <a:ext uri="{FF2B5EF4-FFF2-40B4-BE49-F238E27FC236}">
              <a16:creationId xmlns:a16="http://schemas.microsoft.com/office/drawing/2014/main" id="{00000000-0008-0000-0000-0000F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38" name="Picture 8437" hidden="1">
          <a:extLst>
            <a:ext uri="{FF2B5EF4-FFF2-40B4-BE49-F238E27FC236}">
              <a16:creationId xmlns:a16="http://schemas.microsoft.com/office/drawing/2014/main" id="{00000000-0008-0000-0000-0000F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40" name="Picture 11" hidden="1">
          <a:extLst>
            <a:ext uri="{FF2B5EF4-FFF2-40B4-BE49-F238E27FC236}">
              <a16:creationId xmlns:a16="http://schemas.microsoft.com/office/drawing/2014/main" id="{00000000-0008-0000-0000-0000F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42" name="Picture 11" hidden="1">
          <a:extLst>
            <a:ext uri="{FF2B5EF4-FFF2-40B4-BE49-F238E27FC236}">
              <a16:creationId xmlns:a16="http://schemas.microsoft.com/office/drawing/2014/main" id="{00000000-0008-0000-0000-0000F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44" name="Picture 11" hidden="1">
          <a:extLst>
            <a:ext uri="{FF2B5EF4-FFF2-40B4-BE49-F238E27FC236}">
              <a16:creationId xmlns:a16="http://schemas.microsoft.com/office/drawing/2014/main" id="{00000000-0008-0000-0000-0000F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46" name="Picture 11" hidden="1">
          <a:extLst>
            <a:ext uri="{FF2B5EF4-FFF2-40B4-BE49-F238E27FC236}">
              <a16:creationId xmlns:a16="http://schemas.microsoft.com/office/drawing/2014/main" id="{00000000-0008-0000-0000-0000F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48" name="Picture 11" hidden="1">
          <a:extLst>
            <a:ext uri="{FF2B5EF4-FFF2-40B4-BE49-F238E27FC236}">
              <a16:creationId xmlns:a16="http://schemas.microsoft.com/office/drawing/2014/main" id="{00000000-0008-0000-0000-00000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50" name="Picture 11" hidden="1">
          <a:extLst>
            <a:ext uri="{FF2B5EF4-FFF2-40B4-BE49-F238E27FC236}">
              <a16:creationId xmlns:a16="http://schemas.microsoft.com/office/drawing/2014/main" id="{00000000-0008-0000-0000-00000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52" name="Picture 11" hidden="1">
          <a:extLst>
            <a:ext uri="{FF2B5EF4-FFF2-40B4-BE49-F238E27FC236}">
              <a16:creationId xmlns:a16="http://schemas.microsoft.com/office/drawing/2014/main" id="{00000000-0008-0000-0000-00000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54" name="Picture 11" hidden="1">
          <a:extLst>
            <a:ext uri="{FF2B5EF4-FFF2-40B4-BE49-F238E27FC236}">
              <a16:creationId xmlns:a16="http://schemas.microsoft.com/office/drawing/2014/main" id="{00000000-0008-0000-0000-00000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56" name="Picture 11" hidden="1">
          <a:extLst>
            <a:ext uri="{FF2B5EF4-FFF2-40B4-BE49-F238E27FC236}">
              <a16:creationId xmlns:a16="http://schemas.microsoft.com/office/drawing/2014/main" id="{00000000-0008-0000-0000-00000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58" name="Picture 11" hidden="1">
          <a:extLst>
            <a:ext uri="{FF2B5EF4-FFF2-40B4-BE49-F238E27FC236}">
              <a16:creationId xmlns:a16="http://schemas.microsoft.com/office/drawing/2014/main" id="{00000000-0008-0000-0000-00000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60" name="Picture 11" hidden="1">
          <a:extLst>
            <a:ext uri="{FF2B5EF4-FFF2-40B4-BE49-F238E27FC236}">
              <a16:creationId xmlns:a16="http://schemas.microsoft.com/office/drawing/2014/main" id="{00000000-0008-0000-0000-00000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62" name="Picture 11" hidden="1">
          <a:extLst>
            <a:ext uri="{FF2B5EF4-FFF2-40B4-BE49-F238E27FC236}">
              <a16:creationId xmlns:a16="http://schemas.microsoft.com/office/drawing/2014/main" id="{00000000-0008-0000-0000-00000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64" name="Picture 11" hidden="1">
          <a:extLst>
            <a:ext uri="{FF2B5EF4-FFF2-40B4-BE49-F238E27FC236}">
              <a16:creationId xmlns:a16="http://schemas.microsoft.com/office/drawing/2014/main" id="{00000000-0008-0000-0000-00001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66" name="Picture 11" hidden="1">
          <a:extLst>
            <a:ext uri="{FF2B5EF4-FFF2-40B4-BE49-F238E27FC236}">
              <a16:creationId xmlns:a16="http://schemas.microsoft.com/office/drawing/2014/main" id="{00000000-0008-0000-0000-00001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68" name="Picture 11" hidden="1">
          <a:extLst>
            <a:ext uri="{FF2B5EF4-FFF2-40B4-BE49-F238E27FC236}">
              <a16:creationId xmlns:a16="http://schemas.microsoft.com/office/drawing/2014/main" id="{00000000-0008-0000-0000-00001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70" name="Picture 11" hidden="1">
          <a:extLst>
            <a:ext uri="{FF2B5EF4-FFF2-40B4-BE49-F238E27FC236}">
              <a16:creationId xmlns:a16="http://schemas.microsoft.com/office/drawing/2014/main" id="{00000000-0008-0000-0000-00001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72" name="Picture 11" hidden="1">
          <a:extLst>
            <a:ext uri="{FF2B5EF4-FFF2-40B4-BE49-F238E27FC236}">
              <a16:creationId xmlns:a16="http://schemas.microsoft.com/office/drawing/2014/main" id="{00000000-0008-0000-0000-00001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74" name="Picture 11" hidden="1">
          <a:extLst>
            <a:ext uri="{FF2B5EF4-FFF2-40B4-BE49-F238E27FC236}">
              <a16:creationId xmlns:a16="http://schemas.microsoft.com/office/drawing/2014/main" id="{00000000-0008-0000-0000-00001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76" name="Picture 11" hidden="1">
          <a:extLst>
            <a:ext uri="{FF2B5EF4-FFF2-40B4-BE49-F238E27FC236}">
              <a16:creationId xmlns:a16="http://schemas.microsoft.com/office/drawing/2014/main" id="{00000000-0008-0000-0000-00001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78" name="Picture 11" hidden="1">
          <a:extLst>
            <a:ext uri="{FF2B5EF4-FFF2-40B4-BE49-F238E27FC236}">
              <a16:creationId xmlns:a16="http://schemas.microsoft.com/office/drawing/2014/main" id="{00000000-0008-0000-0000-00001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80" name="Picture 11" hidden="1">
          <a:extLst>
            <a:ext uri="{FF2B5EF4-FFF2-40B4-BE49-F238E27FC236}">
              <a16:creationId xmlns:a16="http://schemas.microsoft.com/office/drawing/2014/main" id="{00000000-0008-0000-0000-00002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82" name="Picture 11" hidden="1">
          <a:extLst>
            <a:ext uri="{FF2B5EF4-FFF2-40B4-BE49-F238E27FC236}">
              <a16:creationId xmlns:a16="http://schemas.microsoft.com/office/drawing/2014/main" id="{00000000-0008-0000-0000-00002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84" name="Picture 11" hidden="1">
          <a:extLst>
            <a:ext uri="{FF2B5EF4-FFF2-40B4-BE49-F238E27FC236}">
              <a16:creationId xmlns:a16="http://schemas.microsoft.com/office/drawing/2014/main" id="{00000000-0008-0000-0000-00002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86" name="Picture 11" hidden="1">
          <a:extLst>
            <a:ext uri="{FF2B5EF4-FFF2-40B4-BE49-F238E27FC236}">
              <a16:creationId xmlns:a16="http://schemas.microsoft.com/office/drawing/2014/main" id="{00000000-0008-0000-0000-00002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88" name="Picture 11" hidden="1">
          <a:extLst>
            <a:ext uri="{FF2B5EF4-FFF2-40B4-BE49-F238E27FC236}">
              <a16:creationId xmlns:a16="http://schemas.microsoft.com/office/drawing/2014/main" id="{00000000-0008-0000-0000-00002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90" name="Picture 11" hidden="1">
          <a:extLst>
            <a:ext uri="{FF2B5EF4-FFF2-40B4-BE49-F238E27FC236}">
              <a16:creationId xmlns:a16="http://schemas.microsoft.com/office/drawing/2014/main" id="{00000000-0008-0000-0000-00002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92" name="Picture 11" hidden="1">
          <a:extLst>
            <a:ext uri="{FF2B5EF4-FFF2-40B4-BE49-F238E27FC236}">
              <a16:creationId xmlns:a16="http://schemas.microsoft.com/office/drawing/2014/main" id="{00000000-0008-0000-0000-00002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94" name="Picture 11" hidden="1">
          <a:extLst>
            <a:ext uri="{FF2B5EF4-FFF2-40B4-BE49-F238E27FC236}">
              <a16:creationId xmlns:a16="http://schemas.microsoft.com/office/drawing/2014/main" id="{00000000-0008-0000-0000-00002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96" name="Picture 11" hidden="1">
          <a:extLst>
            <a:ext uri="{FF2B5EF4-FFF2-40B4-BE49-F238E27FC236}">
              <a16:creationId xmlns:a16="http://schemas.microsoft.com/office/drawing/2014/main" id="{00000000-0008-0000-0000-00003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98" name="Picture 11" hidden="1">
          <a:extLst>
            <a:ext uri="{FF2B5EF4-FFF2-40B4-BE49-F238E27FC236}">
              <a16:creationId xmlns:a16="http://schemas.microsoft.com/office/drawing/2014/main" id="{00000000-0008-0000-0000-00003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00" name="Picture 11" hidden="1">
          <a:extLst>
            <a:ext uri="{FF2B5EF4-FFF2-40B4-BE49-F238E27FC236}">
              <a16:creationId xmlns:a16="http://schemas.microsoft.com/office/drawing/2014/main" id="{00000000-0008-0000-0000-00003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02" name="Picture 11" hidden="1">
          <a:extLst>
            <a:ext uri="{FF2B5EF4-FFF2-40B4-BE49-F238E27FC236}">
              <a16:creationId xmlns:a16="http://schemas.microsoft.com/office/drawing/2014/main" id="{00000000-0008-0000-0000-00003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04" name="Picture 11" hidden="1">
          <a:extLst>
            <a:ext uri="{FF2B5EF4-FFF2-40B4-BE49-F238E27FC236}">
              <a16:creationId xmlns:a16="http://schemas.microsoft.com/office/drawing/2014/main" id="{00000000-0008-0000-0000-00003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06" name="Picture 11" hidden="1">
          <a:extLst>
            <a:ext uri="{FF2B5EF4-FFF2-40B4-BE49-F238E27FC236}">
              <a16:creationId xmlns:a16="http://schemas.microsoft.com/office/drawing/2014/main" id="{00000000-0008-0000-0000-00003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08" name="Picture 11" hidden="1">
          <a:extLst>
            <a:ext uri="{FF2B5EF4-FFF2-40B4-BE49-F238E27FC236}">
              <a16:creationId xmlns:a16="http://schemas.microsoft.com/office/drawing/2014/main" id="{00000000-0008-0000-0000-00003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10" name="Picture 11" hidden="1">
          <a:extLst>
            <a:ext uri="{FF2B5EF4-FFF2-40B4-BE49-F238E27FC236}">
              <a16:creationId xmlns:a16="http://schemas.microsoft.com/office/drawing/2014/main" id="{00000000-0008-0000-0000-00003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12" name="Picture 11" hidden="1">
          <a:extLst>
            <a:ext uri="{FF2B5EF4-FFF2-40B4-BE49-F238E27FC236}">
              <a16:creationId xmlns:a16="http://schemas.microsoft.com/office/drawing/2014/main" id="{00000000-0008-0000-0000-00004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14" name="Picture 11" hidden="1">
          <a:extLst>
            <a:ext uri="{FF2B5EF4-FFF2-40B4-BE49-F238E27FC236}">
              <a16:creationId xmlns:a16="http://schemas.microsoft.com/office/drawing/2014/main" id="{00000000-0008-0000-0000-00004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16" name="Picture 11" hidden="1">
          <a:extLst>
            <a:ext uri="{FF2B5EF4-FFF2-40B4-BE49-F238E27FC236}">
              <a16:creationId xmlns:a16="http://schemas.microsoft.com/office/drawing/2014/main" id="{00000000-0008-0000-0000-00004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18" name="Picture 11" hidden="1">
          <a:extLst>
            <a:ext uri="{FF2B5EF4-FFF2-40B4-BE49-F238E27FC236}">
              <a16:creationId xmlns:a16="http://schemas.microsoft.com/office/drawing/2014/main" id="{00000000-0008-0000-0000-00004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20" name="Picture 11" hidden="1">
          <a:extLst>
            <a:ext uri="{FF2B5EF4-FFF2-40B4-BE49-F238E27FC236}">
              <a16:creationId xmlns:a16="http://schemas.microsoft.com/office/drawing/2014/main" id="{00000000-0008-0000-0000-00004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22" name="Picture 11" hidden="1">
          <a:extLst>
            <a:ext uri="{FF2B5EF4-FFF2-40B4-BE49-F238E27FC236}">
              <a16:creationId xmlns:a16="http://schemas.microsoft.com/office/drawing/2014/main" id="{00000000-0008-0000-0000-00004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24" name="Picture 11" hidden="1">
          <a:extLst>
            <a:ext uri="{FF2B5EF4-FFF2-40B4-BE49-F238E27FC236}">
              <a16:creationId xmlns:a16="http://schemas.microsoft.com/office/drawing/2014/main" id="{00000000-0008-0000-0000-00004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26" name="Picture 11" hidden="1">
          <a:extLst>
            <a:ext uri="{FF2B5EF4-FFF2-40B4-BE49-F238E27FC236}">
              <a16:creationId xmlns:a16="http://schemas.microsoft.com/office/drawing/2014/main" id="{00000000-0008-0000-0000-00004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28" name="Picture 11" hidden="1">
          <a:extLst>
            <a:ext uri="{FF2B5EF4-FFF2-40B4-BE49-F238E27FC236}">
              <a16:creationId xmlns:a16="http://schemas.microsoft.com/office/drawing/2014/main" id="{00000000-0008-0000-0000-00005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30" name="Picture 11" hidden="1">
          <a:extLst>
            <a:ext uri="{FF2B5EF4-FFF2-40B4-BE49-F238E27FC236}">
              <a16:creationId xmlns:a16="http://schemas.microsoft.com/office/drawing/2014/main" id="{00000000-0008-0000-0000-00005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32" name="Picture 11" hidden="1">
          <a:extLst>
            <a:ext uri="{FF2B5EF4-FFF2-40B4-BE49-F238E27FC236}">
              <a16:creationId xmlns:a16="http://schemas.microsoft.com/office/drawing/2014/main" id="{00000000-0008-0000-0000-00005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34" name="Picture 11" hidden="1">
          <a:extLst>
            <a:ext uri="{FF2B5EF4-FFF2-40B4-BE49-F238E27FC236}">
              <a16:creationId xmlns:a16="http://schemas.microsoft.com/office/drawing/2014/main" id="{00000000-0008-0000-0000-00005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36" name="Picture 11" hidden="1">
          <a:extLst>
            <a:ext uri="{FF2B5EF4-FFF2-40B4-BE49-F238E27FC236}">
              <a16:creationId xmlns:a16="http://schemas.microsoft.com/office/drawing/2014/main" id="{00000000-0008-0000-0000-00005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38" name="Picture 11" hidden="1">
          <a:extLst>
            <a:ext uri="{FF2B5EF4-FFF2-40B4-BE49-F238E27FC236}">
              <a16:creationId xmlns:a16="http://schemas.microsoft.com/office/drawing/2014/main" id="{00000000-0008-0000-0000-00005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40" name="Picture 11" hidden="1">
          <a:extLst>
            <a:ext uri="{FF2B5EF4-FFF2-40B4-BE49-F238E27FC236}">
              <a16:creationId xmlns:a16="http://schemas.microsoft.com/office/drawing/2014/main" id="{00000000-0008-0000-0000-00005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42" name="Picture 11" hidden="1">
          <a:extLst>
            <a:ext uri="{FF2B5EF4-FFF2-40B4-BE49-F238E27FC236}">
              <a16:creationId xmlns:a16="http://schemas.microsoft.com/office/drawing/2014/main" id="{00000000-0008-0000-0000-00005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44" name="Picture 11" hidden="1">
          <a:extLst>
            <a:ext uri="{FF2B5EF4-FFF2-40B4-BE49-F238E27FC236}">
              <a16:creationId xmlns:a16="http://schemas.microsoft.com/office/drawing/2014/main" id="{00000000-0008-0000-0000-00006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46" name="Picture 8545" hidden="1">
          <a:extLst>
            <a:ext uri="{FF2B5EF4-FFF2-40B4-BE49-F238E27FC236}">
              <a16:creationId xmlns:a16="http://schemas.microsoft.com/office/drawing/2014/main" id="{00000000-0008-0000-0000-00006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48" name="Picture 11" hidden="1">
          <a:extLst>
            <a:ext uri="{FF2B5EF4-FFF2-40B4-BE49-F238E27FC236}">
              <a16:creationId xmlns:a16="http://schemas.microsoft.com/office/drawing/2014/main" id="{00000000-0008-0000-0000-00006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50" name="Picture 11" hidden="1">
          <a:extLst>
            <a:ext uri="{FF2B5EF4-FFF2-40B4-BE49-F238E27FC236}">
              <a16:creationId xmlns:a16="http://schemas.microsoft.com/office/drawing/2014/main" id="{00000000-0008-0000-0000-00006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52" name="Picture 11" hidden="1">
          <a:extLst>
            <a:ext uri="{FF2B5EF4-FFF2-40B4-BE49-F238E27FC236}">
              <a16:creationId xmlns:a16="http://schemas.microsoft.com/office/drawing/2014/main" id="{00000000-0008-0000-0000-00006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54" name="Picture 11" hidden="1">
          <a:extLst>
            <a:ext uri="{FF2B5EF4-FFF2-40B4-BE49-F238E27FC236}">
              <a16:creationId xmlns:a16="http://schemas.microsoft.com/office/drawing/2014/main" id="{00000000-0008-0000-0000-00006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56" name="Picture 11" hidden="1">
          <a:extLst>
            <a:ext uri="{FF2B5EF4-FFF2-40B4-BE49-F238E27FC236}">
              <a16:creationId xmlns:a16="http://schemas.microsoft.com/office/drawing/2014/main" id="{00000000-0008-0000-0000-00006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58" name="Picture 11" hidden="1">
          <a:extLst>
            <a:ext uri="{FF2B5EF4-FFF2-40B4-BE49-F238E27FC236}">
              <a16:creationId xmlns:a16="http://schemas.microsoft.com/office/drawing/2014/main" id="{00000000-0008-0000-0000-00006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60" name="Picture 11" hidden="1">
          <a:extLst>
            <a:ext uri="{FF2B5EF4-FFF2-40B4-BE49-F238E27FC236}">
              <a16:creationId xmlns:a16="http://schemas.microsoft.com/office/drawing/2014/main" id="{00000000-0008-0000-0000-00007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62" name="Picture 11" hidden="1">
          <a:extLst>
            <a:ext uri="{FF2B5EF4-FFF2-40B4-BE49-F238E27FC236}">
              <a16:creationId xmlns:a16="http://schemas.microsoft.com/office/drawing/2014/main" id="{00000000-0008-0000-0000-00007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64" name="Picture 11" hidden="1">
          <a:extLst>
            <a:ext uri="{FF2B5EF4-FFF2-40B4-BE49-F238E27FC236}">
              <a16:creationId xmlns:a16="http://schemas.microsoft.com/office/drawing/2014/main" id="{00000000-0008-0000-0000-00007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66" name="Picture 11" hidden="1">
          <a:extLst>
            <a:ext uri="{FF2B5EF4-FFF2-40B4-BE49-F238E27FC236}">
              <a16:creationId xmlns:a16="http://schemas.microsoft.com/office/drawing/2014/main" id="{00000000-0008-0000-0000-00007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68" name="Picture 11" hidden="1">
          <a:extLst>
            <a:ext uri="{FF2B5EF4-FFF2-40B4-BE49-F238E27FC236}">
              <a16:creationId xmlns:a16="http://schemas.microsoft.com/office/drawing/2014/main" id="{00000000-0008-0000-0000-00007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70" name="Picture 11" hidden="1">
          <a:extLst>
            <a:ext uri="{FF2B5EF4-FFF2-40B4-BE49-F238E27FC236}">
              <a16:creationId xmlns:a16="http://schemas.microsoft.com/office/drawing/2014/main" id="{00000000-0008-0000-0000-00007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72" name="Picture 11" hidden="1">
          <a:extLst>
            <a:ext uri="{FF2B5EF4-FFF2-40B4-BE49-F238E27FC236}">
              <a16:creationId xmlns:a16="http://schemas.microsoft.com/office/drawing/2014/main" id="{00000000-0008-0000-0000-00007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74" name="Picture 11" hidden="1">
          <a:extLst>
            <a:ext uri="{FF2B5EF4-FFF2-40B4-BE49-F238E27FC236}">
              <a16:creationId xmlns:a16="http://schemas.microsoft.com/office/drawing/2014/main" id="{00000000-0008-0000-0000-00007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76" name="Picture 11" hidden="1">
          <a:extLst>
            <a:ext uri="{FF2B5EF4-FFF2-40B4-BE49-F238E27FC236}">
              <a16:creationId xmlns:a16="http://schemas.microsoft.com/office/drawing/2014/main" id="{00000000-0008-0000-0000-00008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78" name="Picture 11" hidden="1">
          <a:extLst>
            <a:ext uri="{FF2B5EF4-FFF2-40B4-BE49-F238E27FC236}">
              <a16:creationId xmlns:a16="http://schemas.microsoft.com/office/drawing/2014/main" id="{00000000-0008-0000-0000-00008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80" name="Picture 11" hidden="1">
          <a:extLst>
            <a:ext uri="{FF2B5EF4-FFF2-40B4-BE49-F238E27FC236}">
              <a16:creationId xmlns:a16="http://schemas.microsoft.com/office/drawing/2014/main" id="{00000000-0008-0000-0000-00008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82" name="Picture 11" hidden="1">
          <a:extLst>
            <a:ext uri="{FF2B5EF4-FFF2-40B4-BE49-F238E27FC236}">
              <a16:creationId xmlns:a16="http://schemas.microsoft.com/office/drawing/2014/main" id="{00000000-0008-0000-0000-00008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84" name="Picture 11" hidden="1">
          <a:extLst>
            <a:ext uri="{FF2B5EF4-FFF2-40B4-BE49-F238E27FC236}">
              <a16:creationId xmlns:a16="http://schemas.microsoft.com/office/drawing/2014/main" id="{00000000-0008-0000-0000-00008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86" name="Picture 11" hidden="1">
          <a:extLst>
            <a:ext uri="{FF2B5EF4-FFF2-40B4-BE49-F238E27FC236}">
              <a16:creationId xmlns:a16="http://schemas.microsoft.com/office/drawing/2014/main" id="{00000000-0008-0000-0000-00008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88" name="Picture 11" hidden="1">
          <a:extLst>
            <a:ext uri="{FF2B5EF4-FFF2-40B4-BE49-F238E27FC236}">
              <a16:creationId xmlns:a16="http://schemas.microsoft.com/office/drawing/2014/main" id="{00000000-0008-0000-0000-00008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90" name="Picture 11" hidden="1">
          <a:extLst>
            <a:ext uri="{FF2B5EF4-FFF2-40B4-BE49-F238E27FC236}">
              <a16:creationId xmlns:a16="http://schemas.microsoft.com/office/drawing/2014/main" id="{00000000-0008-0000-0000-00008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92" name="Picture 11" hidden="1">
          <a:extLst>
            <a:ext uri="{FF2B5EF4-FFF2-40B4-BE49-F238E27FC236}">
              <a16:creationId xmlns:a16="http://schemas.microsoft.com/office/drawing/2014/main" id="{00000000-0008-0000-0000-00009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94" name="Picture 11" hidden="1">
          <a:extLst>
            <a:ext uri="{FF2B5EF4-FFF2-40B4-BE49-F238E27FC236}">
              <a16:creationId xmlns:a16="http://schemas.microsoft.com/office/drawing/2014/main" id="{00000000-0008-0000-0000-00009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96" name="Picture 11" hidden="1">
          <a:extLst>
            <a:ext uri="{FF2B5EF4-FFF2-40B4-BE49-F238E27FC236}">
              <a16:creationId xmlns:a16="http://schemas.microsoft.com/office/drawing/2014/main" id="{00000000-0008-0000-0000-00009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98" name="Picture 11" hidden="1">
          <a:extLst>
            <a:ext uri="{FF2B5EF4-FFF2-40B4-BE49-F238E27FC236}">
              <a16:creationId xmlns:a16="http://schemas.microsoft.com/office/drawing/2014/main" id="{00000000-0008-0000-0000-00009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00" name="Picture 11" hidden="1">
          <a:extLst>
            <a:ext uri="{FF2B5EF4-FFF2-40B4-BE49-F238E27FC236}">
              <a16:creationId xmlns:a16="http://schemas.microsoft.com/office/drawing/2014/main" id="{00000000-0008-0000-0000-00009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02" name="Picture 11" hidden="1">
          <a:extLst>
            <a:ext uri="{FF2B5EF4-FFF2-40B4-BE49-F238E27FC236}">
              <a16:creationId xmlns:a16="http://schemas.microsoft.com/office/drawing/2014/main" id="{00000000-0008-0000-0000-00009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04" name="Picture 11" hidden="1">
          <a:extLst>
            <a:ext uri="{FF2B5EF4-FFF2-40B4-BE49-F238E27FC236}">
              <a16:creationId xmlns:a16="http://schemas.microsoft.com/office/drawing/2014/main" id="{00000000-0008-0000-0000-00009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06" name="Picture 11" hidden="1">
          <a:extLst>
            <a:ext uri="{FF2B5EF4-FFF2-40B4-BE49-F238E27FC236}">
              <a16:creationId xmlns:a16="http://schemas.microsoft.com/office/drawing/2014/main" id="{00000000-0008-0000-0000-00009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08" name="Picture 11" hidden="1">
          <a:extLst>
            <a:ext uri="{FF2B5EF4-FFF2-40B4-BE49-F238E27FC236}">
              <a16:creationId xmlns:a16="http://schemas.microsoft.com/office/drawing/2014/main" id="{00000000-0008-0000-0000-0000A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10" name="Picture 11" hidden="1">
          <a:extLst>
            <a:ext uri="{FF2B5EF4-FFF2-40B4-BE49-F238E27FC236}">
              <a16:creationId xmlns:a16="http://schemas.microsoft.com/office/drawing/2014/main" id="{00000000-0008-0000-0000-0000A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12" name="Picture 11" hidden="1">
          <a:extLst>
            <a:ext uri="{FF2B5EF4-FFF2-40B4-BE49-F238E27FC236}">
              <a16:creationId xmlns:a16="http://schemas.microsoft.com/office/drawing/2014/main" id="{00000000-0008-0000-0000-0000A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14" name="Picture 11" hidden="1">
          <a:extLst>
            <a:ext uri="{FF2B5EF4-FFF2-40B4-BE49-F238E27FC236}">
              <a16:creationId xmlns:a16="http://schemas.microsoft.com/office/drawing/2014/main" id="{00000000-0008-0000-0000-0000A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16" name="Picture 11" hidden="1">
          <a:extLst>
            <a:ext uri="{FF2B5EF4-FFF2-40B4-BE49-F238E27FC236}">
              <a16:creationId xmlns:a16="http://schemas.microsoft.com/office/drawing/2014/main" id="{00000000-0008-0000-0000-0000A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18" name="Picture 11" hidden="1">
          <a:extLst>
            <a:ext uri="{FF2B5EF4-FFF2-40B4-BE49-F238E27FC236}">
              <a16:creationId xmlns:a16="http://schemas.microsoft.com/office/drawing/2014/main" id="{00000000-0008-0000-0000-0000A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20" name="Picture 11" hidden="1">
          <a:extLst>
            <a:ext uri="{FF2B5EF4-FFF2-40B4-BE49-F238E27FC236}">
              <a16:creationId xmlns:a16="http://schemas.microsoft.com/office/drawing/2014/main" id="{00000000-0008-0000-0000-0000A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22" name="Picture 11" hidden="1">
          <a:extLst>
            <a:ext uri="{FF2B5EF4-FFF2-40B4-BE49-F238E27FC236}">
              <a16:creationId xmlns:a16="http://schemas.microsoft.com/office/drawing/2014/main" id="{00000000-0008-0000-0000-0000A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24" name="Picture 11" hidden="1">
          <a:extLst>
            <a:ext uri="{FF2B5EF4-FFF2-40B4-BE49-F238E27FC236}">
              <a16:creationId xmlns:a16="http://schemas.microsoft.com/office/drawing/2014/main" id="{00000000-0008-0000-0000-0000B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26" name="Picture 11" hidden="1">
          <a:extLst>
            <a:ext uri="{FF2B5EF4-FFF2-40B4-BE49-F238E27FC236}">
              <a16:creationId xmlns:a16="http://schemas.microsoft.com/office/drawing/2014/main" id="{00000000-0008-0000-0000-0000B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28" name="Picture 11" hidden="1">
          <a:extLst>
            <a:ext uri="{FF2B5EF4-FFF2-40B4-BE49-F238E27FC236}">
              <a16:creationId xmlns:a16="http://schemas.microsoft.com/office/drawing/2014/main" id="{00000000-0008-0000-0000-0000B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30" name="Picture 11" hidden="1">
          <a:extLst>
            <a:ext uri="{FF2B5EF4-FFF2-40B4-BE49-F238E27FC236}">
              <a16:creationId xmlns:a16="http://schemas.microsoft.com/office/drawing/2014/main" id="{00000000-0008-0000-0000-0000B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32" name="Picture 11" hidden="1">
          <a:extLst>
            <a:ext uri="{FF2B5EF4-FFF2-40B4-BE49-F238E27FC236}">
              <a16:creationId xmlns:a16="http://schemas.microsoft.com/office/drawing/2014/main" id="{00000000-0008-0000-0000-0000B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34" name="Picture 11" hidden="1">
          <a:extLst>
            <a:ext uri="{FF2B5EF4-FFF2-40B4-BE49-F238E27FC236}">
              <a16:creationId xmlns:a16="http://schemas.microsoft.com/office/drawing/2014/main" id="{00000000-0008-0000-0000-0000B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36" name="Picture 11" hidden="1">
          <a:extLst>
            <a:ext uri="{FF2B5EF4-FFF2-40B4-BE49-F238E27FC236}">
              <a16:creationId xmlns:a16="http://schemas.microsoft.com/office/drawing/2014/main" id="{00000000-0008-0000-0000-0000B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38" name="Picture 11" hidden="1">
          <a:extLst>
            <a:ext uri="{FF2B5EF4-FFF2-40B4-BE49-F238E27FC236}">
              <a16:creationId xmlns:a16="http://schemas.microsoft.com/office/drawing/2014/main" id="{00000000-0008-0000-0000-0000B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40" name="Picture 11" hidden="1">
          <a:extLst>
            <a:ext uri="{FF2B5EF4-FFF2-40B4-BE49-F238E27FC236}">
              <a16:creationId xmlns:a16="http://schemas.microsoft.com/office/drawing/2014/main" id="{00000000-0008-0000-0000-0000C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42" name="Picture 11" hidden="1">
          <a:extLst>
            <a:ext uri="{FF2B5EF4-FFF2-40B4-BE49-F238E27FC236}">
              <a16:creationId xmlns:a16="http://schemas.microsoft.com/office/drawing/2014/main" id="{00000000-0008-0000-0000-0000C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44" name="Picture 11" hidden="1">
          <a:extLst>
            <a:ext uri="{FF2B5EF4-FFF2-40B4-BE49-F238E27FC236}">
              <a16:creationId xmlns:a16="http://schemas.microsoft.com/office/drawing/2014/main" id="{00000000-0008-0000-0000-0000C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46" name="Picture 11" hidden="1">
          <a:extLst>
            <a:ext uri="{FF2B5EF4-FFF2-40B4-BE49-F238E27FC236}">
              <a16:creationId xmlns:a16="http://schemas.microsoft.com/office/drawing/2014/main" id="{00000000-0008-0000-0000-0000C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48" name="Picture 11" hidden="1">
          <a:extLst>
            <a:ext uri="{FF2B5EF4-FFF2-40B4-BE49-F238E27FC236}">
              <a16:creationId xmlns:a16="http://schemas.microsoft.com/office/drawing/2014/main" id="{00000000-0008-0000-0000-0000C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50" name="Picture 11" hidden="1">
          <a:extLst>
            <a:ext uri="{FF2B5EF4-FFF2-40B4-BE49-F238E27FC236}">
              <a16:creationId xmlns:a16="http://schemas.microsoft.com/office/drawing/2014/main" id="{00000000-0008-0000-0000-0000C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52" name="Picture 11" hidden="1">
          <a:extLst>
            <a:ext uri="{FF2B5EF4-FFF2-40B4-BE49-F238E27FC236}">
              <a16:creationId xmlns:a16="http://schemas.microsoft.com/office/drawing/2014/main" id="{00000000-0008-0000-0000-0000C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54" name="Picture 8653" hidden="1">
          <a:extLst>
            <a:ext uri="{FF2B5EF4-FFF2-40B4-BE49-F238E27FC236}">
              <a16:creationId xmlns:a16="http://schemas.microsoft.com/office/drawing/2014/main" id="{00000000-0008-0000-0000-0000C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56" name="Picture 11" hidden="1">
          <a:extLst>
            <a:ext uri="{FF2B5EF4-FFF2-40B4-BE49-F238E27FC236}">
              <a16:creationId xmlns:a16="http://schemas.microsoft.com/office/drawing/2014/main" id="{00000000-0008-0000-0000-0000D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58" name="Picture 11" hidden="1">
          <a:extLst>
            <a:ext uri="{FF2B5EF4-FFF2-40B4-BE49-F238E27FC236}">
              <a16:creationId xmlns:a16="http://schemas.microsoft.com/office/drawing/2014/main" id="{00000000-0008-0000-0000-0000D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60" name="Picture 11" hidden="1">
          <a:extLst>
            <a:ext uri="{FF2B5EF4-FFF2-40B4-BE49-F238E27FC236}">
              <a16:creationId xmlns:a16="http://schemas.microsoft.com/office/drawing/2014/main" id="{00000000-0008-0000-0000-0000D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62" name="Picture 11" hidden="1">
          <a:extLst>
            <a:ext uri="{FF2B5EF4-FFF2-40B4-BE49-F238E27FC236}">
              <a16:creationId xmlns:a16="http://schemas.microsoft.com/office/drawing/2014/main" id="{00000000-0008-0000-0000-0000D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64" name="Picture 11" hidden="1">
          <a:extLst>
            <a:ext uri="{FF2B5EF4-FFF2-40B4-BE49-F238E27FC236}">
              <a16:creationId xmlns:a16="http://schemas.microsoft.com/office/drawing/2014/main" id="{00000000-0008-0000-0000-0000D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66" name="Picture 11" hidden="1">
          <a:extLst>
            <a:ext uri="{FF2B5EF4-FFF2-40B4-BE49-F238E27FC236}">
              <a16:creationId xmlns:a16="http://schemas.microsoft.com/office/drawing/2014/main" id="{00000000-0008-0000-0000-0000D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68" name="Picture 11" hidden="1">
          <a:extLst>
            <a:ext uri="{FF2B5EF4-FFF2-40B4-BE49-F238E27FC236}">
              <a16:creationId xmlns:a16="http://schemas.microsoft.com/office/drawing/2014/main" id="{00000000-0008-0000-0000-0000D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70" name="Picture 11" hidden="1">
          <a:extLst>
            <a:ext uri="{FF2B5EF4-FFF2-40B4-BE49-F238E27FC236}">
              <a16:creationId xmlns:a16="http://schemas.microsoft.com/office/drawing/2014/main" id="{00000000-0008-0000-0000-0000D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72" name="Picture 11" hidden="1">
          <a:extLst>
            <a:ext uri="{FF2B5EF4-FFF2-40B4-BE49-F238E27FC236}">
              <a16:creationId xmlns:a16="http://schemas.microsoft.com/office/drawing/2014/main" id="{00000000-0008-0000-0000-0000E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74" name="Picture 11" hidden="1">
          <a:extLst>
            <a:ext uri="{FF2B5EF4-FFF2-40B4-BE49-F238E27FC236}">
              <a16:creationId xmlns:a16="http://schemas.microsoft.com/office/drawing/2014/main" id="{00000000-0008-0000-0000-0000E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76" name="Picture 11" hidden="1">
          <a:extLst>
            <a:ext uri="{FF2B5EF4-FFF2-40B4-BE49-F238E27FC236}">
              <a16:creationId xmlns:a16="http://schemas.microsoft.com/office/drawing/2014/main" id="{00000000-0008-0000-0000-0000E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78" name="Picture 11" hidden="1">
          <a:extLst>
            <a:ext uri="{FF2B5EF4-FFF2-40B4-BE49-F238E27FC236}">
              <a16:creationId xmlns:a16="http://schemas.microsoft.com/office/drawing/2014/main" id="{00000000-0008-0000-0000-0000E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80" name="Picture 11" hidden="1">
          <a:extLst>
            <a:ext uri="{FF2B5EF4-FFF2-40B4-BE49-F238E27FC236}">
              <a16:creationId xmlns:a16="http://schemas.microsoft.com/office/drawing/2014/main" id="{00000000-0008-0000-0000-0000E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82" name="Picture 11" hidden="1">
          <a:extLst>
            <a:ext uri="{FF2B5EF4-FFF2-40B4-BE49-F238E27FC236}">
              <a16:creationId xmlns:a16="http://schemas.microsoft.com/office/drawing/2014/main" id="{00000000-0008-0000-0000-0000E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84" name="Picture 11" hidden="1">
          <a:extLst>
            <a:ext uri="{FF2B5EF4-FFF2-40B4-BE49-F238E27FC236}">
              <a16:creationId xmlns:a16="http://schemas.microsoft.com/office/drawing/2014/main" id="{00000000-0008-0000-0000-0000E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86" name="Picture 11" hidden="1">
          <a:extLst>
            <a:ext uri="{FF2B5EF4-FFF2-40B4-BE49-F238E27FC236}">
              <a16:creationId xmlns:a16="http://schemas.microsoft.com/office/drawing/2014/main" id="{00000000-0008-0000-0000-0000E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88" name="Picture 11" hidden="1">
          <a:extLst>
            <a:ext uri="{FF2B5EF4-FFF2-40B4-BE49-F238E27FC236}">
              <a16:creationId xmlns:a16="http://schemas.microsoft.com/office/drawing/2014/main" id="{00000000-0008-0000-0000-0000F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90" name="Picture 11" hidden="1">
          <a:extLst>
            <a:ext uri="{FF2B5EF4-FFF2-40B4-BE49-F238E27FC236}">
              <a16:creationId xmlns:a16="http://schemas.microsoft.com/office/drawing/2014/main" id="{00000000-0008-0000-0000-0000F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92" name="Picture 11" hidden="1">
          <a:extLst>
            <a:ext uri="{FF2B5EF4-FFF2-40B4-BE49-F238E27FC236}">
              <a16:creationId xmlns:a16="http://schemas.microsoft.com/office/drawing/2014/main" id="{00000000-0008-0000-0000-0000F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94" name="Picture 11" hidden="1">
          <a:extLst>
            <a:ext uri="{FF2B5EF4-FFF2-40B4-BE49-F238E27FC236}">
              <a16:creationId xmlns:a16="http://schemas.microsoft.com/office/drawing/2014/main" id="{00000000-0008-0000-0000-0000F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96" name="Picture 11" hidden="1">
          <a:extLst>
            <a:ext uri="{FF2B5EF4-FFF2-40B4-BE49-F238E27FC236}">
              <a16:creationId xmlns:a16="http://schemas.microsoft.com/office/drawing/2014/main" id="{00000000-0008-0000-0000-0000F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98" name="Picture 11" hidden="1">
          <a:extLst>
            <a:ext uri="{FF2B5EF4-FFF2-40B4-BE49-F238E27FC236}">
              <a16:creationId xmlns:a16="http://schemas.microsoft.com/office/drawing/2014/main" id="{00000000-0008-0000-0000-0000F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00" name="Picture 11" hidden="1">
          <a:extLst>
            <a:ext uri="{FF2B5EF4-FFF2-40B4-BE49-F238E27FC236}">
              <a16:creationId xmlns:a16="http://schemas.microsoft.com/office/drawing/2014/main" id="{00000000-0008-0000-0000-0000F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02" name="Picture 11" hidden="1">
          <a:extLst>
            <a:ext uri="{FF2B5EF4-FFF2-40B4-BE49-F238E27FC236}">
              <a16:creationId xmlns:a16="http://schemas.microsoft.com/office/drawing/2014/main" id="{00000000-0008-0000-0000-0000F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04" name="Picture 11" hidden="1">
          <a:extLst>
            <a:ext uri="{FF2B5EF4-FFF2-40B4-BE49-F238E27FC236}">
              <a16:creationId xmlns:a16="http://schemas.microsoft.com/office/drawing/2014/main" id="{00000000-0008-0000-0000-00000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06" name="Picture 11" hidden="1">
          <a:extLst>
            <a:ext uri="{FF2B5EF4-FFF2-40B4-BE49-F238E27FC236}">
              <a16:creationId xmlns:a16="http://schemas.microsoft.com/office/drawing/2014/main" id="{00000000-0008-0000-0000-00000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08" name="Picture 11" hidden="1">
          <a:extLst>
            <a:ext uri="{FF2B5EF4-FFF2-40B4-BE49-F238E27FC236}">
              <a16:creationId xmlns:a16="http://schemas.microsoft.com/office/drawing/2014/main" id="{00000000-0008-0000-0000-00000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10" name="Picture 11" hidden="1">
          <a:extLst>
            <a:ext uri="{FF2B5EF4-FFF2-40B4-BE49-F238E27FC236}">
              <a16:creationId xmlns:a16="http://schemas.microsoft.com/office/drawing/2014/main" id="{00000000-0008-0000-0000-00000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12" name="Picture 11" hidden="1">
          <a:extLst>
            <a:ext uri="{FF2B5EF4-FFF2-40B4-BE49-F238E27FC236}">
              <a16:creationId xmlns:a16="http://schemas.microsoft.com/office/drawing/2014/main" id="{00000000-0008-0000-0000-00000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14" name="Picture 11" hidden="1">
          <a:extLst>
            <a:ext uri="{FF2B5EF4-FFF2-40B4-BE49-F238E27FC236}">
              <a16:creationId xmlns:a16="http://schemas.microsoft.com/office/drawing/2014/main" id="{00000000-0008-0000-0000-00000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16" name="Picture 11" hidden="1">
          <a:extLst>
            <a:ext uri="{FF2B5EF4-FFF2-40B4-BE49-F238E27FC236}">
              <a16:creationId xmlns:a16="http://schemas.microsoft.com/office/drawing/2014/main" id="{00000000-0008-0000-0000-00000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18" name="Picture 11" hidden="1">
          <a:extLst>
            <a:ext uri="{FF2B5EF4-FFF2-40B4-BE49-F238E27FC236}">
              <a16:creationId xmlns:a16="http://schemas.microsoft.com/office/drawing/2014/main" id="{00000000-0008-0000-0000-00000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20" name="Picture 11" hidden="1">
          <a:extLst>
            <a:ext uri="{FF2B5EF4-FFF2-40B4-BE49-F238E27FC236}">
              <a16:creationId xmlns:a16="http://schemas.microsoft.com/office/drawing/2014/main" id="{00000000-0008-0000-0000-00001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22" name="Picture 11" hidden="1">
          <a:extLst>
            <a:ext uri="{FF2B5EF4-FFF2-40B4-BE49-F238E27FC236}">
              <a16:creationId xmlns:a16="http://schemas.microsoft.com/office/drawing/2014/main" id="{00000000-0008-0000-0000-00001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24" name="Picture 11" hidden="1">
          <a:extLst>
            <a:ext uri="{FF2B5EF4-FFF2-40B4-BE49-F238E27FC236}">
              <a16:creationId xmlns:a16="http://schemas.microsoft.com/office/drawing/2014/main" id="{00000000-0008-0000-0000-00001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26" name="Picture 11" hidden="1">
          <a:extLst>
            <a:ext uri="{FF2B5EF4-FFF2-40B4-BE49-F238E27FC236}">
              <a16:creationId xmlns:a16="http://schemas.microsoft.com/office/drawing/2014/main" id="{00000000-0008-0000-0000-00001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28" name="Picture 11" hidden="1">
          <a:extLst>
            <a:ext uri="{FF2B5EF4-FFF2-40B4-BE49-F238E27FC236}">
              <a16:creationId xmlns:a16="http://schemas.microsoft.com/office/drawing/2014/main" id="{00000000-0008-0000-0000-00001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30" name="Picture 11" hidden="1">
          <a:extLst>
            <a:ext uri="{FF2B5EF4-FFF2-40B4-BE49-F238E27FC236}">
              <a16:creationId xmlns:a16="http://schemas.microsoft.com/office/drawing/2014/main" id="{00000000-0008-0000-0000-00001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32" name="Picture 11" hidden="1">
          <a:extLst>
            <a:ext uri="{FF2B5EF4-FFF2-40B4-BE49-F238E27FC236}">
              <a16:creationId xmlns:a16="http://schemas.microsoft.com/office/drawing/2014/main" id="{00000000-0008-0000-0000-00001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34" name="Picture 11" hidden="1">
          <a:extLst>
            <a:ext uri="{FF2B5EF4-FFF2-40B4-BE49-F238E27FC236}">
              <a16:creationId xmlns:a16="http://schemas.microsoft.com/office/drawing/2014/main" id="{00000000-0008-0000-0000-00001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36" name="Picture 11" hidden="1">
          <a:extLst>
            <a:ext uri="{FF2B5EF4-FFF2-40B4-BE49-F238E27FC236}">
              <a16:creationId xmlns:a16="http://schemas.microsoft.com/office/drawing/2014/main" id="{00000000-0008-0000-0000-00002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38" name="Picture 11" hidden="1">
          <a:extLst>
            <a:ext uri="{FF2B5EF4-FFF2-40B4-BE49-F238E27FC236}">
              <a16:creationId xmlns:a16="http://schemas.microsoft.com/office/drawing/2014/main" id="{00000000-0008-0000-0000-00002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40" name="Picture 11" hidden="1">
          <a:extLst>
            <a:ext uri="{FF2B5EF4-FFF2-40B4-BE49-F238E27FC236}">
              <a16:creationId xmlns:a16="http://schemas.microsoft.com/office/drawing/2014/main" id="{00000000-0008-0000-0000-00002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42" name="Picture 11" hidden="1">
          <a:extLst>
            <a:ext uri="{FF2B5EF4-FFF2-40B4-BE49-F238E27FC236}">
              <a16:creationId xmlns:a16="http://schemas.microsoft.com/office/drawing/2014/main" id="{00000000-0008-0000-0000-00002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44" name="Picture 11" hidden="1">
          <a:extLst>
            <a:ext uri="{FF2B5EF4-FFF2-40B4-BE49-F238E27FC236}">
              <a16:creationId xmlns:a16="http://schemas.microsoft.com/office/drawing/2014/main" id="{00000000-0008-0000-0000-00002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46" name="Picture 11" hidden="1">
          <a:extLst>
            <a:ext uri="{FF2B5EF4-FFF2-40B4-BE49-F238E27FC236}">
              <a16:creationId xmlns:a16="http://schemas.microsoft.com/office/drawing/2014/main" id="{00000000-0008-0000-0000-00002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48" name="Picture 11" hidden="1">
          <a:extLst>
            <a:ext uri="{FF2B5EF4-FFF2-40B4-BE49-F238E27FC236}">
              <a16:creationId xmlns:a16="http://schemas.microsoft.com/office/drawing/2014/main" id="{00000000-0008-0000-0000-00002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50" name="Picture 11" hidden="1">
          <a:extLst>
            <a:ext uri="{FF2B5EF4-FFF2-40B4-BE49-F238E27FC236}">
              <a16:creationId xmlns:a16="http://schemas.microsoft.com/office/drawing/2014/main" id="{00000000-0008-0000-0000-00002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52" name="Picture 11" hidden="1">
          <a:extLst>
            <a:ext uri="{FF2B5EF4-FFF2-40B4-BE49-F238E27FC236}">
              <a16:creationId xmlns:a16="http://schemas.microsoft.com/office/drawing/2014/main" id="{00000000-0008-0000-0000-00003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54" name="Picture 11" hidden="1">
          <a:extLst>
            <a:ext uri="{FF2B5EF4-FFF2-40B4-BE49-F238E27FC236}">
              <a16:creationId xmlns:a16="http://schemas.microsoft.com/office/drawing/2014/main" id="{00000000-0008-0000-0000-00003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56" name="Picture 11" hidden="1">
          <a:extLst>
            <a:ext uri="{FF2B5EF4-FFF2-40B4-BE49-F238E27FC236}">
              <a16:creationId xmlns:a16="http://schemas.microsoft.com/office/drawing/2014/main" id="{00000000-0008-0000-0000-00003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58" name="Picture 11" hidden="1">
          <a:extLst>
            <a:ext uri="{FF2B5EF4-FFF2-40B4-BE49-F238E27FC236}">
              <a16:creationId xmlns:a16="http://schemas.microsoft.com/office/drawing/2014/main" id="{00000000-0008-0000-0000-00003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60" name="Picture 11" hidden="1">
          <a:extLst>
            <a:ext uri="{FF2B5EF4-FFF2-40B4-BE49-F238E27FC236}">
              <a16:creationId xmlns:a16="http://schemas.microsoft.com/office/drawing/2014/main" id="{00000000-0008-0000-0000-00003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62" name="Picture 8761" hidden="1">
          <a:extLst>
            <a:ext uri="{FF2B5EF4-FFF2-40B4-BE49-F238E27FC236}">
              <a16:creationId xmlns:a16="http://schemas.microsoft.com/office/drawing/2014/main" id="{00000000-0008-0000-0000-00003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64" name="Picture 11" hidden="1">
          <a:extLst>
            <a:ext uri="{FF2B5EF4-FFF2-40B4-BE49-F238E27FC236}">
              <a16:creationId xmlns:a16="http://schemas.microsoft.com/office/drawing/2014/main" id="{00000000-0008-0000-0000-00003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66" name="Picture 11" hidden="1">
          <a:extLst>
            <a:ext uri="{FF2B5EF4-FFF2-40B4-BE49-F238E27FC236}">
              <a16:creationId xmlns:a16="http://schemas.microsoft.com/office/drawing/2014/main" id="{00000000-0008-0000-0000-00003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68" name="Picture 11" hidden="1">
          <a:extLst>
            <a:ext uri="{FF2B5EF4-FFF2-40B4-BE49-F238E27FC236}">
              <a16:creationId xmlns:a16="http://schemas.microsoft.com/office/drawing/2014/main" id="{00000000-0008-0000-0000-00004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70" name="Picture 11" hidden="1">
          <a:extLst>
            <a:ext uri="{FF2B5EF4-FFF2-40B4-BE49-F238E27FC236}">
              <a16:creationId xmlns:a16="http://schemas.microsoft.com/office/drawing/2014/main" id="{00000000-0008-0000-0000-00004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72" name="Picture 11" hidden="1">
          <a:extLst>
            <a:ext uri="{FF2B5EF4-FFF2-40B4-BE49-F238E27FC236}">
              <a16:creationId xmlns:a16="http://schemas.microsoft.com/office/drawing/2014/main" id="{00000000-0008-0000-0000-00004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74" name="Picture 11" hidden="1">
          <a:extLst>
            <a:ext uri="{FF2B5EF4-FFF2-40B4-BE49-F238E27FC236}">
              <a16:creationId xmlns:a16="http://schemas.microsoft.com/office/drawing/2014/main" id="{00000000-0008-0000-0000-00004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76" name="Picture 11" hidden="1">
          <a:extLst>
            <a:ext uri="{FF2B5EF4-FFF2-40B4-BE49-F238E27FC236}">
              <a16:creationId xmlns:a16="http://schemas.microsoft.com/office/drawing/2014/main" id="{00000000-0008-0000-0000-00004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78" name="Picture 11" hidden="1">
          <a:extLst>
            <a:ext uri="{FF2B5EF4-FFF2-40B4-BE49-F238E27FC236}">
              <a16:creationId xmlns:a16="http://schemas.microsoft.com/office/drawing/2014/main" id="{00000000-0008-0000-0000-00004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80" name="Picture 11" hidden="1">
          <a:extLst>
            <a:ext uri="{FF2B5EF4-FFF2-40B4-BE49-F238E27FC236}">
              <a16:creationId xmlns:a16="http://schemas.microsoft.com/office/drawing/2014/main" id="{00000000-0008-0000-0000-00004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82" name="Picture 11" hidden="1">
          <a:extLst>
            <a:ext uri="{FF2B5EF4-FFF2-40B4-BE49-F238E27FC236}">
              <a16:creationId xmlns:a16="http://schemas.microsoft.com/office/drawing/2014/main" id="{00000000-0008-0000-0000-00004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84" name="Picture 11" hidden="1">
          <a:extLst>
            <a:ext uri="{FF2B5EF4-FFF2-40B4-BE49-F238E27FC236}">
              <a16:creationId xmlns:a16="http://schemas.microsoft.com/office/drawing/2014/main" id="{00000000-0008-0000-0000-00005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86" name="Picture 11" hidden="1">
          <a:extLst>
            <a:ext uri="{FF2B5EF4-FFF2-40B4-BE49-F238E27FC236}">
              <a16:creationId xmlns:a16="http://schemas.microsoft.com/office/drawing/2014/main" id="{00000000-0008-0000-0000-00005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88" name="Picture 11" hidden="1">
          <a:extLst>
            <a:ext uri="{FF2B5EF4-FFF2-40B4-BE49-F238E27FC236}">
              <a16:creationId xmlns:a16="http://schemas.microsoft.com/office/drawing/2014/main" id="{00000000-0008-0000-0000-00005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90" name="Picture 11" hidden="1">
          <a:extLst>
            <a:ext uri="{FF2B5EF4-FFF2-40B4-BE49-F238E27FC236}">
              <a16:creationId xmlns:a16="http://schemas.microsoft.com/office/drawing/2014/main" id="{00000000-0008-0000-0000-00005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92" name="Picture 11" hidden="1">
          <a:extLst>
            <a:ext uri="{FF2B5EF4-FFF2-40B4-BE49-F238E27FC236}">
              <a16:creationId xmlns:a16="http://schemas.microsoft.com/office/drawing/2014/main" id="{00000000-0008-0000-0000-00005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94" name="Picture 11" hidden="1">
          <a:extLst>
            <a:ext uri="{FF2B5EF4-FFF2-40B4-BE49-F238E27FC236}">
              <a16:creationId xmlns:a16="http://schemas.microsoft.com/office/drawing/2014/main" id="{00000000-0008-0000-0000-00005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96" name="Picture 11" hidden="1">
          <a:extLst>
            <a:ext uri="{FF2B5EF4-FFF2-40B4-BE49-F238E27FC236}">
              <a16:creationId xmlns:a16="http://schemas.microsoft.com/office/drawing/2014/main" id="{00000000-0008-0000-0000-00005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98" name="Picture 11" hidden="1">
          <a:extLst>
            <a:ext uri="{FF2B5EF4-FFF2-40B4-BE49-F238E27FC236}">
              <a16:creationId xmlns:a16="http://schemas.microsoft.com/office/drawing/2014/main" id="{00000000-0008-0000-0000-00005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00" name="Picture 11" hidden="1">
          <a:extLst>
            <a:ext uri="{FF2B5EF4-FFF2-40B4-BE49-F238E27FC236}">
              <a16:creationId xmlns:a16="http://schemas.microsoft.com/office/drawing/2014/main" id="{00000000-0008-0000-0000-00006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02" name="Picture 11" hidden="1">
          <a:extLst>
            <a:ext uri="{FF2B5EF4-FFF2-40B4-BE49-F238E27FC236}">
              <a16:creationId xmlns:a16="http://schemas.microsoft.com/office/drawing/2014/main" id="{00000000-0008-0000-0000-00006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04" name="Picture 11" hidden="1">
          <a:extLst>
            <a:ext uri="{FF2B5EF4-FFF2-40B4-BE49-F238E27FC236}">
              <a16:creationId xmlns:a16="http://schemas.microsoft.com/office/drawing/2014/main" id="{00000000-0008-0000-0000-00006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06" name="Picture 11" hidden="1">
          <a:extLst>
            <a:ext uri="{FF2B5EF4-FFF2-40B4-BE49-F238E27FC236}">
              <a16:creationId xmlns:a16="http://schemas.microsoft.com/office/drawing/2014/main" id="{00000000-0008-0000-0000-00006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08" name="Picture 11" hidden="1">
          <a:extLst>
            <a:ext uri="{FF2B5EF4-FFF2-40B4-BE49-F238E27FC236}">
              <a16:creationId xmlns:a16="http://schemas.microsoft.com/office/drawing/2014/main" id="{00000000-0008-0000-0000-00006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10" name="Picture 11" hidden="1">
          <a:extLst>
            <a:ext uri="{FF2B5EF4-FFF2-40B4-BE49-F238E27FC236}">
              <a16:creationId xmlns:a16="http://schemas.microsoft.com/office/drawing/2014/main" id="{00000000-0008-0000-0000-00006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12" name="Picture 11" hidden="1">
          <a:extLst>
            <a:ext uri="{FF2B5EF4-FFF2-40B4-BE49-F238E27FC236}">
              <a16:creationId xmlns:a16="http://schemas.microsoft.com/office/drawing/2014/main" id="{00000000-0008-0000-0000-00006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14" name="Picture 11" hidden="1">
          <a:extLst>
            <a:ext uri="{FF2B5EF4-FFF2-40B4-BE49-F238E27FC236}">
              <a16:creationId xmlns:a16="http://schemas.microsoft.com/office/drawing/2014/main" id="{00000000-0008-0000-0000-00006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16" name="Picture 11" hidden="1">
          <a:extLst>
            <a:ext uri="{FF2B5EF4-FFF2-40B4-BE49-F238E27FC236}">
              <a16:creationId xmlns:a16="http://schemas.microsoft.com/office/drawing/2014/main" id="{00000000-0008-0000-0000-00007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18" name="Picture 11" hidden="1">
          <a:extLst>
            <a:ext uri="{FF2B5EF4-FFF2-40B4-BE49-F238E27FC236}">
              <a16:creationId xmlns:a16="http://schemas.microsoft.com/office/drawing/2014/main" id="{00000000-0008-0000-0000-00007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20" name="Picture 11" hidden="1">
          <a:extLst>
            <a:ext uri="{FF2B5EF4-FFF2-40B4-BE49-F238E27FC236}">
              <a16:creationId xmlns:a16="http://schemas.microsoft.com/office/drawing/2014/main" id="{00000000-0008-0000-0000-00007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22" name="Picture 11" hidden="1">
          <a:extLst>
            <a:ext uri="{FF2B5EF4-FFF2-40B4-BE49-F238E27FC236}">
              <a16:creationId xmlns:a16="http://schemas.microsoft.com/office/drawing/2014/main" id="{00000000-0008-0000-0000-00007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24" name="Picture 11" hidden="1">
          <a:extLst>
            <a:ext uri="{FF2B5EF4-FFF2-40B4-BE49-F238E27FC236}">
              <a16:creationId xmlns:a16="http://schemas.microsoft.com/office/drawing/2014/main" id="{00000000-0008-0000-0000-00007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26" name="Picture 11" hidden="1">
          <a:extLst>
            <a:ext uri="{FF2B5EF4-FFF2-40B4-BE49-F238E27FC236}">
              <a16:creationId xmlns:a16="http://schemas.microsoft.com/office/drawing/2014/main" id="{00000000-0008-0000-0000-00007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28" name="Picture 11" hidden="1">
          <a:extLst>
            <a:ext uri="{FF2B5EF4-FFF2-40B4-BE49-F238E27FC236}">
              <a16:creationId xmlns:a16="http://schemas.microsoft.com/office/drawing/2014/main" id="{00000000-0008-0000-0000-00007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30" name="Picture 11" hidden="1">
          <a:extLst>
            <a:ext uri="{FF2B5EF4-FFF2-40B4-BE49-F238E27FC236}">
              <a16:creationId xmlns:a16="http://schemas.microsoft.com/office/drawing/2014/main" id="{00000000-0008-0000-0000-00007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32" name="Picture 11" hidden="1">
          <a:extLst>
            <a:ext uri="{FF2B5EF4-FFF2-40B4-BE49-F238E27FC236}">
              <a16:creationId xmlns:a16="http://schemas.microsoft.com/office/drawing/2014/main" id="{00000000-0008-0000-0000-00008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34" name="Picture 11" hidden="1">
          <a:extLst>
            <a:ext uri="{FF2B5EF4-FFF2-40B4-BE49-F238E27FC236}">
              <a16:creationId xmlns:a16="http://schemas.microsoft.com/office/drawing/2014/main" id="{00000000-0008-0000-0000-00008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36" name="Picture 11" hidden="1">
          <a:extLst>
            <a:ext uri="{FF2B5EF4-FFF2-40B4-BE49-F238E27FC236}">
              <a16:creationId xmlns:a16="http://schemas.microsoft.com/office/drawing/2014/main" id="{00000000-0008-0000-0000-00008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38" name="Picture 11" hidden="1">
          <a:extLst>
            <a:ext uri="{FF2B5EF4-FFF2-40B4-BE49-F238E27FC236}">
              <a16:creationId xmlns:a16="http://schemas.microsoft.com/office/drawing/2014/main" id="{00000000-0008-0000-0000-00008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40" name="Picture 11" hidden="1">
          <a:extLst>
            <a:ext uri="{FF2B5EF4-FFF2-40B4-BE49-F238E27FC236}">
              <a16:creationId xmlns:a16="http://schemas.microsoft.com/office/drawing/2014/main" id="{00000000-0008-0000-0000-00008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42" name="Picture 11" hidden="1">
          <a:extLst>
            <a:ext uri="{FF2B5EF4-FFF2-40B4-BE49-F238E27FC236}">
              <a16:creationId xmlns:a16="http://schemas.microsoft.com/office/drawing/2014/main" id="{00000000-0008-0000-0000-00008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44" name="Picture 11" hidden="1">
          <a:extLst>
            <a:ext uri="{FF2B5EF4-FFF2-40B4-BE49-F238E27FC236}">
              <a16:creationId xmlns:a16="http://schemas.microsoft.com/office/drawing/2014/main" id="{00000000-0008-0000-0000-00008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46" name="Picture 11" hidden="1">
          <a:extLst>
            <a:ext uri="{FF2B5EF4-FFF2-40B4-BE49-F238E27FC236}">
              <a16:creationId xmlns:a16="http://schemas.microsoft.com/office/drawing/2014/main" id="{00000000-0008-0000-0000-00008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48" name="Picture 11" hidden="1">
          <a:extLst>
            <a:ext uri="{FF2B5EF4-FFF2-40B4-BE49-F238E27FC236}">
              <a16:creationId xmlns:a16="http://schemas.microsoft.com/office/drawing/2014/main" id="{00000000-0008-0000-0000-00009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50" name="Picture 11" hidden="1">
          <a:extLst>
            <a:ext uri="{FF2B5EF4-FFF2-40B4-BE49-F238E27FC236}">
              <a16:creationId xmlns:a16="http://schemas.microsoft.com/office/drawing/2014/main" id="{00000000-0008-0000-0000-00009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52" name="Picture 11" hidden="1">
          <a:extLst>
            <a:ext uri="{FF2B5EF4-FFF2-40B4-BE49-F238E27FC236}">
              <a16:creationId xmlns:a16="http://schemas.microsoft.com/office/drawing/2014/main" id="{00000000-0008-0000-0000-00009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54" name="Picture 11" hidden="1">
          <a:extLst>
            <a:ext uri="{FF2B5EF4-FFF2-40B4-BE49-F238E27FC236}">
              <a16:creationId xmlns:a16="http://schemas.microsoft.com/office/drawing/2014/main" id="{00000000-0008-0000-0000-00009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56" name="Picture 11" hidden="1">
          <a:extLst>
            <a:ext uri="{FF2B5EF4-FFF2-40B4-BE49-F238E27FC236}">
              <a16:creationId xmlns:a16="http://schemas.microsoft.com/office/drawing/2014/main" id="{00000000-0008-0000-0000-00009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58" name="Picture 11" hidden="1">
          <a:extLst>
            <a:ext uri="{FF2B5EF4-FFF2-40B4-BE49-F238E27FC236}">
              <a16:creationId xmlns:a16="http://schemas.microsoft.com/office/drawing/2014/main" id="{00000000-0008-0000-0000-00009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60" name="Picture 11" hidden="1">
          <a:extLst>
            <a:ext uri="{FF2B5EF4-FFF2-40B4-BE49-F238E27FC236}">
              <a16:creationId xmlns:a16="http://schemas.microsoft.com/office/drawing/2014/main" id="{00000000-0008-0000-0000-00009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8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2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8862" name="Picture 11" hidden="1">
          <a:extLst>
            <a:ext uri="{FF2B5EF4-FFF2-40B4-BE49-F238E27FC236}">
              <a16:creationId xmlns:a16="http://schemas.microsoft.com/office/drawing/2014/main" id="{00000000-0008-0000-0000-00009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64" name="Picture 11" hidden="1">
          <a:extLst>
            <a:ext uri="{FF2B5EF4-FFF2-40B4-BE49-F238E27FC236}">
              <a16:creationId xmlns:a16="http://schemas.microsoft.com/office/drawing/2014/main" id="{00000000-0008-0000-0000-0000A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66" name="Picture 11" hidden="1">
          <a:extLst>
            <a:ext uri="{FF2B5EF4-FFF2-40B4-BE49-F238E27FC236}">
              <a16:creationId xmlns:a16="http://schemas.microsoft.com/office/drawing/2014/main" id="{00000000-0008-0000-0000-0000A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68" name="Picture 11" hidden="1">
          <a:extLst>
            <a:ext uri="{FF2B5EF4-FFF2-40B4-BE49-F238E27FC236}">
              <a16:creationId xmlns:a16="http://schemas.microsoft.com/office/drawing/2014/main" id="{00000000-0008-0000-0000-0000A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70" name="Picture 8869" hidden="1">
          <a:extLst>
            <a:ext uri="{FF2B5EF4-FFF2-40B4-BE49-F238E27FC236}">
              <a16:creationId xmlns:a16="http://schemas.microsoft.com/office/drawing/2014/main" id="{00000000-0008-0000-0000-0000A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72" name="Picture 11" hidden="1">
          <a:extLst>
            <a:ext uri="{FF2B5EF4-FFF2-40B4-BE49-F238E27FC236}">
              <a16:creationId xmlns:a16="http://schemas.microsoft.com/office/drawing/2014/main" id="{00000000-0008-0000-0000-0000A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74" name="Picture 11" hidden="1">
          <a:extLst>
            <a:ext uri="{FF2B5EF4-FFF2-40B4-BE49-F238E27FC236}">
              <a16:creationId xmlns:a16="http://schemas.microsoft.com/office/drawing/2014/main" id="{00000000-0008-0000-0000-0000A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76" name="Picture 11" hidden="1">
          <a:extLst>
            <a:ext uri="{FF2B5EF4-FFF2-40B4-BE49-F238E27FC236}">
              <a16:creationId xmlns:a16="http://schemas.microsoft.com/office/drawing/2014/main" id="{00000000-0008-0000-0000-0000A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78" name="Picture 11" hidden="1">
          <a:extLst>
            <a:ext uri="{FF2B5EF4-FFF2-40B4-BE49-F238E27FC236}">
              <a16:creationId xmlns:a16="http://schemas.microsoft.com/office/drawing/2014/main" id="{00000000-0008-0000-0000-0000A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80" name="Picture 11" hidden="1">
          <a:extLst>
            <a:ext uri="{FF2B5EF4-FFF2-40B4-BE49-F238E27FC236}">
              <a16:creationId xmlns:a16="http://schemas.microsoft.com/office/drawing/2014/main" id="{00000000-0008-0000-0000-0000B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82" name="Picture 11" hidden="1">
          <a:extLst>
            <a:ext uri="{FF2B5EF4-FFF2-40B4-BE49-F238E27FC236}">
              <a16:creationId xmlns:a16="http://schemas.microsoft.com/office/drawing/2014/main" id="{00000000-0008-0000-0000-0000B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84" name="Picture 11" hidden="1">
          <a:extLst>
            <a:ext uri="{FF2B5EF4-FFF2-40B4-BE49-F238E27FC236}">
              <a16:creationId xmlns:a16="http://schemas.microsoft.com/office/drawing/2014/main" id="{00000000-0008-0000-0000-0000B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86" name="Picture 11" hidden="1">
          <a:extLst>
            <a:ext uri="{FF2B5EF4-FFF2-40B4-BE49-F238E27FC236}">
              <a16:creationId xmlns:a16="http://schemas.microsoft.com/office/drawing/2014/main" id="{00000000-0008-0000-0000-0000B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88" name="Picture 11" hidden="1">
          <a:extLst>
            <a:ext uri="{FF2B5EF4-FFF2-40B4-BE49-F238E27FC236}">
              <a16:creationId xmlns:a16="http://schemas.microsoft.com/office/drawing/2014/main" id="{00000000-0008-0000-0000-0000B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90" name="Picture 11" hidden="1">
          <a:extLst>
            <a:ext uri="{FF2B5EF4-FFF2-40B4-BE49-F238E27FC236}">
              <a16:creationId xmlns:a16="http://schemas.microsoft.com/office/drawing/2014/main" id="{00000000-0008-0000-0000-0000B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92" name="Picture 11" hidden="1">
          <a:extLst>
            <a:ext uri="{FF2B5EF4-FFF2-40B4-BE49-F238E27FC236}">
              <a16:creationId xmlns:a16="http://schemas.microsoft.com/office/drawing/2014/main" id="{00000000-0008-0000-0000-0000B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94" name="Picture 11" hidden="1">
          <a:extLst>
            <a:ext uri="{FF2B5EF4-FFF2-40B4-BE49-F238E27FC236}">
              <a16:creationId xmlns:a16="http://schemas.microsoft.com/office/drawing/2014/main" id="{00000000-0008-0000-0000-0000B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96" name="Picture 11" hidden="1">
          <a:extLst>
            <a:ext uri="{FF2B5EF4-FFF2-40B4-BE49-F238E27FC236}">
              <a16:creationId xmlns:a16="http://schemas.microsoft.com/office/drawing/2014/main" id="{00000000-0008-0000-0000-0000C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98" name="Picture 11" hidden="1">
          <a:extLst>
            <a:ext uri="{FF2B5EF4-FFF2-40B4-BE49-F238E27FC236}">
              <a16:creationId xmlns:a16="http://schemas.microsoft.com/office/drawing/2014/main" id="{00000000-0008-0000-0000-0000C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00" name="Picture 11" hidden="1">
          <a:extLst>
            <a:ext uri="{FF2B5EF4-FFF2-40B4-BE49-F238E27FC236}">
              <a16:creationId xmlns:a16="http://schemas.microsoft.com/office/drawing/2014/main" id="{00000000-0008-0000-0000-0000C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02" name="Picture 11" hidden="1">
          <a:extLst>
            <a:ext uri="{FF2B5EF4-FFF2-40B4-BE49-F238E27FC236}">
              <a16:creationId xmlns:a16="http://schemas.microsoft.com/office/drawing/2014/main" id="{00000000-0008-0000-0000-0000C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04" name="Picture 11" hidden="1">
          <a:extLst>
            <a:ext uri="{FF2B5EF4-FFF2-40B4-BE49-F238E27FC236}">
              <a16:creationId xmlns:a16="http://schemas.microsoft.com/office/drawing/2014/main" id="{00000000-0008-0000-0000-0000C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06" name="Picture 11" hidden="1">
          <a:extLst>
            <a:ext uri="{FF2B5EF4-FFF2-40B4-BE49-F238E27FC236}">
              <a16:creationId xmlns:a16="http://schemas.microsoft.com/office/drawing/2014/main" id="{00000000-0008-0000-0000-0000C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08" name="Picture 11" hidden="1">
          <a:extLst>
            <a:ext uri="{FF2B5EF4-FFF2-40B4-BE49-F238E27FC236}">
              <a16:creationId xmlns:a16="http://schemas.microsoft.com/office/drawing/2014/main" id="{00000000-0008-0000-0000-0000C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10" name="Picture 11" hidden="1">
          <a:extLst>
            <a:ext uri="{FF2B5EF4-FFF2-40B4-BE49-F238E27FC236}">
              <a16:creationId xmlns:a16="http://schemas.microsoft.com/office/drawing/2014/main" id="{00000000-0008-0000-0000-0000C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12" name="Picture 11" hidden="1">
          <a:extLst>
            <a:ext uri="{FF2B5EF4-FFF2-40B4-BE49-F238E27FC236}">
              <a16:creationId xmlns:a16="http://schemas.microsoft.com/office/drawing/2014/main" id="{00000000-0008-0000-0000-0000D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14" name="Picture 11" hidden="1">
          <a:extLst>
            <a:ext uri="{FF2B5EF4-FFF2-40B4-BE49-F238E27FC236}">
              <a16:creationId xmlns:a16="http://schemas.microsoft.com/office/drawing/2014/main" id="{00000000-0008-0000-0000-0000D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16" name="Picture 11" hidden="1">
          <a:extLst>
            <a:ext uri="{FF2B5EF4-FFF2-40B4-BE49-F238E27FC236}">
              <a16:creationId xmlns:a16="http://schemas.microsoft.com/office/drawing/2014/main" id="{00000000-0008-0000-0000-0000D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18" name="Picture 11" hidden="1">
          <a:extLst>
            <a:ext uri="{FF2B5EF4-FFF2-40B4-BE49-F238E27FC236}">
              <a16:creationId xmlns:a16="http://schemas.microsoft.com/office/drawing/2014/main" id="{00000000-0008-0000-0000-0000D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20" name="Picture 11" hidden="1">
          <a:extLst>
            <a:ext uri="{FF2B5EF4-FFF2-40B4-BE49-F238E27FC236}">
              <a16:creationId xmlns:a16="http://schemas.microsoft.com/office/drawing/2014/main" id="{00000000-0008-0000-0000-0000D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22" name="Picture 11" hidden="1">
          <a:extLst>
            <a:ext uri="{FF2B5EF4-FFF2-40B4-BE49-F238E27FC236}">
              <a16:creationId xmlns:a16="http://schemas.microsoft.com/office/drawing/2014/main" id="{00000000-0008-0000-0000-0000D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24" name="Picture 11" hidden="1">
          <a:extLst>
            <a:ext uri="{FF2B5EF4-FFF2-40B4-BE49-F238E27FC236}">
              <a16:creationId xmlns:a16="http://schemas.microsoft.com/office/drawing/2014/main" id="{00000000-0008-0000-0000-0000D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26" name="Picture 11" hidden="1">
          <a:extLst>
            <a:ext uri="{FF2B5EF4-FFF2-40B4-BE49-F238E27FC236}">
              <a16:creationId xmlns:a16="http://schemas.microsoft.com/office/drawing/2014/main" id="{00000000-0008-0000-0000-0000D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28" name="Picture 11" hidden="1">
          <a:extLst>
            <a:ext uri="{FF2B5EF4-FFF2-40B4-BE49-F238E27FC236}">
              <a16:creationId xmlns:a16="http://schemas.microsoft.com/office/drawing/2014/main" id="{00000000-0008-0000-0000-0000E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30" name="Picture 11" hidden="1">
          <a:extLst>
            <a:ext uri="{FF2B5EF4-FFF2-40B4-BE49-F238E27FC236}">
              <a16:creationId xmlns:a16="http://schemas.microsoft.com/office/drawing/2014/main" id="{00000000-0008-0000-0000-0000E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32" name="Picture 11" hidden="1">
          <a:extLst>
            <a:ext uri="{FF2B5EF4-FFF2-40B4-BE49-F238E27FC236}">
              <a16:creationId xmlns:a16="http://schemas.microsoft.com/office/drawing/2014/main" id="{00000000-0008-0000-0000-0000E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34" name="Picture 11" hidden="1">
          <a:extLst>
            <a:ext uri="{FF2B5EF4-FFF2-40B4-BE49-F238E27FC236}">
              <a16:creationId xmlns:a16="http://schemas.microsoft.com/office/drawing/2014/main" id="{00000000-0008-0000-0000-0000E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36" name="Picture 11" hidden="1">
          <a:extLst>
            <a:ext uri="{FF2B5EF4-FFF2-40B4-BE49-F238E27FC236}">
              <a16:creationId xmlns:a16="http://schemas.microsoft.com/office/drawing/2014/main" id="{00000000-0008-0000-0000-0000E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38" name="Picture 11" hidden="1">
          <a:extLst>
            <a:ext uri="{FF2B5EF4-FFF2-40B4-BE49-F238E27FC236}">
              <a16:creationId xmlns:a16="http://schemas.microsoft.com/office/drawing/2014/main" id="{00000000-0008-0000-0000-0000E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40" name="Picture 11" hidden="1">
          <a:extLst>
            <a:ext uri="{FF2B5EF4-FFF2-40B4-BE49-F238E27FC236}">
              <a16:creationId xmlns:a16="http://schemas.microsoft.com/office/drawing/2014/main" id="{00000000-0008-0000-0000-0000E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42" name="Picture 11" hidden="1">
          <a:extLst>
            <a:ext uri="{FF2B5EF4-FFF2-40B4-BE49-F238E27FC236}">
              <a16:creationId xmlns:a16="http://schemas.microsoft.com/office/drawing/2014/main" id="{00000000-0008-0000-0000-0000E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44" name="Picture 11" hidden="1">
          <a:extLst>
            <a:ext uri="{FF2B5EF4-FFF2-40B4-BE49-F238E27FC236}">
              <a16:creationId xmlns:a16="http://schemas.microsoft.com/office/drawing/2014/main" id="{00000000-0008-0000-0000-0000F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46" name="Picture 11" hidden="1">
          <a:extLst>
            <a:ext uri="{FF2B5EF4-FFF2-40B4-BE49-F238E27FC236}">
              <a16:creationId xmlns:a16="http://schemas.microsoft.com/office/drawing/2014/main" id="{00000000-0008-0000-0000-0000F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48" name="Picture 11" hidden="1">
          <a:extLst>
            <a:ext uri="{FF2B5EF4-FFF2-40B4-BE49-F238E27FC236}">
              <a16:creationId xmlns:a16="http://schemas.microsoft.com/office/drawing/2014/main" id="{00000000-0008-0000-0000-0000F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50" name="Picture 11" hidden="1">
          <a:extLst>
            <a:ext uri="{FF2B5EF4-FFF2-40B4-BE49-F238E27FC236}">
              <a16:creationId xmlns:a16="http://schemas.microsoft.com/office/drawing/2014/main" id="{00000000-0008-0000-0000-0000F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52" name="Picture 11" hidden="1">
          <a:extLst>
            <a:ext uri="{FF2B5EF4-FFF2-40B4-BE49-F238E27FC236}">
              <a16:creationId xmlns:a16="http://schemas.microsoft.com/office/drawing/2014/main" id="{00000000-0008-0000-0000-0000F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54" name="Picture 11" hidden="1">
          <a:extLst>
            <a:ext uri="{FF2B5EF4-FFF2-40B4-BE49-F238E27FC236}">
              <a16:creationId xmlns:a16="http://schemas.microsoft.com/office/drawing/2014/main" id="{00000000-0008-0000-0000-0000F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56" name="Picture 11" hidden="1">
          <a:extLst>
            <a:ext uri="{FF2B5EF4-FFF2-40B4-BE49-F238E27FC236}">
              <a16:creationId xmlns:a16="http://schemas.microsoft.com/office/drawing/2014/main" id="{00000000-0008-0000-0000-0000F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58" name="Picture 11" hidden="1">
          <a:extLst>
            <a:ext uri="{FF2B5EF4-FFF2-40B4-BE49-F238E27FC236}">
              <a16:creationId xmlns:a16="http://schemas.microsoft.com/office/drawing/2014/main" id="{00000000-0008-0000-0000-0000F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60" name="Picture 11" hidden="1">
          <a:extLst>
            <a:ext uri="{FF2B5EF4-FFF2-40B4-BE49-F238E27FC236}">
              <a16:creationId xmlns:a16="http://schemas.microsoft.com/office/drawing/2014/main" id="{00000000-0008-0000-0000-00000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62" name="Picture 11" hidden="1">
          <a:extLst>
            <a:ext uri="{FF2B5EF4-FFF2-40B4-BE49-F238E27FC236}">
              <a16:creationId xmlns:a16="http://schemas.microsoft.com/office/drawing/2014/main" id="{00000000-0008-0000-0000-00000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64" name="Picture 11" hidden="1">
          <a:extLst>
            <a:ext uri="{FF2B5EF4-FFF2-40B4-BE49-F238E27FC236}">
              <a16:creationId xmlns:a16="http://schemas.microsoft.com/office/drawing/2014/main" id="{00000000-0008-0000-0000-00000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66" name="Picture 11" hidden="1">
          <a:extLst>
            <a:ext uri="{FF2B5EF4-FFF2-40B4-BE49-F238E27FC236}">
              <a16:creationId xmlns:a16="http://schemas.microsoft.com/office/drawing/2014/main" id="{00000000-0008-0000-0000-00000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68" name="Picture 11" hidden="1">
          <a:extLst>
            <a:ext uri="{FF2B5EF4-FFF2-40B4-BE49-F238E27FC236}">
              <a16:creationId xmlns:a16="http://schemas.microsoft.com/office/drawing/2014/main" id="{00000000-0008-0000-0000-00000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70" name="Picture 11" hidden="1">
          <a:extLst>
            <a:ext uri="{FF2B5EF4-FFF2-40B4-BE49-F238E27FC236}">
              <a16:creationId xmlns:a16="http://schemas.microsoft.com/office/drawing/2014/main" id="{00000000-0008-0000-0000-00000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72" name="Picture 11" hidden="1">
          <a:extLst>
            <a:ext uri="{FF2B5EF4-FFF2-40B4-BE49-F238E27FC236}">
              <a16:creationId xmlns:a16="http://schemas.microsoft.com/office/drawing/2014/main" id="{00000000-0008-0000-0000-00000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74" name="Picture 11" hidden="1">
          <a:extLst>
            <a:ext uri="{FF2B5EF4-FFF2-40B4-BE49-F238E27FC236}">
              <a16:creationId xmlns:a16="http://schemas.microsoft.com/office/drawing/2014/main" id="{00000000-0008-0000-0000-00000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76" name="Picture 11" hidden="1">
          <a:extLst>
            <a:ext uri="{FF2B5EF4-FFF2-40B4-BE49-F238E27FC236}">
              <a16:creationId xmlns:a16="http://schemas.microsoft.com/office/drawing/2014/main" id="{00000000-0008-0000-0000-00001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78" name="Picture 8977" hidden="1">
          <a:extLst>
            <a:ext uri="{FF2B5EF4-FFF2-40B4-BE49-F238E27FC236}">
              <a16:creationId xmlns:a16="http://schemas.microsoft.com/office/drawing/2014/main" id="{00000000-0008-0000-0000-00001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80" name="Picture 11" hidden="1">
          <a:extLst>
            <a:ext uri="{FF2B5EF4-FFF2-40B4-BE49-F238E27FC236}">
              <a16:creationId xmlns:a16="http://schemas.microsoft.com/office/drawing/2014/main" id="{00000000-0008-0000-0000-00001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82" name="Picture 11" hidden="1">
          <a:extLst>
            <a:ext uri="{FF2B5EF4-FFF2-40B4-BE49-F238E27FC236}">
              <a16:creationId xmlns:a16="http://schemas.microsoft.com/office/drawing/2014/main" id="{00000000-0008-0000-0000-00001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84" name="Picture 11" hidden="1">
          <a:extLst>
            <a:ext uri="{FF2B5EF4-FFF2-40B4-BE49-F238E27FC236}">
              <a16:creationId xmlns:a16="http://schemas.microsoft.com/office/drawing/2014/main" id="{00000000-0008-0000-0000-00001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86" name="Picture 11" hidden="1">
          <a:extLst>
            <a:ext uri="{FF2B5EF4-FFF2-40B4-BE49-F238E27FC236}">
              <a16:creationId xmlns:a16="http://schemas.microsoft.com/office/drawing/2014/main" id="{00000000-0008-0000-0000-00001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88" name="Picture 11" hidden="1">
          <a:extLst>
            <a:ext uri="{FF2B5EF4-FFF2-40B4-BE49-F238E27FC236}">
              <a16:creationId xmlns:a16="http://schemas.microsoft.com/office/drawing/2014/main" id="{00000000-0008-0000-0000-00001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90" name="Picture 11" hidden="1">
          <a:extLst>
            <a:ext uri="{FF2B5EF4-FFF2-40B4-BE49-F238E27FC236}">
              <a16:creationId xmlns:a16="http://schemas.microsoft.com/office/drawing/2014/main" id="{00000000-0008-0000-0000-00001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92" name="Picture 11" hidden="1">
          <a:extLst>
            <a:ext uri="{FF2B5EF4-FFF2-40B4-BE49-F238E27FC236}">
              <a16:creationId xmlns:a16="http://schemas.microsoft.com/office/drawing/2014/main" id="{00000000-0008-0000-0000-00002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94" name="Picture 11" hidden="1">
          <a:extLst>
            <a:ext uri="{FF2B5EF4-FFF2-40B4-BE49-F238E27FC236}">
              <a16:creationId xmlns:a16="http://schemas.microsoft.com/office/drawing/2014/main" id="{00000000-0008-0000-0000-00002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96" name="Picture 11" hidden="1">
          <a:extLst>
            <a:ext uri="{FF2B5EF4-FFF2-40B4-BE49-F238E27FC236}">
              <a16:creationId xmlns:a16="http://schemas.microsoft.com/office/drawing/2014/main" id="{00000000-0008-0000-0000-00002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98" name="Picture 11" hidden="1">
          <a:extLst>
            <a:ext uri="{FF2B5EF4-FFF2-40B4-BE49-F238E27FC236}">
              <a16:creationId xmlns:a16="http://schemas.microsoft.com/office/drawing/2014/main" id="{00000000-0008-0000-0000-00002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00" name="Picture 11" hidden="1">
          <a:extLst>
            <a:ext uri="{FF2B5EF4-FFF2-40B4-BE49-F238E27FC236}">
              <a16:creationId xmlns:a16="http://schemas.microsoft.com/office/drawing/2014/main" id="{00000000-0008-0000-0000-00002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02" name="Picture 11" hidden="1">
          <a:extLst>
            <a:ext uri="{FF2B5EF4-FFF2-40B4-BE49-F238E27FC236}">
              <a16:creationId xmlns:a16="http://schemas.microsoft.com/office/drawing/2014/main" id="{00000000-0008-0000-0000-00002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04" name="Picture 11" hidden="1">
          <a:extLst>
            <a:ext uri="{FF2B5EF4-FFF2-40B4-BE49-F238E27FC236}">
              <a16:creationId xmlns:a16="http://schemas.microsoft.com/office/drawing/2014/main" id="{00000000-0008-0000-0000-00002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06" name="Picture 11" hidden="1">
          <a:extLst>
            <a:ext uri="{FF2B5EF4-FFF2-40B4-BE49-F238E27FC236}">
              <a16:creationId xmlns:a16="http://schemas.microsoft.com/office/drawing/2014/main" id="{00000000-0008-0000-0000-00002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08" name="Picture 11" hidden="1">
          <a:extLst>
            <a:ext uri="{FF2B5EF4-FFF2-40B4-BE49-F238E27FC236}">
              <a16:creationId xmlns:a16="http://schemas.microsoft.com/office/drawing/2014/main" id="{00000000-0008-0000-0000-00003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10" name="Picture 11" hidden="1">
          <a:extLst>
            <a:ext uri="{FF2B5EF4-FFF2-40B4-BE49-F238E27FC236}">
              <a16:creationId xmlns:a16="http://schemas.microsoft.com/office/drawing/2014/main" id="{00000000-0008-0000-0000-00003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12" name="Picture 11" hidden="1">
          <a:extLst>
            <a:ext uri="{FF2B5EF4-FFF2-40B4-BE49-F238E27FC236}">
              <a16:creationId xmlns:a16="http://schemas.microsoft.com/office/drawing/2014/main" id="{00000000-0008-0000-0000-00003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14" name="Picture 11" hidden="1">
          <a:extLst>
            <a:ext uri="{FF2B5EF4-FFF2-40B4-BE49-F238E27FC236}">
              <a16:creationId xmlns:a16="http://schemas.microsoft.com/office/drawing/2014/main" id="{00000000-0008-0000-0000-00003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16" name="Picture 11" hidden="1">
          <a:extLst>
            <a:ext uri="{FF2B5EF4-FFF2-40B4-BE49-F238E27FC236}">
              <a16:creationId xmlns:a16="http://schemas.microsoft.com/office/drawing/2014/main" id="{00000000-0008-0000-0000-00003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18" name="Picture 11" hidden="1">
          <a:extLst>
            <a:ext uri="{FF2B5EF4-FFF2-40B4-BE49-F238E27FC236}">
              <a16:creationId xmlns:a16="http://schemas.microsoft.com/office/drawing/2014/main" id="{00000000-0008-0000-0000-00003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20" name="Picture 11" hidden="1">
          <a:extLst>
            <a:ext uri="{FF2B5EF4-FFF2-40B4-BE49-F238E27FC236}">
              <a16:creationId xmlns:a16="http://schemas.microsoft.com/office/drawing/2014/main" id="{00000000-0008-0000-0000-00003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22" name="Picture 11" hidden="1">
          <a:extLst>
            <a:ext uri="{FF2B5EF4-FFF2-40B4-BE49-F238E27FC236}">
              <a16:creationId xmlns:a16="http://schemas.microsoft.com/office/drawing/2014/main" id="{00000000-0008-0000-0000-00003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24" name="Picture 11" hidden="1">
          <a:extLst>
            <a:ext uri="{FF2B5EF4-FFF2-40B4-BE49-F238E27FC236}">
              <a16:creationId xmlns:a16="http://schemas.microsoft.com/office/drawing/2014/main" id="{00000000-0008-0000-0000-00004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26" name="Picture 11" hidden="1">
          <a:extLst>
            <a:ext uri="{FF2B5EF4-FFF2-40B4-BE49-F238E27FC236}">
              <a16:creationId xmlns:a16="http://schemas.microsoft.com/office/drawing/2014/main" id="{00000000-0008-0000-0000-00004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28" name="Picture 11" hidden="1">
          <a:extLst>
            <a:ext uri="{FF2B5EF4-FFF2-40B4-BE49-F238E27FC236}">
              <a16:creationId xmlns:a16="http://schemas.microsoft.com/office/drawing/2014/main" id="{00000000-0008-0000-0000-00004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30" name="Picture 11" hidden="1">
          <a:extLst>
            <a:ext uri="{FF2B5EF4-FFF2-40B4-BE49-F238E27FC236}">
              <a16:creationId xmlns:a16="http://schemas.microsoft.com/office/drawing/2014/main" id="{00000000-0008-0000-0000-00004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32" name="Picture 11" hidden="1">
          <a:extLst>
            <a:ext uri="{FF2B5EF4-FFF2-40B4-BE49-F238E27FC236}">
              <a16:creationId xmlns:a16="http://schemas.microsoft.com/office/drawing/2014/main" id="{00000000-0008-0000-0000-00004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34" name="Picture 11" hidden="1">
          <a:extLst>
            <a:ext uri="{FF2B5EF4-FFF2-40B4-BE49-F238E27FC236}">
              <a16:creationId xmlns:a16="http://schemas.microsoft.com/office/drawing/2014/main" id="{00000000-0008-0000-0000-00004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36" name="Picture 11" hidden="1">
          <a:extLst>
            <a:ext uri="{FF2B5EF4-FFF2-40B4-BE49-F238E27FC236}">
              <a16:creationId xmlns:a16="http://schemas.microsoft.com/office/drawing/2014/main" id="{00000000-0008-0000-0000-00004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38" name="Picture 11" hidden="1">
          <a:extLst>
            <a:ext uri="{FF2B5EF4-FFF2-40B4-BE49-F238E27FC236}">
              <a16:creationId xmlns:a16="http://schemas.microsoft.com/office/drawing/2014/main" id="{00000000-0008-0000-0000-00004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40" name="Picture 11" hidden="1">
          <a:extLst>
            <a:ext uri="{FF2B5EF4-FFF2-40B4-BE49-F238E27FC236}">
              <a16:creationId xmlns:a16="http://schemas.microsoft.com/office/drawing/2014/main" id="{00000000-0008-0000-0000-00005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42" name="Picture 11" hidden="1">
          <a:extLst>
            <a:ext uri="{FF2B5EF4-FFF2-40B4-BE49-F238E27FC236}">
              <a16:creationId xmlns:a16="http://schemas.microsoft.com/office/drawing/2014/main" id="{00000000-0008-0000-0000-00005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44" name="Picture 11" hidden="1">
          <a:extLst>
            <a:ext uri="{FF2B5EF4-FFF2-40B4-BE49-F238E27FC236}">
              <a16:creationId xmlns:a16="http://schemas.microsoft.com/office/drawing/2014/main" id="{00000000-0008-0000-0000-00005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46" name="Picture 11" hidden="1">
          <a:extLst>
            <a:ext uri="{FF2B5EF4-FFF2-40B4-BE49-F238E27FC236}">
              <a16:creationId xmlns:a16="http://schemas.microsoft.com/office/drawing/2014/main" id="{00000000-0008-0000-0000-00005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48" name="Picture 11" hidden="1">
          <a:extLst>
            <a:ext uri="{FF2B5EF4-FFF2-40B4-BE49-F238E27FC236}">
              <a16:creationId xmlns:a16="http://schemas.microsoft.com/office/drawing/2014/main" id="{00000000-0008-0000-0000-00005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50" name="Picture 11" hidden="1">
          <a:extLst>
            <a:ext uri="{FF2B5EF4-FFF2-40B4-BE49-F238E27FC236}">
              <a16:creationId xmlns:a16="http://schemas.microsoft.com/office/drawing/2014/main" id="{00000000-0008-0000-0000-00005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52" name="Picture 11" hidden="1">
          <a:extLst>
            <a:ext uri="{FF2B5EF4-FFF2-40B4-BE49-F238E27FC236}">
              <a16:creationId xmlns:a16="http://schemas.microsoft.com/office/drawing/2014/main" id="{00000000-0008-0000-0000-00005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54" name="Picture 11" hidden="1">
          <a:extLst>
            <a:ext uri="{FF2B5EF4-FFF2-40B4-BE49-F238E27FC236}">
              <a16:creationId xmlns:a16="http://schemas.microsoft.com/office/drawing/2014/main" id="{00000000-0008-0000-0000-00005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56" name="Picture 11" hidden="1">
          <a:extLst>
            <a:ext uri="{FF2B5EF4-FFF2-40B4-BE49-F238E27FC236}">
              <a16:creationId xmlns:a16="http://schemas.microsoft.com/office/drawing/2014/main" id="{00000000-0008-0000-0000-00006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58" name="Picture 11" hidden="1">
          <a:extLst>
            <a:ext uri="{FF2B5EF4-FFF2-40B4-BE49-F238E27FC236}">
              <a16:creationId xmlns:a16="http://schemas.microsoft.com/office/drawing/2014/main" id="{00000000-0008-0000-0000-00006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60" name="Picture 11" hidden="1">
          <a:extLst>
            <a:ext uri="{FF2B5EF4-FFF2-40B4-BE49-F238E27FC236}">
              <a16:creationId xmlns:a16="http://schemas.microsoft.com/office/drawing/2014/main" id="{00000000-0008-0000-0000-00006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62" name="Picture 11" hidden="1">
          <a:extLst>
            <a:ext uri="{FF2B5EF4-FFF2-40B4-BE49-F238E27FC236}">
              <a16:creationId xmlns:a16="http://schemas.microsoft.com/office/drawing/2014/main" id="{00000000-0008-0000-0000-00006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64" name="Picture 11" hidden="1">
          <a:extLst>
            <a:ext uri="{FF2B5EF4-FFF2-40B4-BE49-F238E27FC236}">
              <a16:creationId xmlns:a16="http://schemas.microsoft.com/office/drawing/2014/main" id="{00000000-0008-0000-0000-00006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66" name="Picture 11" hidden="1">
          <a:extLst>
            <a:ext uri="{FF2B5EF4-FFF2-40B4-BE49-F238E27FC236}">
              <a16:creationId xmlns:a16="http://schemas.microsoft.com/office/drawing/2014/main" id="{00000000-0008-0000-0000-00006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68" name="Picture 11" hidden="1">
          <a:extLst>
            <a:ext uri="{FF2B5EF4-FFF2-40B4-BE49-F238E27FC236}">
              <a16:creationId xmlns:a16="http://schemas.microsoft.com/office/drawing/2014/main" id="{00000000-0008-0000-0000-00006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70" name="Picture 11" hidden="1">
          <a:extLst>
            <a:ext uri="{FF2B5EF4-FFF2-40B4-BE49-F238E27FC236}">
              <a16:creationId xmlns:a16="http://schemas.microsoft.com/office/drawing/2014/main" id="{00000000-0008-0000-0000-00006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72" name="Picture 11" hidden="1">
          <a:extLst>
            <a:ext uri="{FF2B5EF4-FFF2-40B4-BE49-F238E27FC236}">
              <a16:creationId xmlns:a16="http://schemas.microsoft.com/office/drawing/2014/main" id="{00000000-0008-0000-0000-00007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74" name="Picture 11" hidden="1">
          <a:extLst>
            <a:ext uri="{FF2B5EF4-FFF2-40B4-BE49-F238E27FC236}">
              <a16:creationId xmlns:a16="http://schemas.microsoft.com/office/drawing/2014/main" id="{00000000-0008-0000-0000-00007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76" name="Picture 11" hidden="1">
          <a:extLst>
            <a:ext uri="{FF2B5EF4-FFF2-40B4-BE49-F238E27FC236}">
              <a16:creationId xmlns:a16="http://schemas.microsoft.com/office/drawing/2014/main" id="{00000000-0008-0000-0000-00007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78" name="Picture 11" hidden="1">
          <a:extLst>
            <a:ext uri="{FF2B5EF4-FFF2-40B4-BE49-F238E27FC236}">
              <a16:creationId xmlns:a16="http://schemas.microsoft.com/office/drawing/2014/main" id="{00000000-0008-0000-0000-00007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80" name="Picture 11" hidden="1">
          <a:extLst>
            <a:ext uri="{FF2B5EF4-FFF2-40B4-BE49-F238E27FC236}">
              <a16:creationId xmlns:a16="http://schemas.microsoft.com/office/drawing/2014/main" id="{00000000-0008-0000-0000-00007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82" name="Picture 11" hidden="1">
          <a:extLst>
            <a:ext uri="{FF2B5EF4-FFF2-40B4-BE49-F238E27FC236}">
              <a16:creationId xmlns:a16="http://schemas.microsoft.com/office/drawing/2014/main" id="{00000000-0008-0000-0000-00007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84" name="Picture 11" hidden="1">
          <a:extLst>
            <a:ext uri="{FF2B5EF4-FFF2-40B4-BE49-F238E27FC236}">
              <a16:creationId xmlns:a16="http://schemas.microsoft.com/office/drawing/2014/main" id="{00000000-0008-0000-0000-00007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86" name="Picture 9085" hidden="1">
          <a:extLst>
            <a:ext uri="{FF2B5EF4-FFF2-40B4-BE49-F238E27FC236}">
              <a16:creationId xmlns:a16="http://schemas.microsoft.com/office/drawing/2014/main" id="{00000000-0008-0000-0000-00007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88" name="Picture 11" hidden="1">
          <a:extLst>
            <a:ext uri="{FF2B5EF4-FFF2-40B4-BE49-F238E27FC236}">
              <a16:creationId xmlns:a16="http://schemas.microsoft.com/office/drawing/2014/main" id="{00000000-0008-0000-0000-00008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90" name="Picture 11" hidden="1">
          <a:extLst>
            <a:ext uri="{FF2B5EF4-FFF2-40B4-BE49-F238E27FC236}">
              <a16:creationId xmlns:a16="http://schemas.microsoft.com/office/drawing/2014/main" id="{00000000-0008-0000-0000-00008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92" name="Picture 11" hidden="1">
          <a:extLst>
            <a:ext uri="{FF2B5EF4-FFF2-40B4-BE49-F238E27FC236}">
              <a16:creationId xmlns:a16="http://schemas.microsoft.com/office/drawing/2014/main" id="{00000000-0008-0000-0000-00008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94" name="Picture 11" hidden="1">
          <a:extLst>
            <a:ext uri="{FF2B5EF4-FFF2-40B4-BE49-F238E27FC236}">
              <a16:creationId xmlns:a16="http://schemas.microsoft.com/office/drawing/2014/main" id="{00000000-0008-0000-0000-00008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96" name="Picture 11" hidden="1">
          <a:extLst>
            <a:ext uri="{FF2B5EF4-FFF2-40B4-BE49-F238E27FC236}">
              <a16:creationId xmlns:a16="http://schemas.microsoft.com/office/drawing/2014/main" id="{00000000-0008-0000-0000-00008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98" name="Picture 11" hidden="1">
          <a:extLst>
            <a:ext uri="{FF2B5EF4-FFF2-40B4-BE49-F238E27FC236}">
              <a16:creationId xmlns:a16="http://schemas.microsoft.com/office/drawing/2014/main" id="{00000000-0008-0000-0000-00008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00" name="Picture 11" hidden="1">
          <a:extLst>
            <a:ext uri="{FF2B5EF4-FFF2-40B4-BE49-F238E27FC236}">
              <a16:creationId xmlns:a16="http://schemas.microsoft.com/office/drawing/2014/main" id="{00000000-0008-0000-0000-00008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02" name="Picture 11" hidden="1">
          <a:extLst>
            <a:ext uri="{FF2B5EF4-FFF2-40B4-BE49-F238E27FC236}">
              <a16:creationId xmlns:a16="http://schemas.microsoft.com/office/drawing/2014/main" id="{00000000-0008-0000-0000-00008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04" name="Picture 11" hidden="1">
          <a:extLst>
            <a:ext uri="{FF2B5EF4-FFF2-40B4-BE49-F238E27FC236}">
              <a16:creationId xmlns:a16="http://schemas.microsoft.com/office/drawing/2014/main" id="{00000000-0008-0000-0000-00009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06" name="Picture 11" hidden="1">
          <a:extLst>
            <a:ext uri="{FF2B5EF4-FFF2-40B4-BE49-F238E27FC236}">
              <a16:creationId xmlns:a16="http://schemas.microsoft.com/office/drawing/2014/main" id="{00000000-0008-0000-0000-00009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08" name="Picture 11" hidden="1">
          <a:extLst>
            <a:ext uri="{FF2B5EF4-FFF2-40B4-BE49-F238E27FC236}">
              <a16:creationId xmlns:a16="http://schemas.microsoft.com/office/drawing/2014/main" id="{00000000-0008-0000-0000-00009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10" name="Picture 11" hidden="1">
          <a:extLst>
            <a:ext uri="{FF2B5EF4-FFF2-40B4-BE49-F238E27FC236}">
              <a16:creationId xmlns:a16="http://schemas.microsoft.com/office/drawing/2014/main" id="{00000000-0008-0000-0000-00009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12" name="Picture 11" hidden="1">
          <a:extLst>
            <a:ext uri="{FF2B5EF4-FFF2-40B4-BE49-F238E27FC236}">
              <a16:creationId xmlns:a16="http://schemas.microsoft.com/office/drawing/2014/main" id="{00000000-0008-0000-0000-00009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14" name="Picture 11" hidden="1">
          <a:extLst>
            <a:ext uri="{FF2B5EF4-FFF2-40B4-BE49-F238E27FC236}">
              <a16:creationId xmlns:a16="http://schemas.microsoft.com/office/drawing/2014/main" id="{00000000-0008-0000-0000-00009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16" name="Picture 11" hidden="1">
          <a:extLst>
            <a:ext uri="{FF2B5EF4-FFF2-40B4-BE49-F238E27FC236}">
              <a16:creationId xmlns:a16="http://schemas.microsoft.com/office/drawing/2014/main" id="{00000000-0008-0000-0000-00009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18" name="Picture 11" hidden="1">
          <a:extLst>
            <a:ext uri="{FF2B5EF4-FFF2-40B4-BE49-F238E27FC236}">
              <a16:creationId xmlns:a16="http://schemas.microsoft.com/office/drawing/2014/main" id="{00000000-0008-0000-0000-00009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20" name="Picture 11" hidden="1">
          <a:extLst>
            <a:ext uri="{FF2B5EF4-FFF2-40B4-BE49-F238E27FC236}">
              <a16:creationId xmlns:a16="http://schemas.microsoft.com/office/drawing/2014/main" id="{00000000-0008-0000-0000-0000A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22" name="Picture 11" hidden="1">
          <a:extLst>
            <a:ext uri="{FF2B5EF4-FFF2-40B4-BE49-F238E27FC236}">
              <a16:creationId xmlns:a16="http://schemas.microsoft.com/office/drawing/2014/main" id="{00000000-0008-0000-0000-0000A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24" name="Picture 11" hidden="1">
          <a:extLst>
            <a:ext uri="{FF2B5EF4-FFF2-40B4-BE49-F238E27FC236}">
              <a16:creationId xmlns:a16="http://schemas.microsoft.com/office/drawing/2014/main" id="{00000000-0008-0000-0000-0000A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26" name="Picture 11" hidden="1">
          <a:extLst>
            <a:ext uri="{FF2B5EF4-FFF2-40B4-BE49-F238E27FC236}">
              <a16:creationId xmlns:a16="http://schemas.microsoft.com/office/drawing/2014/main" id="{00000000-0008-0000-0000-0000A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28" name="Picture 11" hidden="1">
          <a:extLst>
            <a:ext uri="{FF2B5EF4-FFF2-40B4-BE49-F238E27FC236}">
              <a16:creationId xmlns:a16="http://schemas.microsoft.com/office/drawing/2014/main" id="{00000000-0008-0000-0000-0000A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30" name="Picture 11" hidden="1">
          <a:extLst>
            <a:ext uri="{FF2B5EF4-FFF2-40B4-BE49-F238E27FC236}">
              <a16:creationId xmlns:a16="http://schemas.microsoft.com/office/drawing/2014/main" id="{00000000-0008-0000-0000-0000A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32" name="Picture 11" hidden="1">
          <a:extLst>
            <a:ext uri="{FF2B5EF4-FFF2-40B4-BE49-F238E27FC236}">
              <a16:creationId xmlns:a16="http://schemas.microsoft.com/office/drawing/2014/main" id="{00000000-0008-0000-0000-0000A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34" name="Picture 11" hidden="1">
          <a:extLst>
            <a:ext uri="{FF2B5EF4-FFF2-40B4-BE49-F238E27FC236}">
              <a16:creationId xmlns:a16="http://schemas.microsoft.com/office/drawing/2014/main" id="{00000000-0008-0000-0000-0000A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36" name="Picture 11" hidden="1">
          <a:extLst>
            <a:ext uri="{FF2B5EF4-FFF2-40B4-BE49-F238E27FC236}">
              <a16:creationId xmlns:a16="http://schemas.microsoft.com/office/drawing/2014/main" id="{00000000-0008-0000-0000-0000B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38" name="Picture 11" hidden="1">
          <a:extLst>
            <a:ext uri="{FF2B5EF4-FFF2-40B4-BE49-F238E27FC236}">
              <a16:creationId xmlns:a16="http://schemas.microsoft.com/office/drawing/2014/main" id="{00000000-0008-0000-0000-0000B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40" name="Picture 11" hidden="1">
          <a:extLst>
            <a:ext uri="{FF2B5EF4-FFF2-40B4-BE49-F238E27FC236}">
              <a16:creationId xmlns:a16="http://schemas.microsoft.com/office/drawing/2014/main" id="{00000000-0008-0000-0000-0000B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42" name="Picture 11" hidden="1">
          <a:extLst>
            <a:ext uri="{FF2B5EF4-FFF2-40B4-BE49-F238E27FC236}">
              <a16:creationId xmlns:a16="http://schemas.microsoft.com/office/drawing/2014/main" id="{00000000-0008-0000-0000-0000B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44" name="Picture 11" hidden="1">
          <a:extLst>
            <a:ext uri="{FF2B5EF4-FFF2-40B4-BE49-F238E27FC236}">
              <a16:creationId xmlns:a16="http://schemas.microsoft.com/office/drawing/2014/main" id="{00000000-0008-0000-0000-0000B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46" name="Picture 11" hidden="1">
          <a:extLst>
            <a:ext uri="{FF2B5EF4-FFF2-40B4-BE49-F238E27FC236}">
              <a16:creationId xmlns:a16="http://schemas.microsoft.com/office/drawing/2014/main" id="{00000000-0008-0000-0000-0000B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48" name="Picture 11" hidden="1">
          <a:extLst>
            <a:ext uri="{FF2B5EF4-FFF2-40B4-BE49-F238E27FC236}">
              <a16:creationId xmlns:a16="http://schemas.microsoft.com/office/drawing/2014/main" id="{00000000-0008-0000-0000-0000B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50" name="Picture 11" hidden="1">
          <a:extLst>
            <a:ext uri="{FF2B5EF4-FFF2-40B4-BE49-F238E27FC236}">
              <a16:creationId xmlns:a16="http://schemas.microsoft.com/office/drawing/2014/main" id="{00000000-0008-0000-0000-0000B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52" name="Picture 11" hidden="1">
          <a:extLst>
            <a:ext uri="{FF2B5EF4-FFF2-40B4-BE49-F238E27FC236}">
              <a16:creationId xmlns:a16="http://schemas.microsoft.com/office/drawing/2014/main" id="{00000000-0008-0000-0000-0000C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54" name="Picture 11" hidden="1">
          <a:extLst>
            <a:ext uri="{FF2B5EF4-FFF2-40B4-BE49-F238E27FC236}">
              <a16:creationId xmlns:a16="http://schemas.microsoft.com/office/drawing/2014/main" id="{00000000-0008-0000-0000-0000C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56" name="Picture 11" hidden="1">
          <a:extLst>
            <a:ext uri="{FF2B5EF4-FFF2-40B4-BE49-F238E27FC236}">
              <a16:creationId xmlns:a16="http://schemas.microsoft.com/office/drawing/2014/main" id="{00000000-0008-0000-0000-0000C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58" name="Picture 11" hidden="1">
          <a:extLst>
            <a:ext uri="{FF2B5EF4-FFF2-40B4-BE49-F238E27FC236}">
              <a16:creationId xmlns:a16="http://schemas.microsoft.com/office/drawing/2014/main" id="{00000000-0008-0000-0000-0000C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60" name="Picture 11" hidden="1">
          <a:extLst>
            <a:ext uri="{FF2B5EF4-FFF2-40B4-BE49-F238E27FC236}">
              <a16:creationId xmlns:a16="http://schemas.microsoft.com/office/drawing/2014/main" id="{00000000-0008-0000-0000-0000C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62" name="Picture 11" hidden="1">
          <a:extLst>
            <a:ext uri="{FF2B5EF4-FFF2-40B4-BE49-F238E27FC236}">
              <a16:creationId xmlns:a16="http://schemas.microsoft.com/office/drawing/2014/main" id="{00000000-0008-0000-0000-0000C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64" name="Picture 11" hidden="1">
          <a:extLst>
            <a:ext uri="{FF2B5EF4-FFF2-40B4-BE49-F238E27FC236}">
              <a16:creationId xmlns:a16="http://schemas.microsoft.com/office/drawing/2014/main" id="{00000000-0008-0000-0000-0000C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66" name="Picture 11" hidden="1">
          <a:extLst>
            <a:ext uri="{FF2B5EF4-FFF2-40B4-BE49-F238E27FC236}">
              <a16:creationId xmlns:a16="http://schemas.microsoft.com/office/drawing/2014/main" id="{00000000-0008-0000-0000-0000C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68" name="Picture 11" hidden="1">
          <a:extLst>
            <a:ext uri="{FF2B5EF4-FFF2-40B4-BE49-F238E27FC236}">
              <a16:creationId xmlns:a16="http://schemas.microsoft.com/office/drawing/2014/main" id="{00000000-0008-0000-0000-0000D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70" name="Picture 11" hidden="1">
          <a:extLst>
            <a:ext uri="{FF2B5EF4-FFF2-40B4-BE49-F238E27FC236}">
              <a16:creationId xmlns:a16="http://schemas.microsoft.com/office/drawing/2014/main" id="{00000000-0008-0000-0000-0000D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72" name="Picture 11" hidden="1">
          <a:extLst>
            <a:ext uri="{FF2B5EF4-FFF2-40B4-BE49-F238E27FC236}">
              <a16:creationId xmlns:a16="http://schemas.microsoft.com/office/drawing/2014/main" id="{00000000-0008-0000-0000-0000D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74" name="Picture 11" hidden="1">
          <a:extLst>
            <a:ext uri="{FF2B5EF4-FFF2-40B4-BE49-F238E27FC236}">
              <a16:creationId xmlns:a16="http://schemas.microsoft.com/office/drawing/2014/main" id="{00000000-0008-0000-0000-0000D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76" name="Picture 11" hidden="1">
          <a:extLst>
            <a:ext uri="{FF2B5EF4-FFF2-40B4-BE49-F238E27FC236}">
              <a16:creationId xmlns:a16="http://schemas.microsoft.com/office/drawing/2014/main" id="{00000000-0008-0000-0000-0000D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78" name="Picture 11" hidden="1">
          <a:extLst>
            <a:ext uri="{FF2B5EF4-FFF2-40B4-BE49-F238E27FC236}">
              <a16:creationId xmlns:a16="http://schemas.microsoft.com/office/drawing/2014/main" id="{00000000-0008-0000-0000-0000D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80" name="Picture 11" hidden="1">
          <a:extLst>
            <a:ext uri="{FF2B5EF4-FFF2-40B4-BE49-F238E27FC236}">
              <a16:creationId xmlns:a16="http://schemas.microsoft.com/office/drawing/2014/main" id="{00000000-0008-0000-0000-0000D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82" name="Picture 11" hidden="1">
          <a:extLst>
            <a:ext uri="{FF2B5EF4-FFF2-40B4-BE49-F238E27FC236}">
              <a16:creationId xmlns:a16="http://schemas.microsoft.com/office/drawing/2014/main" id="{00000000-0008-0000-0000-0000D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84" name="Picture 11" hidden="1">
          <a:extLst>
            <a:ext uri="{FF2B5EF4-FFF2-40B4-BE49-F238E27FC236}">
              <a16:creationId xmlns:a16="http://schemas.microsoft.com/office/drawing/2014/main" id="{00000000-0008-0000-0000-0000E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86" name="Picture 11" hidden="1">
          <a:extLst>
            <a:ext uri="{FF2B5EF4-FFF2-40B4-BE49-F238E27FC236}">
              <a16:creationId xmlns:a16="http://schemas.microsoft.com/office/drawing/2014/main" id="{00000000-0008-0000-0000-0000E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88" name="Picture 11" hidden="1">
          <a:extLst>
            <a:ext uri="{FF2B5EF4-FFF2-40B4-BE49-F238E27FC236}">
              <a16:creationId xmlns:a16="http://schemas.microsoft.com/office/drawing/2014/main" id="{00000000-0008-0000-0000-0000E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90" name="Picture 11" hidden="1">
          <a:extLst>
            <a:ext uri="{FF2B5EF4-FFF2-40B4-BE49-F238E27FC236}">
              <a16:creationId xmlns:a16="http://schemas.microsoft.com/office/drawing/2014/main" id="{00000000-0008-0000-0000-0000E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92" name="Picture 11" hidden="1">
          <a:extLst>
            <a:ext uri="{FF2B5EF4-FFF2-40B4-BE49-F238E27FC236}">
              <a16:creationId xmlns:a16="http://schemas.microsoft.com/office/drawing/2014/main" id="{00000000-0008-0000-0000-0000E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94" name="Picture 9193" hidden="1">
          <a:extLst>
            <a:ext uri="{FF2B5EF4-FFF2-40B4-BE49-F238E27FC236}">
              <a16:creationId xmlns:a16="http://schemas.microsoft.com/office/drawing/2014/main" id="{00000000-0008-0000-0000-0000E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96" name="Picture 11" hidden="1">
          <a:extLst>
            <a:ext uri="{FF2B5EF4-FFF2-40B4-BE49-F238E27FC236}">
              <a16:creationId xmlns:a16="http://schemas.microsoft.com/office/drawing/2014/main" id="{00000000-0008-0000-0000-0000E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98" name="Picture 11" hidden="1">
          <a:extLst>
            <a:ext uri="{FF2B5EF4-FFF2-40B4-BE49-F238E27FC236}">
              <a16:creationId xmlns:a16="http://schemas.microsoft.com/office/drawing/2014/main" id="{00000000-0008-0000-0000-0000E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00" name="Picture 11" hidden="1">
          <a:extLst>
            <a:ext uri="{FF2B5EF4-FFF2-40B4-BE49-F238E27FC236}">
              <a16:creationId xmlns:a16="http://schemas.microsoft.com/office/drawing/2014/main" id="{00000000-0008-0000-0000-0000F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02" name="Picture 11" hidden="1">
          <a:extLst>
            <a:ext uri="{FF2B5EF4-FFF2-40B4-BE49-F238E27FC236}">
              <a16:creationId xmlns:a16="http://schemas.microsoft.com/office/drawing/2014/main" id="{00000000-0008-0000-0000-0000F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04" name="Picture 11" hidden="1">
          <a:extLst>
            <a:ext uri="{FF2B5EF4-FFF2-40B4-BE49-F238E27FC236}">
              <a16:creationId xmlns:a16="http://schemas.microsoft.com/office/drawing/2014/main" id="{00000000-0008-0000-0000-0000F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06" name="Picture 11" hidden="1">
          <a:extLst>
            <a:ext uri="{FF2B5EF4-FFF2-40B4-BE49-F238E27FC236}">
              <a16:creationId xmlns:a16="http://schemas.microsoft.com/office/drawing/2014/main" id="{00000000-0008-0000-0000-0000F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08" name="Picture 11" hidden="1">
          <a:extLst>
            <a:ext uri="{FF2B5EF4-FFF2-40B4-BE49-F238E27FC236}">
              <a16:creationId xmlns:a16="http://schemas.microsoft.com/office/drawing/2014/main" id="{00000000-0008-0000-0000-0000F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10" name="Picture 11" hidden="1">
          <a:extLst>
            <a:ext uri="{FF2B5EF4-FFF2-40B4-BE49-F238E27FC236}">
              <a16:creationId xmlns:a16="http://schemas.microsoft.com/office/drawing/2014/main" id="{00000000-0008-0000-0000-0000F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12" name="Picture 11" hidden="1">
          <a:extLst>
            <a:ext uri="{FF2B5EF4-FFF2-40B4-BE49-F238E27FC236}">
              <a16:creationId xmlns:a16="http://schemas.microsoft.com/office/drawing/2014/main" id="{00000000-0008-0000-0000-0000F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14" name="Picture 11" hidden="1">
          <a:extLst>
            <a:ext uri="{FF2B5EF4-FFF2-40B4-BE49-F238E27FC236}">
              <a16:creationId xmlns:a16="http://schemas.microsoft.com/office/drawing/2014/main" id="{00000000-0008-0000-0000-0000F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16" name="Picture 11" hidden="1">
          <a:extLst>
            <a:ext uri="{FF2B5EF4-FFF2-40B4-BE49-F238E27FC236}">
              <a16:creationId xmlns:a16="http://schemas.microsoft.com/office/drawing/2014/main" id="{00000000-0008-0000-0000-00000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18" name="Picture 11" hidden="1">
          <a:extLst>
            <a:ext uri="{FF2B5EF4-FFF2-40B4-BE49-F238E27FC236}">
              <a16:creationId xmlns:a16="http://schemas.microsoft.com/office/drawing/2014/main" id="{00000000-0008-0000-0000-00000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20" name="Picture 11" hidden="1">
          <a:extLst>
            <a:ext uri="{FF2B5EF4-FFF2-40B4-BE49-F238E27FC236}">
              <a16:creationId xmlns:a16="http://schemas.microsoft.com/office/drawing/2014/main" id="{00000000-0008-0000-0000-00000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22" name="Picture 11" hidden="1">
          <a:extLst>
            <a:ext uri="{FF2B5EF4-FFF2-40B4-BE49-F238E27FC236}">
              <a16:creationId xmlns:a16="http://schemas.microsoft.com/office/drawing/2014/main" id="{00000000-0008-0000-0000-00000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24" name="Picture 11" hidden="1">
          <a:extLst>
            <a:ext uri="{FF2B5EF4-FFF2-40B4-BE49-F238E27FC236}">
              <a16:creationId xmlns:a16="http://schemas.microsoft.com/office/drawing/2014/main" id="{00000000-0008-0000-0000-00000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26" name="Picture 11" hidden="1">
          <a:extLst>
            <a:ext uri="{FF2B5EF4-FFF2-40B4-BE49-F238E27FC236}">
              <a16:creationId xmlns:a16="http://schemas.microsoft.com/office/drawing/2014/main" id="{00000000-0008-0000-0000-00000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28" name="Picture 11" hidden="1">
          <a:extLst>
            <a:ext uri="{FF2B5EF4-FFF2-40B4-BE49-F238E27FC236}">
              <a16:creationId xmlns:a16="http://schemas.microsoft.com/office/drawing/2014/main" id="{00000000-0008-0000-0000-00000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30" name="Picture 11" hidden="1">
          <a:extLst>
            <a:ext uri="{FF2B5EF4-FFF2-40B4-BE49-F238E27FC236}">
              <a16:creationId xmlns:a16="http://schemas.microsoft.com/office/drawing/2014/main" id="{00000000-0008-0000-0000-00000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32" name="Picture 11" hidden="1">
          <a:extLst>
            <a:ext uri="{FF2B5EF4-FFF2-40B4-BE49-F238E27FC236}">
              <a16:creationId xmlns:a16="http://schemas.microsoft.com/office/drawing/2014/main" id="{00000000-0008-0000-0000-00001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34" name="Picture 11" hidden="1">
          <a:extLst>
            <a:ext uri="{FF2B5EF4-FFF2-40B4-BE49-F238E27FC236}">
              <a16:creationId xmlns:a16="http://schemas.microsoft.com/office/drawing/2014/main" id="{00000000-0008-0000-0000-00001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36" name="Picture 11" hidden="1">
          <a:extLst>
            <a:ext uri="{FF2B5EF4-FFF2-40B4-BE49-F238E27FC236}">
              <a16:creationId xmlns:a16="http://schemas.microsoft.com/office/drawing/2014/main" id="{00000000-0008-0000-0000-00001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38" name="Picture 11" hidden="1">
          <a:extLst>
            <a:ext uri="{FF2B5EF4-FFF2-40B4-BE49-F238E27FC236}">
              <a16:creationId xmlns:a16="http://schemas.microsoft.com/office/drawing/2014/main" id="{00000000-0008-0000-0000-00001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40" name="Picture 11" hidden="1">
          <a:extLst>
            <a:ext uri="{FF2B5EF4-FFF2-40B4-BE49-F238E27FC236}">
              <a16:creationId xmlns:a16="http://schemas.microsoft.com/office/drawing/2014/main" id="{00000000-0008-0000-0000-00001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42" name="Picture 11" hidden="1">
          <a:extLst>
            <a:ext uri="{FF2B5EF4-FFF2-40B4-BE49-F238E27FC236}">
              <a16:creationId xmlns:a16="http://schemas.microsoft.com/office/drawing/2014/main" id="{00000000-0008-0000-0000-00001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44" name="Picture 11" hidden="1">
          <a:extLst>
            <a:ext uri="{FF2B5EF4-FFF2-40B4-BE49-F238E27FC236}">
              <a16:creationId xmlns:a16="http://schemas.microsoft.com/office/drawing/2014/main" id="{00000000-0008-0000-0000-00001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46" name="Picture 11" hidden="1">
          <a:extLst>
            <a:ext uri="{FF2B5EF4-FFF2-40B4-BE49-F238E27FC236}">
              <a16:creationId xmlns:a16="http://schemas.microsoft.com/office/drawing/2014/main" id="{00000000-0008-0000-0000-00001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48" name="Picture 11" hidden="1">
          <a:extLst>
            <a:ext uri="{FF2B5EF4-FFF2-40B4-BE49-F238E27FC236}">
              <a16:creationId xmlns:a16="http://schemas.microsoft.com/office/drawing/2014/main" id="{00000000-0008-0000-0000-00002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50" name="Picture 11" hidden="1">
          <a:extLst>
            <a:ext uri="{FF2B5EF4-FFF2-40B4-BE49-F238E27FC236}">
              <a16:creationId xmlns:a16="http://schemas.microsoft.com/office/drawing/2014/main" id="{00000000-0008-0000-0000-00002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52" name="Picture 11" hidden="1">
          <a:extLst>
            <a:ext uri="{FF2B5EF4-FFF2-40B4-BE49-F238E27FC236}">
              <a16:creationId xmlns:a16="http://schemas.microsoft.com/office/drawing/2014/main" id="{00000000-0008-0000-0000-00002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54" name="Picture 11" hidden="1">
          <a:extLst>
            <a:ext uri="{FF2B5EF4-FFF2-40B4-BE49-F238E27FC236}">
              <a16:creationId xmlns:a16="http://schemas.microsoft.com/office/drawing/2014/main" id="{00000000-0008-0000-0000-00002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56" name="Picture 11" hidden="1">
          <a:extLst>
            <a:ext uri="{FF2B5EF4-FFF2-40B4-BE49-F238E27FC236}">
              <a16:creationId xmlns:a16="http://schemas.microsoft.com/office/drawing/2014/main" id="{00000000-0008-0000-0000-00002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58" name="Picture 11" hidden="1">
          <a:extLst>
            <a:ext uri="{FF2B5EF4-FFF2-40B4-BE49-F238E27FC236}">
              <a16:creationId xmlns:a16="http://schemas.microsoft.com/office/drawing/2014/main" id="{00000000-0008-0000-0000-00002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60" name="Picture 11" hidden="1">
          <a:extLst>
            <a:ext uri="{FF2B5EF4-FFF2-40B4-BE49-F238E27FC236}">
              <a16:creationId xmlns:a16="http://schemas.microsoft.com/office/drawing/2014/main" id="{00000000-0008-0000-0000-00002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62" name="Picture 11" hidden="1">
          <a:extLst>
            <a:ext uri="{FF2B5EF4-FFF2-40B4-BE49-F238E27FC236}">
              <a16:creationId xmlns:a16="http://schemas.microsoft.com/office/drawing/2014/main" id="{00000000-0008-0000-0000-00002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64" name="Picture 11" hidden="1">
          <a:extLst>
            <a:ext uri="{FF2B5EF4-FFF2-40B4-BE49-F238E27FC236}">
              <a16:creationId xmlns:a16="http://schemas.microsoft.com/office/drawing/2014/main" id="{00000000-0008-0000-0000-00003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66" name="Picture 11" hidden="1">
          <a:extLst>
            <a:ext uri="{FF2B5EF4-FFF2-40B4-BE49-F238E27FC236}">
              <a16:creationId xmlns:a16="http://schemas.microsoft.com/office/drawing/2014/main" id="{00000000-0008-0000-0000-00003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68" name="Picture 11" hidden="1">
          <a:extLst>
            <a:ext uri="{FF2B5EF4-FFF2-40B4-BE49-F238E27FC236}">
              <a16:creationId xmlns:a16="http://schemas.microsoft.com/office/drawing/2014/main" id="{00000000-0008-0000-0000-00003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70" name="Picture 11" hidden="1">
          <a:extLst>
            <a:ext uri="{FF2B5EF4-FFF2-40B4-BE49-F238E27FC236}">
              <a16:creationId xmlns:a16="http://schemas.microsoft.com/office/drawing/2014/main" id="{00000000-0008-0000-0000-00003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72" name="Picture 11" hidden="1">
          <a:extLst>
            <a:ext uri="{FF2B5EF4-FFF2-40B4-BE49-F238E27FC236}">
              <a16:creationId xmlns:a16="http://schemas.microsoft.com/office/drawing/2014/main" id="{00000000-0008-0000-0000-00003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74" name="Picture 11" hidden="1">
          <a:extLst>
            <a:ext uri="{FF2B5EF4-FFF2-40B4-BE49-F238E27FC236}">
              <a16:creationId xmlns:a16="http://schemas.microsoft.com/office/drawing/2014/main" id="{00000000-0008-0000-0000-00003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76" name="Picture 11" hidden="1">
          <a:extLst>
            <a:ext uri="{FF2B5EF4-FFF2-40B4-BE49-F238E27FC236}">
              <a16:creationId xmlns:a16="http://schemas.microsoft.com/office/drawing/2014/main" id="{00000000-0008-0000-0000-00003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78" name="Picture 11" hidden="1">
          <a:extLst>
            <a:ext uri="{FF2B5EF4-FFF2-40B4-BE49-F238E27FC236}">
              <a16:creationId xmlns:a16="http://schemas.microsoft.com/office/drawing/2014/main" id="{00000000-0008-0000-0000-00003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80" name="Picture 11" hidden="1">
          <a:extLst>
            <a:ext uri="{FF2B5EF4-FFF2-40B4-BE49-F238E27FC236}">
              <a16:creationId xmlns:a16="http://schemas.microsoft.com/office/drawing/2014/main" id="{00000000-0008-0000-0000-00004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82" name="Picture 11" hidden="1">
          <a:extLst>
            <a:ext uri="{FF2B5EF4-FFF2-40B4-BE49-F238E27FC236}">
              <a16:creationId xmlns:a16="http://schemas.microsoft.com/office/drawing/2014/main" id="{00000000-0008-0000-0000-00004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84" name="Picture 11" hidden="1">
          <a:extLst>
            <a:ext uri="{FF2B5EF4-FFF2-40B4-BE49-F238E27FC236}">
              <a16:creationId xmlns:a16="http://schemas.microsoft.com/office/drawing/2014/main" id="{00000000-0008-0000-0000-00004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86" name="Picture 11" hidden="1">
          <a:extLst>
            <a:ext uri="{FF2B5EF4-FFF2-40B4-BE49-F238E27FC236}">
              <a16:creationId xmlns:a16="http://schemas.microsoft.com/office/drawing/2014/main" id="{00000000-0008-0000-0000-00004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88" name="Picture 11" hidden="1">
          <a:extLst>
            <a:ext uri="{FF2B5EF4-FFF2-40B4-BE49-F238E27FC236}">
              <a16:creationId xmlns:a16="http://schemas.microsoft.com/office/drawing/2014/main" id="{00000000-0008-0000-0000-00004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90" name="Picture 11" hidden="1">
          <a:extLst>
            <a:ext uri="{FF2B5EF4-FFF2-40B4-BE49-F238E27FC236}">
              <a16:creationId xmlns:a16="http://schemas.microsoft.com/office/drawing/2014/main" id="{00000000-0008-0000-0000-00004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92" name="Picture 11" hidden="1">
          <a:extLst>
            <a:ext uri="{FF2B5EF4-FFF2-40B4-BE49-F238E27FC236}">
              <a16:creationId xmlns:a16="http://schemas.microsoft.com/office/drawing/2014/main" id="{00000000-0008-0000-0000-00004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9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4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9294" name="Picture 11" hidden="1">
          <a:extLst>
            <a:ext uri="{FF2B5EF4-FFF2-40B4-BE49-F238E27FC236}">
              <a16:creationId xmlns:a16="http://schemas.microsoft.com/office/drawing/2014/main" id="{00000000-0008-0000-0000-00004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96" name="Picture 11" hidden="1">
          <a:extLst>
            <a:ext uri="{FF2B5EF4-FFF2-40B4-BE49-F238E27FC236}">
              <a16:creationId xmlns:a16="http://schemas.microsoft.com/office/drawing/2014/main" id="{00000000-0008-0000-0000-00005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98" name="Picture 11" hidden="1">
          <a:extLst>
            <a:ext uri="{FF2B5EF4-FFF2-40B4-BE49-F238E27FC236}">
              <a16:creationId xmlns:a16="http://schemas.microsoft.com/office/drawing/2014/main" id="{00000000-0008-0000-0000-00005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00" name="Picture 11" hidden="1">
          <a:extLst>
            <a:ext uri="{FF2B5EF4-FFF2-40B4-BE49-F238E27FC236}">
              <a16:creationId xmlns:a16="http://schemas.microsoft.com/office/drawing/2014/main" id="{00000000-0008-0000-0000-00005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02" name="Picture 9301" hidden="1">
          <a:extLst>
            <a:ext uri="{FF2B5EF4-FFF2-40B4-BE49-F238E27FC236}">
              <a16:creationId xmlns:a16="http://schemas.microsoft.com/office/drawing/2014/main" id="{00000000-0008-0000-0000-00005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04" name="Picture 11" hidden="1">
          <a:extLst>
            <a:ext uri="{FF2B5EF4-FFF2-40B4-BE49-F238E27FC236}">
              <a16:creationId xmlns:a16="http://schemas.microsoft.com/office/drawing/2014/main" id="{00000000-0008-0000-0000-00005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06" name="Picture 11" hidden="1">
          <a:extLst>
            <a:ext uri="{FF2B5EF4-FFF2-40B4-BE49-F238E27FC236}">
              <a16:creationId xmlns:a16="http://schemas.microsoft.com/office/drawing/2014/main" id="{00000000-0008-0000-0000-00005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08" name="Picture 11" hidden="1">
          <a:extLst>
            <a:ext uri="{FF2B5EF4-FFF2-40B4-BE49-F238E27FC236}">
              <a16:creationId xmlns:a16="http://schemas.microsoft.com/office/drawing/2014/main" id="{00000000-0008-0000-0000-00005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10" name="Picture 11" hidden="1">
          <a:extLst>
            <a:ext uri="{FF2B5EF4-FFF2-40B4-BE49-F238E27FC236}">
              <a16:creationId xmlns:a16="http://schemas.microsoft.com/office/drawing/2014/main" id="{00000000-0008-0000-0000-00005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12" name="Picture 11" hidden="1">
          <a:extLst>
            <a:ext uri="{FF2B5EF4-FFF2-40B4-BE49-F238E27FC236}">
              <a16:creationId xmlns:a16="http://schemas.microsoft.com/office/drawing/2014/main" id="{00000000-0008-0000-0000-00006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14" name="Picture 11" hidden="1">
          <a:extLst>
            <a:ext uri="{FF2B5EF4-FFF2-40B4-BE49-F238E27FC236}">
              <a16:creationId xmlns:a16="http://schemas.microsoft.com/office/drawing/2014/main" id="{00000000-0008-0000-0000-00006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16" name="Picture 11" hidden="1">
          <a:extLst>
            <a:ext uri="{FF2B5EF4-FFF2-40B4-BE49-F238E27FC236}">
              <a16:creationId xmlns:a16="http://schemas.microsoft.com/office/drawing/2014/main" id="{00000000-0008-0000-0000-00006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18" name="Picture 11" hidden="1">
          <a:extLst>
            <a:ext uri="{FF2B5EF4-FFF2-40B4-BE49-F238E27FC236}">
              <a16:creationId xmlns:a16="http://schemas.microsoft.com/office/drawing/2014/main" id="{00000000-0008-0000-0000-00006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20" name="Picture 11" hidden="1">
          <a:extLst>
            <a:ext uri="{FF2B5EF4-FFF2-40B4-BE49-F238E27FC236}">
              <a16:creationId xmlns:a16="http://schemas.microsoft.com/office/drawing/2014/main" id="{00000000-0008-0000-0000-00006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22" name="Picture 11" hidden="1">
          <a:extLst>
            <a:ext uri="{FF2B5EF4-FFF2-40B4-BE49-F238E27FC236}">
              <a16:creationId xmlns:a16="http://schemas.microsoft.com/office/drawing/2014/main" id="{00000000-0008-0000-0000-00006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24" name="Picture 11" hidden="1">
          <a:extLst>
            <a:ext uri="{FF2B5EF4-FFF2-40B4-BE49-F238E27FC236}">
              <a16:creationId xmlns:a16="http://schemas.microsoft.com/office/drawing/2014/main" id="{00000000-0008-0000-0000-00006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26" name="Picture 11" hidden="1">
          <a:extLst>
            <a:ext uri="{FF2B5EF4-FFF2-40B4-BE49-F238E27FC236}">
              <a16:creationId xmlns:a16="http://schemas.microsoft.com/office/drawing/2014/main" id="{00000000-0008-0000-0000-00006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28" name="Picture 11" hidden="1">
          <a:extLst>
            <a:ext uri="{FF2B5EF4-FFF2-40B4-BE49-F238E27FC236}">
              <a16:creationId xmlns:a16="http://schemas.microsoft.com/office/drawing/2014/main" id="{00000000-0008-0000-0000-00007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30" name="Picture 11" hidden="1">
          <a:extLst>
            <a:ext uri="{FF2B5EF4-FFF2-40B4-BE49-F238E27FC236}">
              <a16:creationId xmlns:a16="http://schemas.microsoft.com/office/drawing/2014/main" id="{00000000-0008-0000-0000-00007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32" name="Picture 11" hidden="1">
          <a:extLst>
            <a:ext uri="{FF2B5EF4-FFF2-40B4-BE49-F238E27FC236}">
              <a16:creationId xmlns:a16="http://schemas.microsoft.com/office/drawing/2014/main" id="{00000000-0008-0000-0000-00007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34" name="Picture 11" hidden="1">
          <a:extLst>
            <a:ext uri="{FF2B5EF4-FFF2-40B4-BE49-F238E27FC236}">
              <a16:creationId xmlns:a16="http://schemas.microsoft.com/office/drawing/2014/main" id="{00000000-0008-0000-0000-00007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36" name="Picture 11" hidden="1">
          <a:extLst>
            <a:ext uri="{FF2B5EF4-FFF2-40B4-BE49-F238E27FC236}">
              <a16:creationId xmlns:a16="http://schemas.microsoft.com/office/drawing/2014/main" id="{00000000-0008-0000-0000-00007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38" name="Picture 11" hidden="1">
          <a:extLst>
            <a:ext uri="{FF2B5EF4-FFF2-40B4-BE49-F238E27FC236}">
              <a16:creationId xmlns:a16="http://schemas.microsoft.com/office/drawing/2014/main" id="{00000000-0008-0000-0000-00007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40" name="Picture 11" hidden="1">
          <a:extLst>
            <a:ext uri="{FF2B5EF4-FFF2-40B4-BE49-F238E27FC236}">
              <a16:creationId xmlns:a16="http://schemas.microsoft.com/office/drawing/2014/main" id="{00000000-0008-0000-0000-00007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42" name="Picture 11" hidden="1">
          <a:extLst>
            <a:ext uri="{FF2B5EF4-FFF2-40B4-BE49-F238E27FC236}">
              <a16:creationId xmlns:a16="http://schemas.microsoft.com/office/drawing/2014/main" id="{00000000-0008-0000-0000-00007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44" name="Picture 11" hidden="1">
          <a:extLst>
            <a:ext uri="{FF2B5EF4-FFF2-40B4-BE49-F238E27FC236}">
              <a16:creationId xmlns:a16="http://schemas.microsoft.com/office/drawing/2014/main" id="{00000000-0008-0000-0000-00008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46" name="Picture 11" hidden="1">
          <a:extLst>
            <a:ext uri="{FF2B5EF4-FFF2-40B4-BE49-F238E27FC236}">
              <a16:creationId xmlns:a16="http://schemas.microsoft.com/office/drawing/2014/main" id="{00000000-0008-0000-0000-00008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48" name="Picture 11" hidden="1">
          <a:extLst>
            <a:ext uri="{FF2B5EF4-FFF2-40B4-BE49-F238E27FC236}">
              <a16:creationId xmlns:a16="http://schemas.microsoft.com/office/drawing/2014/main" id="{00000000-0008-0000-0000-00008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50" name="Picture 11" hidden="1">
          <a:extLst>
            <a:ext uri="{FF2B5EF4-FFF2-40B4-BE49-F238E27FC236}">
              <a16:creationId xmlns:a16="http://schemas.microsoft.com/office/drawing/2014/main" id="{00000000-0008-0000-0000-00008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52" name="Picture 11" hidden="1">
          <a:extLst>
            <a:ext uri="{FF2B5EF4-FFF2-40B4-BE49-F238E27FC236}">
              <a16:creationId xmlns:a16="http://schemas.microsoft.com/office/drawing/2014/main" id="{00000000-0008-0000-0000-00008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54" name="Picture 11" hidden="1">
          <a:extLst>
            <a:ext uri="{FF2B5EF4-FFF2-40B4-BE49-F238E27FC236}">
              <a16:creationId xmlns:a16="http://schemas.microsoft.com/office/drawing/2014/main" id="{00000000-0008-0000-0000-00008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56" name="Picture 11" hidden="1">
          <a:extLst>
            <a:ext uri="{FF2B5EF4-FFF2-40B4-BE49-F238E27FC236}">
              <a16:creationId xmlns:a16="http://schemas.microsoft.com/office/drawing/2014/main" id="{00000000-0008-0000-0000-00008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58" name="Picture 11" hidden="1">
          <a:extLst>
            <a:ext uri="{FF2B5EF4-FFF2-40B4-BE49-F238E27FC236}">
              <a16:creationId xmlns:a16="http://schemas.microsoft.com/office/drawing/2014/main" id="{00000000-0008-0000-0000-00008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60" name="Picture 11" hidden="1">
          <a:extLst>
            <a:ext uri="{FF2B5EF4-FFF2-40B4-BE49-F238E27FC236}">
              <a16:creationId xmlns:a16="http://schemas.microsoft.com/office/drawing/2014/main" id="{00000000-0008-0000-0000-00009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62" name="Picture 11" hidden="1">
          <a:extLst>
            <a:ext uri="{FF2B5EF4-FFF2-40B4-BE49-F238E27FC236}">
              <a16:creationId xmlns:a16="http://schemas.microsoft.com/office/drawing/2014/main" id="{00000000-0008-0000-0000-00009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64" name="Picture 11" hidden="1">
          <a:extLst>
            <a:ext uri="{FF2B5EF4-FFF2-40B4-BE49-F238E27FC236}">
              <a16:creationId xmlns:a16="http://schemas.microsoft.com/office/drawing/2014/main" id="{00000000-0008-0000-0000-00009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66" name="Picture 11" hidden="1">
          <a:extLst>
            <a:ext uri="{FF2B5EF4-FFF2-40B4-BE49-F238E27FC236}">
              <a16:creationId xmlns:a16="http://schemas.microsoft.com/office/drawing/2014/main" id="{00000000-0008-0000-0000-00009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68" name="Picture 11" hidden="1">
          <a:extLst>
            <a:ext uri="{FF2B5EF4-FFF2-40B4-BE49-F238E27FC236}">
              <a16:creationId xmlns:a16="http://schemas.microsoft.com/office/drawing/2014/main" id="{00000000-0008-0000-0000-00009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70" name="Picture 11" hidden="1">
          <a:extLst>
            <a:ext uri="{FF2B5EF4-FFF2-40B4-BE49-F238E27FC236}">
              <a16:creationId xmlns:a16="http://schemas.microsoft.com/office/drawing/2014/main" id="{00000000-0008-0000-0000-00009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72" name="Picture 11" hidden="1">
          <a:extLst>
            <a:ext uri="{FF2B5EF4-FFF2-40B4-BE49-F238E27FC236}">
              <a16:creationId xmlns:a16="http://schemas.microsoft.com/office/drawing/2014/main" id="{00000000-0008-0000-0000-00009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74" name="Picture 11" hidden="1">
          <a:extLst>
            <a:ext uri="{FF2B5EF4-FFF2-40B4-BE49-F238E27FC236}">
              <a16:creationId xmlns:a16="http://schemas.microsoft.com/office/drawing/2014/main" id="{00000000-0008-0000-0000-00009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76" name="Picture 11" hidden="1">
          <a:extLst>
            <a:ext uri="{FF2B5EF4-FFF2-40B4-BE49-F238E27FC236}">
              <a16:creationId xmlns:a16="http://schemas.microsoft.com/office/drawing/2014/main" id="{00000000-0008-0000-0000-0000A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78" name="Picture 11" hidden="1">
          <a:extLst>
            <a:ext uri="{FF2B5EF4-FFF2-40B4-BE49-F238E27FC236}">
              <a16:creationId xmlns:a16="http://schemas.microsoft.com/office/drawing/2014/main" id="{00000000-0008-0000-0000-0000A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80" name="Picture 11" hidden="1">
          <a:extLst>
            <a:ext uri="{FF2B5EF4-FFF2-40B4-BE49-F238E27FC236}">
              <a16:creationId xmlns:a16="http://schemas.microsoft.com/office/drawing/2014/main" id="{00000000-0008-0000-0000-0000A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82" name="Picture 11" hidden="1">
          <a:extLst>
            <a:ext uri="{FF2B5EF4-FFF2-40B4-BE49-F238E27FC236}">
              <a16:creationId xmlns:a16="http://schemas.microsoft.com/office/drawing/2014/main" id="{00000000-0008-0000-0000-0000A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84" name="Picture 11" hidden="1">
          <a:extLst>
            <a:ext uri="{FF2B5EF4-FFF2-40B4-BE49-F238E27FC236}">
              <a16:creationId xmlns:a16="http://schemas.microsoft.com/office/drawing/2014/main" id="{00000000-0008-0000-0000-0000A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86" name="Picture 11" hidden="1">
          <a:extLst>
            <a:ext uri="{FF2B5EF4-FFF2-40B4-BE49-F238E27FC236}">
              <a16:creationId xmlns:a16="http://schemas.microsoft.com/office/drawing/2014/main" id="{00000000-0008-0000-0000-0000A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88" name="Picture 11" hidden="1">
          <a:extLst>
            <a:ext uri="{FF2B5EF4-FFF2-40B4-BE49-F238E27FC236}">
              <a16:creationId xmlns:a16="http://schemas.microsoft.com/office/drawing/2014/main" id="{00000000-0008-0000-0000-0000A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90" name="Picture 11" hidden="1">
          <a:extLst>
            <a:ext uri="{FF2B5EF4-FFF2-40B4-BE49-F238E27FC236}">
              <a16:creationId xmlns:a16="http://schemas.microsoft.com/office/drawing/2014/main" id="{00000000-0008-0000-0000-0000A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92" name="Picture 11" hidden="1">
          <a:extLst>
            <a:ext uri="{FF2B5EF4-FFF2-40B4-BE49-F238E27FC236}">
              <a16:creationId xmlns:a16="http://schemas.microsoft.com/office/drawing/2014/main" id="{00000000-0008-0000-0000-0000B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94" name="Picture 11" hidden="1">
          <a:extLst>
            <a:ext uri="{FF2B5EF4-FFF2-40B4-BE49-F238E27FC236}">
              <a16:creationId xmlns:a16="http://schemas.microsoft.com/office/drawing/2014/main" id="{00000000-0008-0000-0000-0000B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96" name="Picture 11" hidden="1">
          <a:extLst>
            <a:ext uri="{FF2B5EF4-FFF2-40B4-BE49-F238E27FC236}">
              <a16:creationId xmlns:a16="http://schemas.microsoft.com/office/drawing/2014/main" id="{00000000-0008-0000-0000-0000B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98" name="Picture 11" hidden="1">
          <a:extLst>
            <a:ext uri="{FF2B5EF4-FFF2-40B4-BE49-F238E27FC236}">
              <a16:creationId xmlns:a16="http://schemas.microsoft.com/office/drawing/2014/main" id="{00000000-0008-0000-0000-0000B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00" name="Picture 11" hidden="1">
          <a:extLst>
            <a:ext uri="{FF2B5EF4-FFF2-40B4-BE49-F238E27FC236}">
              <a16:creationId xmlns:a16="http://schemas.microsoft.com/office/drawing/2014/main" id="{00000000-0008-0000-0000-0000B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02" name="Picture 11" hidden="1">
          <a:extLst>
            <a:ext uri="{FF2B5EF4-FFF2-40B4-BE49-F238E27FC236}">
              <a16:creationId xmlns:a16="http://schemas.microsoft.com/office/drawing/2014/main" id="{00000000-0008-0000-0000-0000B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04" name="Picture 11" hidden="1">
          <a:extLst>
            <a:ext uri="{FF2B5EF4-FFF2-40B4-BE49-F238E27FC236}">
              <a16:creationId xmlns:a16="http://schemas.microsoft.com/office/drawing/2014/main" id="{00000000-0008-0000-0000-0000B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06" name="Picture 11" hidden="1">
          <a:extLst>
            <a:ext uri="{FF2B5EF4-FFF2-40B4-BE49-F238E27FC236}">
              <a16:creationId xmlns:a16="http://schemas.microsoft.com/office/drawing/2014/main" id="{00000000-0008-0000-0000-0000B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08" name="Picture 11" hidden="1">
          <a:extLst>
            <a:ext uri="{FF2B5EF4-FFF2-40B4-BE49-F238E27FC236}">
              <a16:creationId xmlns:a16="http://schemas.microsoft.com/office/drawing/2014/main" id="{00000000-0008-0000-0000-0000C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10" name="Picture 9409" hidden="1">
          <a:extLst>
            <a:ext uri="{FF2B5EF4-FFF2-40B4-BE49-F238E27FC236}">
              <a16:creationId xmlns:a16="http://schemas.microsoft.com/office/drawing/2014/main" id="{00000000-0008-0000-0000-0000C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12" name="Picture 11" hidden="1">
          <a:extLst>
            <a:ext uri="{FF2B5EF4-FFF2-40B4-BE49-F238E27FC236}">
              <a16:creationId xmlns:a16="http://schemas.microsoft.com/office/drawing/2014/main" id="{00000000-0008-0000-0000-0000C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14" name="Picture 11" hidden="1">
          <a:extLst>
            <a:ext uri="{FF2B5EF4-FFF2-40B4-BE49-F238E27FC236}">
              <a16:creationId xmlns:a16="http://schemas.microsoft.com/office/drawing/2014/main" id="{00000000-0008-0000-0000-0000C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16" name="Picture 11" hidden="1">
          <a:extLst>
            <a:ext uri="{FF2B5EF4-FFF2-40B4-BE49-F238E27FC236}">
              <a16:creationId xmlns:a16="http://schemas.microsoft.com/office/drawing/2014/main" id="{00000000-0008-0000-0000-0000C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18" name="Picture 11" hidden="1">
          <a:extLst>
            <a:ext uri="{FF2B5EF4-FFF2-40B4-BE49-F238E27FC236}">
              <a16:creationId xmlns:a16="http://schemas.microsoft.com/office/drawing/2014/main" id="{00000000-0008-0000-0000-0000C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20" name="Picture 11" hidden="1">
          <a:extLst>
            <a:ext uri="{FF2B5EF4-FFF2-40B4-BE49-F238E27FC236}">
              <a16:creationId xmlns:a16="http://schemas.microsoft.com/office/drawing/2014/main" id="{00000000-0008-0000-0000-0000C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22" name="Picture 11" hidden="1">
          <a:extLst>
            <a:ext uri="{FF2B5EF4-FFF2-40B4-BE49-F238E27FC236}">
              <a16:creationId xmlns:a16="http://schemas.microsoft.com/office/drawing/2014/main" id="{00000000-0008-0000-0000-0000C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24" name="Picture 11" hidden="1">
          <a:extLst>
            <a:ext uri="{FF2B5EF4-FFF2-40B4-BE49-F238E27FC236}">
              <a16:creationId xmlns:a16="http://schemas.microsoft.com/office/drawing/2014/main" id="{00000000-0008-0000-0000-0000D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26" name="Picture 11" hidden="1">
          <a:extLst>
            <a:ext uri="{FF2B5EF4-FFF2-40B4-BE49-F238E27FC236}">
              <a16:creationId xmlns:a16="http://schemas.microsoft.com/office/drawing/2014/main" id="{00000000-0008-0000-0000-0000D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28" name="Picture 11" hidden="1">
          <a:extLst>
            <a:ext uri="{FF2B5EF4-FFF2-40B4-BE49-F238E27FC236}">
              <a16:creationId xmlns:a16="http://schemas.microsoft.com/office/drawing/2014/main" id="{00000000-0008-0000-0000-0000D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30" name="Picture 11" hidden="1">
          <a:extLst>
            <a:ext uri="{FF2B5EF4-FFF2-40B4-BE49-F238E27FC236}">
              <a16:creationId xmlns:a16="http://schemas.microsoft.com/office/drawing/2014/main" id="{00000000-0008-0000-0000-0000D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32" name="Picture 11" hidden="1">
          <a:extLst>
            <a:ext uri="{FF2B5EF4-FFF2-40B4-BE49-F238E27FC236}">
              <a16:creationId xmlns:a16="http://schemas.microsoft.com/office/drawing/2014/main" id="{00000000-0008-0000-0000-0000D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34" name="Picture 11" hidden="1">
          <a:extLst>
            <a:ext uri="{FF2B5EF4-FFF2-40B4-BE49-F238E27FC236}">
              <a16:creationId xmlns:a16="http://schemas.microsoft.com/office/drawing/2014/main" id="{00000000-0008-0000-0000-0000D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36" name="Picture 11" hidden="1">
          <a:extLst>
            <a:ext uri="{FF2B5EF4-FFF2-40B4-BE49-F238E27FC236}">
              <a16:creationId xmlns:a16="http://schemas.microsoft.com/office/drawing/2014/main" id="{00000000-0008-0000-0000-0000D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38" name="Picture 11" hidden="1">
          <a:extLst>
            <a:ext uri="{FF2B5EF4-FFF2-40B4-BE49-F238E27FC236}">
              <a16:creationId xmlns:a16="http://schemas.microsoft.com/office/drawing/2014/main" id="{00000000-0008-0000-0000-0000D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40" name="Picture 11" hidden="1">
          <a:extLst>
            <a:ext uri="{FF2B5EF4-FFF2-40B4-BE49-F238E27FC236}">
              <a16:creationId xmlns:a16="http://schemas.microsoft.com/office/drawing/2014/main" id="{00000000-0008-0000-0000-0000E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42" name="Picture 11" hidden="1">
          <a:extLst>
            <a:ext uri="{FF2B5EF4-FFF2-40B4-BE49-F238E27FC236}">
              <a16:creationId xmlns:a16="http://schemas.microsoft.com/office/drawing/2014/main" id="{00000000-0008-0000-0000-0000E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44" name="Picture 11" hidden="1">
          <a:extLst>
            <a:ext uri="{FF2B5EF4-FFF2-40B4-BE49-F238E27FC236}">
              <a16:creationId xmlns:a16="http://schemas.microsoft.com/office/drawing/2014/main" id="{00000000-0008-0000-0000-0000E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46" name="Picture 11" hidden="1">
          <a:extLst>
            <a:ext uri="{FF2B5EF4-FFF2-40B4-BE49-F238E27FC236}">
              <a16:creationId xmlns:a16="http://schemas.microsoft.com/office/drawing/2014/main" id="{00000000-0008-0000-0000-0000E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48" name="Picture 11" hidden="1">
          <a:extLst>
            <a:ext uri="{FF2B5EF4-FFF2-40B4-BE49-F238E27FC236}">
              <a16:creationId xmlns:a16="http://schemas.microsoft.com/office/drawing/2014/main" id="{00000000-0008-0000-0000-0000E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50" name="Picture 11" hidden="1">
          <a:extLst>
            <a:ext uri="{FF2B5EF4-FFF2-40B4-BE49-F238E27FC236}">
              <a16:creationId xmlns:a16="http://schemas.microsoft.com/office/drawing/2014/main" id="{00000000-0008-0000-0000-0000E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52" name="Picture 11" hidden="1">
          <a:extLst>
            <a:ext uri="{FF2B5EF4-FFF2-40B4-BE49-F238E27FC236}">
              <a16:creationId xmlns:a16="http://schemas.microsoft.com/office/drawing/2014/main" id="{00000000-0008-0000-0000-0000E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54" name="Picture 11" hidden="1">
          <a:extLst>
            <a:ext uri="{FF2B5EF4-FFF2-40B4-BE49-F238E27FC236}">
              <a16:creationId xmlns:a16="http://schemas.microsoft.com/office/drawing/2014/main" id="{00000000-0008-0000-0000-0000E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56" name="Picture 11" hidden="1">
          <a:extLst>
            <a:ext uri="{FF2B5EF4-FFF2-40B4-BE49-F238E27FC236}">
              <a16:creationId xmlns:a16="http://schemas.microsoft.com/office/drawing/2014/main" id="{00000000-0008-0000-0000-0000F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58" name="Picture 11" hidden="1">
          <a:extLst>
            <a:ext uri="{FF2B5EF4-FFF2-40B4-BE49-F238E27FC236}">
              <a16:creationId xmlns:a16="http://schemas.microsoft.com/office/drawing/2014/main" id="{00000000-0008-0000-0000-0000F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60" name="Picture 11" hidden="1">
          <a:extLst>
            <a:ext uri="{FF2B5EF4-FFF2-40B4-BE49-F238E27FC236}">
              <a16:creationId xmlns:a16="http://schemas.microsoft.com/office/drawing/2014/main" id="{00000000-0008-0000-0000-0000F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62" name="Picture 11" hidden="1">
          <a:extLst>
            <a:ext uri="{FF2B5EF4-FFF2-40B4-BE49-F238E27FC236}">
              <a16:creationId xmlns:a16="http://schemas.microsoft.com/office/drawing/2014/main" id="{00000000-0008-0000-0000-0000F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64" name="Picture 11" hidden="1">
          <a:extLst>
            <a:ext uri="{FF2B5EF4-FFF2-40B4-BE49-F238E27FC236}">
              <a16:creationId xmlns:a16="http://schemas.microsoft.com/office/drawing/2014/main" id="{00000000-0008-0000-0000-0000F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66" name="Picture 11" hidden="1">
          <a:extLst>
            <a:ext uri="{FF2B5EF4-FFF2-40B4-BE49-F238E27FC236}">
              <a16:creationId xmlns:a16="http://schemas.microsoft.com/office/drawing/2014/main" id="{00000000-0008-0000-0000-0000F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68" name="Picture 11" hidden="1">
          <a:extLst>
            <a:ext uri="{FF2B5EF4-FFF2-40B4-BE49-F238E27FC236}">
              <a16:creationId xmlns:a16="http://schemas.microsoft.com/office/drawing/2014/main" id="{00000000-0008-0000-0000-0000F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70" name="Picture 11" hidden="1">
          <a:extLst>
            <a:ext uri="{FF2B5EF4-FFF2-40B4-BE49-F238E27FC236}">
              <a16:creationId xmlns:a16="http://schemas.microsoft.com/office/drawing/2014/main" id="{00000000-0008-0000-0000-0000F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72" name="Picture 11" hidden="1">
          <a:extLst>
            <a:ext uri="{FF2B5EF4-FFF2-40B4-BE49-F238E27FC236}">
              <a16:creationId xmlns:a16="http://schemas.microsoft.com/office/drawing/2014/main" id="{00000000-0008-0000-0000-00000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74" name="Picture 11" hidden="1">
          <a:extLst>
            <a:ext uri="{FF2B5EF4-FFF2-40B4-BE49-F238E27FC236}">
              <a16:creationId xmlns:a16="http://schemas.microsoft.com/office/drawing/2014/main" id="{00000000-0008-0000-0000-00000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76" name="Picture 11" hidden="1">
          <a:extLst>
            <a:ext uri="{FF2B5EF4-FFF2-40B4-BE49-F238E27FC236}">
              <a16:creationId xmlns:a16="http://schemas.microsoft.com/office/drawing/2014/main" id="{00000000-0008-0000-0000-00000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78" name="Picture 11" hidden="1">
          <a:extLst>
            <a:ext uri="{FF2B5EF4-FFF2-40B4-BE49-F238E27FC236}">
              <a16:creationId xmlns:a16="http://schemas.microsoft.com/office/drawing/2014/main" id="{00000000-0008-0000-0000-00000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80" name="Picture 11" hidden="1">
          <a:extLst>
            <a:ext uri="{FF2B5EF4-FFF2-40B4-BE49-F238E27FC236}">
              <a16:creationId xmlns:a16="http://schemas.microsoft.com/office/drawing/2014/main" id="{00000000-0008-0000-0000-00000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82" name="Picture 11" hidden="1">
          <a:extLst>
            <a:ext uri="{FF2B5EF4-FFF2-40B4-BE49-F238E27FC236}">
              <a16:creationId xmlns:a16="http://schemas.microsoft.com/office/drawing/2014/main" id="{00000000-0008-0000-0000-00000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84" name="Picture 11" hidden="1">
          <a:extLst>
            <a:ext uri="{FF2B5EF4-FFF2-40B4-BE49-F238E27FC236}">
              <a16:creationId xmlns:a16="http://schemas.microsoft.com/office/drawing/2014/main" id="{00000000-0008-0000-0000-00000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86" name="Picture 11" hidden="1">
          <a:extLst>
            <a:ext uri="{FF2B5EF4-FFF2-40B4-BE49-F238E27FC236}">
              <a16:creationId xmlns:a16="http://schemas.microsoft.com/office/drawing/2014/main" id="{00000000-0008-0000-0000-00000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88" name="Picture 11" hidden="1">
          <a:extLst>
            <a:ext uri="{FF2B5EF4-FFF2-40B4-BE49-F238E27FC236}">
              <a16:creationId xmlns:a16="http://schemas.microsoft.com/office/drawing/2014/main" id="{00000000-0008-0000-0000-00001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90" name="Picture 11" hidden="1">
          <a:extLst>
            <a:ext uri="{FF2B5EF4-FFF2-40B4-BE49-F238E27FC236}">
              <a16:creationId xmlns:a16="http://schemas.microsoft.com/office/drawing/2014/main" id="{00000000-0008-0000-0000-00001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92" name="Picture 11" hidden="1">
          <a:extLst>
            <a:ext uri="{FF2B5EF4-FFF2-40B4-BE49-F238E27FC236}">
              <a16:creationId xmlns:a16="http://schemas.microsoft.com/office/drawing/2014/main" id="{00000000-0008-0000-0000-00001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94" name="Picture 11" hidden="1">
          <a:extLst>
            <a:ext uri="{FF2B5EF4-FFF2-40B4-BE49-F238E27FC236}">
              <a16:creationId xmlns:a16="http://schemas.microsoft.com/office/drawing/2014/main" id="{00000000-0008-0000-0000-00001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96" name="Picture 11" hidden="1">
          <a:extLst>
            <a:ext uri="{FF2B5EF4-FFF2-40B4-BE49-F238E27FC236}">
              <a16:creationId xmlns:a16="http://schemas.microsoft.com/office/drawing/2014/main" id="{00000000-0008-0000-0000-00001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98" name="Picture 11" hidden="1">
          <a:extLst>
            <a:ext uri="{FF2B5EF4-FFF2-40B4-BE49-F238E27FC236}">
              <a16:creationId xmlns:a16="http://schemas.microsoft.com/office/drawing/2014/main" id="{00000000-0008-0000-0000-00001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00" name="Picture 11" hidden="1">
          <a:extLst>
            <a:ext uri="{FF2B5EF4-FFF2-40B4-BE49-F238E27FC236}">
              <a16:creationId xmlns:a16="http://schemas.microsoft.com/office/drawing/2014/main" id="{00000000-0008-0000-0000-00001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02" name="Picture 11" hidden="1">
          <a:extLst>
            <a:ext uri="{FF2B5EF4-FFF2-40B4-BE49-F238E27FC236}">
              <a16:creationId xmlns:a16="http://schemas.microsoft.com/office/drawing/2014/main" id="{00000000-0008-0000-0000-00001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04" name="Picture 11" hidden="1">
          <a:extLst>
            <a:ext uri="{FF2B5EF4-FFF2-40B4-BE49-F238E27FC236}">
              <a16:creationId xmlns:a16="http://schemas.microsoft.com/office/drawing/2014/main" id="{00000000-0008-0000-0000-00002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06" name="Picture 11" hidden="1">
          <a:extLst>
            <a:ext uri="{FF2B5EF4-FFF2-40B4-BE49-F238E27FC236}">
              <a16:creationId xmlns:a16="http://schemas.microsoft.com/office/drawing/2014/main" id="{00000000-0008-0000-0000-00002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08" name="Picture 11" hidden="1">
          <a:extLst>
            <a:ext uri="{FF2B5EF4-FFF2-40B4-BE49-F238E27FC236}">
              <a16:creationId xmlns:a16="http://schemas.microsoft.com/office/drawing/2014/main" id="{00000000-0008-0000-0000-00002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10" name="Picture 11" hidden="1">
          <a:extLst>
            <a:ext uri="{FF2B5EF4-FFF2-40B4-BE49-F238E27FC236}">
              <a16:creationId xmlns:a16="http://schemas.microsoft.com/office/drawing/2014/main" id="{00000000-0008-0000-0000-00002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12" name="Picture 11" hidden="1">
          <a:extLst>
            <a:ext uri="{FF2B5EF4-FFF2-40B4-BE49-F238E27FC236}">
              <a16:creationId xmlns:a16="http://schemas.microsoft.com/office/drawing/2014/main" id="{00000000-0008-0000-0000-00002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14" name="Picture 11" hidden="1">
          <a:extLst>
            <a:ext uri="{FF2B5EF4-FFF2-40B4-BE49-F238E27FC236}">
              <a16:creationId xmlns:a16="http://schemas.microsoft.com/office/drawing/2014/main" id="{00000000-0008-0000-0000-00002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16" name="Picture 11" hidden="1">
          <a:extLst>
            <a:ext uri="{FF2B5EF4-FFF2-40B4-BE49-F238E27FC236}">
              <a16:creationId xmlns:a16="http://schemas.microsoft.com/office/drawing/2014/main" id="{00000000-0008-0000-0000-00002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18" name="Picture 9517" hidden="1">
          <a:extLst>
            <a:ext uri="{FF2B5EF4-FFF2-40B4-BE49-F238E27FC236}">
              <a16:creationId xmlns:a16="http://schemas.microsoft.com/office/drawing/2014/main" id="{00000000-0008-0000-0000-00002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20" name="Picture 11" hidden="1">
          <a:extLst>
            <a:ext uri="{FF2B5EF4-FFF2-40B4-BE49-F238E27FC236}">
              <a16:creationId xmlns:a16="http://schemas.microsoft.com/office/drawing/2014/main" id="{00000000-0008-0000-0000-00003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22" name="Picture 11" hidden="1">
          <a:extLst>
            <a:ext uri="{FF2B5EF4-FFF2-40B4-BE49-F238E27FC236}">
              <a16:creationId xmlns:a16="http://schemas.microsoft.com/office/drawing/2014/main" id="{00000000-0008-0000-0000-00003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24" name="Picture 11" hidden="1">
          <a:extLst>
            <a:ext uri="{FF2B5EF4-FFF2-40B4-BE49-F238E27FC236}">
              <a16:creationId xmlns:a16="http://schemas.microsoft.com/office/drawing/2014/main" id="{00000000-0008-0000-0000-00003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26" name="Picture 11" hidden="1">
          <a:extLst>
            <a:ext uri="{FF2B5EF4-FFF2-40B4-BE49-F238E27FC236}">
              <a16:creationId xmlns:a16="http://schemas.microsoft.com/office/drawing/2014/main" id="{00000000-0008-0000-0000-00003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28" name="Picture 11" hidden="1">
          <a:extLst>
            <a:ext uri="{FF2B5EF4-FFF2-40B4-BE49-F238E27FC236}">
              <a16:creationId xmlns:a16="http://schemas.microsoft.com/office/drawing/2014/main" id="{00000000-0008-0000-0000-00003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30" name="Picture 11" hidden="1">
          <a:extLst>
            <a:ext uri="{FF2B5EF4-FFF2-40B4-BE49-F238E27FC236}">
              <a16:creationId xmlns:a16="http://schemas.microsoft.com/office/drawing/2014/main" id="{00000000-0008-0000-0000-00003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32" name="Picture 11" hidden="1">
          <a:extLst>
            <a:ext uri="{FF2B5EF4-FFF2-40B4-BE49-F238E27FC236}">
              <a16:creationId xmlns:a16="http://schemas.microsoft.com/office/drawing/2014/main" id="{00000000-0008-0000-0000-00003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34" name="Picture 11" hidden="1">
          <a:extLst>
            <a:ext uri="{FF2B5EF4-FFF2-40B4-BE49-F238E27FC236}">
              <a16:creationId xmlns:a16="http://schemas.microsoft.com/office/drawing/2014/main" id="{00000000-0008-0000-0000-00003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36" name="Picture 11" hidden="1">
          <a:extLst>
            <a:ext uri="{FF2B5EF4-FFF2-40B4-BE49-F238E27FC236}">
              <a16:creationId xmlns:a16="http://schemas.microsoft.com/office/drawing/2014/main" id="{00000000-0008-0000-0000-00004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38" name="Picture 11" hidden="1">
          <a:extLst>
            <a:ext uri="{FF2B5EF4-FFF2-40B4-BE49-F238E27FC236}">
              <a16:creationId xmlns:a16="http://schemas.microsoft.com/office/drawing/2014/main" id="{00000000-0008-0000-0000-00004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40" name="Picture 11" hidden="1">
          <a:extLst>
            <a:ext uri="{FF2B5EF4-FFF2-40B4-BE49-F238E27FC236}">
              <a16:creationId xmlns:a16="http://schemas.microsoft.com/office/drawing/2014/main" id="{00000000-0008-0000-0000-00004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42" name="Picture 11" hidden="1">
          <a:extLst>
            <a:ext uri="{FF2B5EF4-FFF2-40B4-BE49-F238E27FC236}">
              <a16:creationId xmlns:a16="http://schemas.microsoft.com/office/drawing/2014/main" id="{00000000-0008-0000-0000-00004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44" name="Picture 11" hidden="1">
          <a:extLst>
            <a:ext uri="{FF2B5EF4-FFF2-40B4-BE49-F238E27FC236}">
              <a16:creationId xmlns:a16="http://schemas.microsoft.com/office/drawing/2014/main" id="{00000000-0008-0000-0000-00004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46" name="Picture 11" hidden="1">
          <a:extLst>
            <a:ext uri="{FF2B5EF4-FFF2-40B4-BE49-F238E27FC236}">
              <a16:creationId xmlns:a16="http://schemas.microsoft.com/office/drawing/2014/main" id="{00000000-0008-0000-0000-00004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48" name="Picture 11" hidden="1">
          <a:extLst>
            <a:ext uri="{FF2B5EF4-FFF2-40B4-BE49-F238E27FC236}">
              <a16:creationId xmlns:a16="http://schemas.microsoft.com/office/drawing/2014/main" id="{00000000-0008-0000-0000-00004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50" name="Picture 11" hidden="1">
          <a:extLst>
            <a:ext uri="{FF2B5EF4-FFF2-40B4-BE49-F238E27FC236}">
              <a16:creationId xmlns:a16="http://schemas.microsoft.com/office/drawing/2014/main" id="{00000000-0008-0000-0000-00004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52" name="Picture 11" hidden="1">
          <a:extLst>
            <a:ext uri="{FF2B5EF4-FFF2-40B4-BE49-F238E27FC236}">
              <a16:creationId xmlns:a16="http://schemas.microsoft.com/office/drawing/2014/main" id="{00000000-0008-0000-0000-00005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54" name="Picture 11" hidden="1">
          <a:extLst>
            <a:ext uri="{FF2B5EF4-FFF2-40B4-BE49-F238E27FC236}">
              <a16:creationId xmlns:a16="http://schemas.microsoft.com/office/drawing/2014/main" id="{00000000-0008-0000-0000-00005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56" name="Picture 11" hidden="1">
          <a:extLst>
            <a:ext uri="{FF2B5EF4-FFF2-40B4-BE49-F238E27FC236}">
              <a16:creationId xmlns:a16="http://schemas.microsoft.com/office/drawing/2014/main" id="{00000000-0008-0000-0000-00005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58" name="Picture 11" hidden="1">
          <a:extLst>
            <a:ext uri="{FF2B5EF4-FFF2-40B4-BE49-F238E27FC236}">
              <a16:creationId xmlns:a16="http://schemas.microsoft.com/office/drawing/2014/main" id="{00000000-0008-0000-0000-00005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60" name="Picture 11" hidden="1">
          <a:extLst>
            <a:ext uri="{FF2B5EF4-FFF2-40B4-BE49-F238E27FC236}">
              <a16:creationId xmlns:a16="http://schemas.microsoft.com/office/drawing/2014/main" id="{00000000-0008-0000-0000-00005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62" name="Picture 11" hidden="1">
          <a:extLst>
            <a:ext uri="{FF2B5EF4-FFF2-40B4-BE49-F238E27FC236}">
              <a16:creationId xmlns:a16="http://schemas.microsoft.com/office/drawing/2014/main" id="{00000000-0008-0000-0000-00005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64" name="Picture 11" hidden="1">
          <a:extLst>
            <a:ext uri="{FF2B5EF4-FFF2-40B4-BE49-F238E27FC236}">
              <a16:creationId xmlns:a16="http://schemas.microsoft.com/office/drawing/2014/main" id="{00000000-0008-0000-0000-00005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66" name="Picture 11" hidden="1">
          <a:extLst>
            <a:ext uri="{FF2B5EF4-FFF2-40B4-BE49-F238E27FC236}">
              <a16:creationId xmlns:a16="http://schemas.microsoft.com/office/drawing/2014/main" id="{00000000-0008-0000-0000-00005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68" name="Picture 11" hidden="1">
          <a:extLst>
            <a:ext uri="{FF2B5EF4-FFF2-40B4-BE49-F238E27FC236}">
              <a16:creationId xmlns:a16="http://schemas.microsoft.com/office/drawing/2014/main" id="{00000000-0008-0000-0000-00006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70" name="Picture 11" hidden="1">
          <a:extLst>
            <a:ext uri="{FF2B5EF4-FFF2-40B4-BE49-F238E27FC236}">
              <a16:creationId xmlns:a16="http://schemas.microsoft.com/office/drawing/2014/main" id="{00000000-0008-0000-0000-00006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72" name="Picture 11" hidden="1">
          <a:extLst>
            <a:ext uri="{FF2B5EF4-FFF2-40B4-BE49-F238E27FC236}">
              <a16:creationId xmlns:a16="http://schemas.microsoft.com/office/drawing/2014/main" id="{00000000-0008-0000-0000-00006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74" name="Picture 11" hidden="1">
          <a:extLst>
            <a:ext uri="{FF2B5EF4-FFF2-40B4-BE49-F238E27FC236}">
              <a16:creationId xmlns:a16="http://schemas.microsoft.com/office/drawing/2014/main" id="{00000000-0008-0000-0000-00006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76" name="Picture 11" hidden="1">
          <a:extLst>
            <a:ext uri="{FF2B5EF4-FFF2-40B4-BE49-F238E27FC236}">
              <a16:creationId xmlns:a16="http://schemas.microsoft.com/office/drawing/2014/main" id="{00000000-0008-0000-0000-00006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78" name="Picture 11" hidden="1">
          <a:extLst>
            <a:ext uri="{FF2B5EF4-FFF2-40B4-BE49-F238E27FC236}">
              <a16:creationId xmlns:a16="http://schemas.microsoft.com/office/drawing/2014/main" id="{00000000-0008-0000-0000-00006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80" name="Picture 11" hidden="1">
          <a:extLst>
            <a:ext uri="{FF2B5EF4-FFF2-40B4-BE49-F238E27FC236}">
              <a16:creationId xmlns:a16="http://schemas.microsoft.com/office/drawing/2014/main" id="{00000000-0008-0000-0000-00006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82" name="Picture 11" hidden="1">
          <a:extLst>
            <a:ext uri="{FF2B5EF4-FFF2-40B4-BE49-F238E27FC236}">
              <a16:creationId xmlns:a16="http://schemas.microsoft.com/office/drawing/2014/main" id="{00000000-0008-0000-0000-00006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84" name="Picture 11" hidden="1">
          <a:extLst>
            <a:ext uri="{FF2B5EF4-FFF2-40B4-BE49-F238E27FC236}">
              <a16:creationId xmlns:a16="http://schemas.microsoft.com/office/drawing/2014/main" id="{00000000-0008-0000-0000-00007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86" name="Picture 11" hidden="1">
          <a:extLst>
            <a:ext uri="{FF2B5EF4-FFF2-40B4-BE49-F238E27FC236}">
              <a16:creationId xmlns:a16="http://schemas.microsoft.com/office/drawing/2014/main" id="{00000000-0008-0000-0000-00007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88" name="Picture 11" hidden="1">
          <a:extLst>
            <a:ext uri="{FF2B5EF4-FFF2-40B4-BE49-F238E27FC236}">
              <a16:creationId xmlns:a16="http://schemas.microsoft.com/office/drawing/2014/main" id="{00000000-0008-0000-0000-00007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90" name="Picture 11" hidden="1">
          <a:extLst>
            <a:ext uri="{FF2B5EF4-FFF2-40B4-BE49-F238E27FC236}">
              <a16:creationId xmlns:a16="http://schemas.microsoft.com/office/drawing/2014/main" id="{00000000-0008-0000-0000-00007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92" name="Picture 11" hidden="1">
          <a:extLst>
            <a:ext uri="{FF2B5EF4-FFF2-40B4-BE49-F238E27FC236}">
              <a16:creationId xmlns:a16="http://schemas.microsoft.com/office/drawing/2014/main" id="{00000000-0008-0000-0000-00007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94" name="Picture 11" hidden="1">
          <a:extLst>
            <a:ext uri="{FF2B5EF4-FFF2-40B4-BE49-F238E27FC236}">
              <a16:creationId xmlns:a16="http://schemas.microsoft.com/office/drawing/2014/main" id="{00000000-0008-0000-0000-00007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96" name="Picture 11" hidden="1">
          <a:extLst>
            <a:ext uri="{FF2B5EF4-FFF2-40B4-BE49-F238E27FC236}">
              <a16:creationId xmlns:a16="http://schemas.microsoft.com/office/drawing/2014/main" id="{00000000-0008-0000-0000-00007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98" name="Picture 11" hidden="1">
          <a:extLst>
            <a:ext uri="{FF2B5EF4-FFF2-40B4-BE49-F238E27FC236}">
              <a16:creationId xmlns:a16="http://schemas.microsoft.com/office/drawing/2014/main" id="{00000000-0008-0000-0000-00007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00" name="Picture 11" hidden="1">
          <a:extLst>
            <a:ext uri="{FF2B5EF4-FFF2-40B4-BE49-F238E27FC236}">
              <a16:creationId xmlns:a16="http://schemas.microsoft.com/office/drawing/2014/main" id="{00000000-0008-0000-0000-00008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02" name="Picture 11" hidden="1">
          <a:extLst>
            <a:ext uri="{FF2B5EF4-FFF2-40B4-BE49-F238E27FC236}">
              <a16:creationId xmlns:a16="http://schemas.microsoft.com/office/drawing/2014/main" id="{00000000-0008-0000-0000-00008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04" name="Picture 11" hidden="1">
          <a:extLst>
            <a:ext uri="{FF2B5EF4-FFF2-40B4-BE49-F238E27FC236}">
              <a16:creationId xmlns:a16="http://schemas.microsoft.com/office/drawing/2014/main" id="{00000000-0008-0000-0000-00008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06" name="Picture 11" hidden="1">
          <a:extLst>
            <a:ext uri="{FF2B5EF4-FFF2-40B4-BE49-F238E27FC236}">
              <a16:creationId xmlns:a16="http://schemas.microsoft.com/office/drawing/2014/main" id="{00000000-0008-0000-0000-00008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08" name="Picture 11" hidden="1">
          <a:extLst>
            <a:ext uri="{FF2B5EF4-FFF2-40B4-BE49-F238E27FC236}">
              <a16:creationId xmlns:a16="http://schemas.microsoft.com/office/drawing/2014/main" id="{00000000-0008-0000-0000-00008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10" name="Picture 11" hidden="1">
          <a:extLst>
            <a:ext uri="{FF2B5EF4-FFF2-40B4-BE49-F238E27FC236}">
              <a16:creationId xmlns:a16="http://schemas.microsoft.com/office/drawing/2014/main" id="{00000000-0008-0000-0000-00008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12" name="Picture 11" hidden="1">
          <a:extLst>
            <a:ext uri="{FF2B5EF4-FFF2-40B4-BE49-F238E27FC236}">
              <a16:creationId xmlns:a16="http://schemas.microsoft.com/office/drawing/2014/main" id="{00000000-0008-0000-0000-00008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14" name="Picture 11" hidden="1">
          <a:extLst>
            <a:ext uri="{FF2B5EF4-FFF2-40B4-BE49-F238E27FC236}">
              <a16:creationId xmlns:a16="http://schemas.microsoft.com/office/drawing/2014/main" id="{00000000-0008-0000-0000-00008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16" name="Picture 11" hidden="1">
          <a:extLst>
            <a:ext uri="{FF2B5EF4-FFF2-40B4-BE49-F238E27FC236}">
              <a16:creationId xmlns:a16="http://schemas.microsoft.com/office/drawing/2014/main" id="{00000000-0008-0000-0000-00009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18" name="Picture 11" hidden="1">
          <a:extLst>
            <a:ext uri="{FF2B5EF4-FFF2-40B4-BE49-F238E27FC236}">
              <a16:creationId xmlns:a16="http://schemas.microsoft.com/office/drawing/2014/main" id="{00000000-0008-0000-0000-00009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20" name="Picture 11" hidden="1">
          <a:extLst>
            <a:ext uri="{FF2B5EF4-FFF2-40B4-BE49-F238E27FC236}">
              <a16:creationId xmlns:a16="http://schemas.microsoft.com/office/drawing/2014/main" id="{00000000-0008-0000-0000-00009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22" name="Picture 11" hidden="1">
          <a:extLst>
            <a:ext uri="{FF2B5EF4-FFF2-40B4-BE49-F238E27FC236}">
              <a16:creationId xmlns:a16="http://schemas.microsoft.com/office/drawing/2014/main" id="{00000000-0008-0000-0000-00009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24" name="Picture 11" hidden="1">
          <a:extLst>
            <a:ext uri="{FF2B5EF4-FFF2-40B4-BE49-F238E27FC236}">
              <a16:creationId xmlns:a16="http://schemas.microsoft.com/office/drawing/2014/main" id="{00000000-0008-0000-0000-00009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26" name="Picture 9625" hidden="1">
          <a:extLst>
            <a:ext uri="{FF2B5EF4-FFF2-40B4-BE49-F238E27FC236}">
              <a16:creationId xmlns:a16="http://schemas.microsoft.com/office/drawing/2014/main" id="{00000000-0008-0000-0000-00009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28" name="Picture 11" hidden="1">
          <a:extLst>
            <a:ext uri="{FF2B5EF4-FFF2-40B4-BE49-F238E27FC236}">
              <a16:creationId xmlns:a16="http://schemas.microsoft.com/office/drawing/2014/main" id="{00000000-0008-0000-0000-00009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30" name="Picture 11" hidden="1">
          <a:extLst>
            <a:ext uri="{FF2B5EF4-FFF2-40B4-BE49-F238E27FC236}">
              <a16:creationId xmlns:a16="http://schemas.microsoft.com/office/drawing/2014/main" id="{00000000-0008-0000-0000-00009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32" name="Picture 11" hidden="1">
          <a:extLst>
            <a:ext uri="{FF2B5EF4-FFF2-40B4-BE49-F238E27FC236}">
              <a16:creationId xmlns:a16="http://schemas.microsoft.com/office/drawing/2014/main" id="{00000000-0008-0000-0000-0000A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34" name="Picture 11" hidden="1">
          <a:extLst>
            <a:ext uri="{FF2B5EF4-FFF2-40B4-BE49-F238E27FC236}">
              <a16:creationId xmlns:a16="http://schemas.microsoft.com/office/drawing/2014/main" id="{00000000-0008-0000-0000-0000A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36" name="Picture 11" hidden="1">
          <a:extLst>
            <a:ext uri="{FF2B5EF4-FFF2-40B4-BE49-F238E27FC236}">
              <a16:creationId xmlns:a16="http://schemas.microsoft.com/office/drawing/2014/main" id="{00000000-0008-0000-0000-0000A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38" name="Picture 11" hidden="1">
          <a:extLst>
            <a:ext uri="{FF2B5EF4-FFF2-40B4-BE49-F238E27FC236}">
              <a16:creationId xmlns:a16="http://schemas.microsoft.com/office/drawing/2014/main" id="{00000000-0008-0000-0000-0000A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40" name="Picture 11" hidden="1">
          <a:extLst>
            <a:ext uri="{FF2B5EF4-FFF2-40B4-BE49-F238E27FC236}">
              <a16:creationId xmlns:a16="http://schemas.microsoft.com/office/drawing/2014/main" id="{00000000-0008-0000-0000-0000A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42" name="Picture 11" hidden="1">
          <a:extLst>
            <a:ext uri="{FF2B5EF4-FFF2-40B4-BE49-F238E27FC236}">
              <a16:creationId xmlns:a16="http://schemas.microsoft.com/office/drawing/2014/main" id="{00000000-0008-0000-0000-0000A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44" name="Picture 11" hidden="1">
          <a:extLst>
            <a:ext uri="{FF2B5EF4-FFF2-40B4-BE49-F238E27FC236}">
              <a16:creationId xmlns:a16="http://schemas.microsoft.com/office/drawing/2014/main" id="{00000000-0008-0000-0000-0000A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46" name="Picture 11" hidden="1">
          <a:extLst>
            <a:ext uri="{FF2B5EF4-FFF2-40B4-BE49-F238E27FC236}">
              <a16:creationId xmlns:a16="http://schemas.microsoft.com/office/drawing/2014/main" id="{00000000-0008-0000-0000-0000A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48" name="Picture 11" hidden="1">
          <a:extLst>
            <a:ext uri="{FF2B5EF4-FFF2-40B4-BE49-F238E27FC236}">
              <a16:creationId xmlns:a16="http://schemas.microsoft.com/office/drawing/2014/main" id="{00000000-0008-0000-0000-0000B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50" name="Picture 11" hidden="1">
          <a:extLst>
            <a:ext uri="{FF2B5EF4-FFF2-40B4-BE49-F238E27FC236}">
              <a16:creationId xmlns:a16="http://schemas.microsoft.com/office/drawing/2014/main" id="{00000000-0008-0000-0000-0000B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52" name="Picture 11" hidden="1">
          <a:extLst>
            <a:ext uri="{FF2B5EF4-FFF2-40B4-BE49-F238E27FC236}">
              <a16:creationId xmlns:a16="http://schemas.microsoft.com/office/drawing/2014/main" id="{00000000-0008-0000-0000-0000B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54" name="Picture 11" hidden="1">
          <a:extLst>
            <a:ext uri="{FF2B5EF4-FFF2-40B4-BE49-F238E27FC236}">
              <a16:creationId xmlns:a16="http://schemas.microsoft.com/office/drawing/2014/main" id="{00000000-0008-0000-0000-0000B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56" name="Picture 11" hidden="1">
          <a:extLst>
            <a:ext uri="{FF2B5EF4-FFF2-40B4-BE49-F238E27FC236}">
              <a16:creationId xmlns:a16="http://schemas.microsoft.com/office/drawing/2014/main" id="{00000000-0008-0000-0000-0000B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58" name="Picture 11" hidden="1">
          <a:extLst>
            <a:ext uri="{FF2B5EF4-FFF2-40B4-BE49-F238E27FC236}">
              <a16:creationId xmlns:a16="http://schemas.microsoft.com/office/drawing/2014/main" id="{00000000-0008-0000-0000-0000B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60" name="Picture 11" hidden="1">
          <a:extLst>
            <a:ext uri="{FF2B5EF4-FFF2-40B4-BE49-F238E27FC236}">
              <a16:creationId xmlns:a16="http://schemas.microsoft.com/office/drawing/2014/main" id="{00000000-0008-0000-0000-0000B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62" name="Picture 11" hidden="1">
          <a:extLst>
            <a:ext uri="{FF2B5EF4-FFF2-40B4-BE49-F238E27FC236}">
              <a16:creationId xmlns:a16="http://schemas.microsoft.com/office/drawing/2014/main" id="{00000000-0008-0000-0000-0000B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64" name="Picture 11" hidden="1">
          <a:extLst>
            <a:ext uri="{FF2B5EF4-FFF2-40B4-BE49-F238E27FC236}">
              <a16:creationId xmlns:a16="http://schemas.microsoft.com/office/drawing/2014/main" id="{00000000-0008-0000-0000-0000C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66" name="Picture 11" hidden="1">
          <a:extLst>
            <a:ext uri="{FF2B5EF4-FFF2-40B4-BE49-F238E27FC236}">
              <a16:creationId xmlns:a16="http://schemas.microsoft.com/office/drawing/2014/main" id="{00000000-0008-0000-0000-0000C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68" name="Picture 11" hidden="1">
          <a:extLst>
            <a:ext uri="{FF2B5EF4-FFF2-40B4-BE49-F238E27FC236}">
              <a16:creationId xmlns:a16="http://schemas.microsoft.com/office/drawing/2014/main" id="{00000000-0008-0000-0000-0000C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70" name="Picture 11" hidden="1">
          <a:extLst>
            <a:ext uri="{FF2B5EF4-FFF2-40B4-BE49-F238E27FC236}">
              <a16:creationId xmlns:a16="http://schemas.microsoft.com/office/drawing/2014/main" id="{00000000-0008-0000-0000-0000C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72" name="Picture 11" hidden="1">
          <a:extLst>
            <a:ext uri="{FF2B5EF4-FFF2-40B4-BE49-F238E27FC236}">
              <a16:creationId xmlns:a16="http://schemas.microsoft.com/office/drawing/2014/main" id="{00000000-0008-0000-0000-0000C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74" name="Picture 11" hidden="1">
          <a:extLst>
            <a:ext uri="{FF2B5EF4-FFF2-40B4-BE49-F238E27FC236}">
              <a16:creationId xmlns:a16="http://schemas.microsoft.com/office/drawing/2014/main" id="{00000000-0008-0000-0000-0000C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76" name="Picture 11" hidden="1">
          <a:extLst>
            <a:ext uri="{FF2B5EF4-FFF2-40B4-BE49-F238E27FC236}">
              <a16:creationId xmlns:a16="http://schemas.microsoft.com/office/drawing/2014/main" id="{00000000-0008-0000-0000-0000C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78" name="Picture 11" hidden="1">
          <a:extLst>
            <a:ext uri="{FF2B5EF4-FFF2-40B4-BE49-F238E27FC236}">
              <a16:creationId xmlns:a16="http://schemas.microsoft.com/office/drawing/2014/main" id="{00000000-0008-0000-0000-0000C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80" name="Picture 11" hidden="1">
          <a:extLst>
            <a:ext uri="{FF2B5EF4-FFF2-40B4-BE49-F238E27FC236}">
              <a16:creationId xmlns:a16="http://schemas.microsoft.com/office/drawing/2014/main" id="{00000000-0008-0000-0000-0000D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82" name="Picture 11" hidden="1">
          <a:extLst>
            <a:ext uri="{FF2B5EF4-FFF2-40B4-BE49-F238E27FC236}">
              <a16:creationId xmlns:a16="http://schemas.microsoft.com/office/drawing/2014/main" id="{00000000-0008-0000-0000-0000D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84" name="Picture 11" hidden="1">
          <a:extLst>
            <a:ext uri="{FF2B5EF4-FFF2-40B4-BE49-F238E27FC236}">
              <a16:creationId xmlns:a16="http://schemas.microsoft.com/office/drawing/2014/main" id="{00000000-0008-0000-0000-0000D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86" name="Picture 11" hidden="1">
          <a:extLst>
            <a:ext uri="{FF2B5EF4-FFF2-40B4-BE49-F238E27FC236}">
              <a16:creationId xmlns:a16="http://schemas.microsoft.com/office/drawing/2014/main" id="{00000000-0008-0000-0000-0000D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88" name="Picture 11" hidden="1">
          <a:extLst>
            <a:ext uri="{FF2B5EF4-FFF2-40B4-BE49-F238E27FC236}">
              <a16:creationId xmlns:a16="http://schemas.microsoft.com/office/drawing/2014/main" id="{00000000-0008-0000-0000-0000D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90" name="Picture 11" hidden="1">
          <a:extLst>
            <a:ext uri="{FF2B5EF4-FFF2-40B4-BE49-F238E27FC236}">
              <a16:creationId xmlns:a16="http://schemas.microsoft.com/office/drawing/2014/main" id="{00000000-0008-0000-0000-0000D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92" name="Picture 11" hidden="1">
          <a:extLst>
            <a:ext uri="{FF2B5EF4-FFF2-40B4-BE49-F238E27FC236}">
              <a16:creationId xmlns:a16="http://schemas.microsoft.com/office/drawing/2014/main" id="{00000000-0008-0000-0000-0000D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94" name="Picture 11" hidden="1">
          <a:extLst>
            <a:ext uri="{FF2B5EF4-FFF2-40B4-BE49-F238E27FC236}">
              <a16:creationId xmlns:a16="http://schemas.microsoft.com/office/drawing/2014/main" id="{00000000-0008-0000-0000-0000D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96" name="Picture 11" hidden="1">
          <a:extLst>
            <a:ext uri="{FF2B5EF4-FFF2-40B4-BE49-F238E27FC236}">
              <a16:creationId xmlns:a16="http://schemas.microsoft.com/office/drawing/2014/main" id="{00000000-0008-0000-0000-0000E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98" name="Picture 11" hidden="1">
          <a:extLst>
            <a:ext uri="{FF2B5EF4-FFF2-40B4-BE49-F238E27FC236}">
              <a16:creationId xmlns:a16="http://schemas.microsoft.com/office/drawing/2014/main" id="{00000000-0008-0000-0000-0000E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00" name="Picture 11" hidden="1">
          <a:extLst>
            <a:ext uri="{FF2B5EF4-FFF2-40B4-BE49-F238E27FC236}">
              <a16:creationId xmlns:a16="http://schemas.microsoft.com/office/drawing/2014/main" id="{00000000-0008-0000-0000-0000E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02" name="Picture 11" hidden="1">
          <a:extLst>
            <a:ext uri="{FF2B5EF4-FFF2-40B4-BE49-F238E27FC236}">
              <a16:creationId xmlns:a16="http://schemas.microsoft.com/office/drawing/2014/main" id="{00000000-0008-0000-0000-0000E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04" name="Picture 11" hidden="1">
          <a:extLst>
            <a:ext uri="{FF2B5EF4-FFF2-40B4-BE49-F238E27FC236}">
              <a16:creationId xmlns:a16="http://schemas.microsoft.com/office/drawing/2014/main" id="{00000000-0008-0000-0000-0000E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06" name="Picture 11" hidden="1">
          <a:extLst>
            <a:ext uri="{FF2B5EF4-FFF2-40B4-BE49-F238E27FC236}">
              <a16:creationId xmlns:a16="http://schemas.microsoft.com/office/drawing/2014/main" id="{00000000-0008-0000-0000-0000E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08" name="Picture 11" hidden="1">
          <a:extLst>
            <a:ext uri="{FF2B5EF4-FFF2-40B4-BE49-F238E27FC236}">
              <a16:creationId xmlns:a16="http://schemas.microsoft.com/office/drawing/2014/main" id="{00000000-0008-0000-0000-0000E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10" name="Picture 11" hidden="1">
          <a:extLst>
            <a:ext uri="{FF2B5EF4-FFF2-40B4-BE49-F238E27FC236}">
              <a16:creationId xmlns:a16="http://schemas.microsoft.com/office/drawing/2014/main" id="{00000000-0008-0000-0000-0000E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12" name="Picture 11" hidden="1">
          <a:extLst>
            <a:ext uri="{FF2B5EF4-FFF2-40B4-BE49-F238E27FC236}">
              <a16:creationId xmlns:a16="http://schemas.microsoft.com/office/drawing/2014/main" id="{00000000-0008-0000-0000-0000F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14" name="Picture 11" hidden="1">
          <a:extLst>
            <a:ext uri="{FF2B5EF4-FFF2-40B4-BE49-F238E27FC236}">
              <a16:creationId xmlns:a16="http://schemas.microsoft.com/office/drawing/2014/main" id="{00000000-0008-0000-0000-0000F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16" name="Picture 11" hidden="1">
          <a:extLst>
            <a:ext uri="{FF2B5EF4-FFF2-40B4-BE49-F238E27FC236}">
              <a16:creationId xmlns:a16="http://schemas.microsoft.com/office/drawing/2014/main" id="{00000000-0008-0000-0000-0000F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18" name="Picture 11" hidden="1">
          <a:extLst>
            <a:ext uri="{FF2B5EF4-FFF2-40B4-BE49-F238E27FC236}">
              <a16:creationId xmlns:a16="http://schemas.microsoft.com/office/drawing/2014/main" id="{00000000-0008-0000-0000-0000F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20" name="Picture 11" hidden="1">
          <a:extLst>
            <a:ext uri="{FF2B5EF4-FFF2-40B4-BE49-F238E27FC236}">
              <a16:creationId xmlns:a16="http://schemas.microsoft.com/office/drawing/2014/main" id="{00000000-0008-0000-0000-0000F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22" name="Picture 11" hidden="1">
          <a:extLst>
            <a:ext uri="{FF2B5EF4-FFF2-40B4-BE49-F238E27FC236}">
              <a16:creationId xmlns:a16="http://schemas.microsoft.com/office/drawing/2014/main" id="{00000000-0008-0000-0000-0000F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24" name="Picture 11" hidden="1">
          <a:extLst>
            <a:ext uri="{FF2B5EF4-FFF2-40B4-BE49-F238E27FC236}">
              <a16:creationId xmlns:a16="http://schemas.microsoft.com/office/drawing/2014/main" id="{00000000-0008-0000-0000-0000F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9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5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9726" name="Picture 11" hidden="1">
          <a:extLst>
            <a:ext uri="{FF2B5EF4-FFF2-40B4-BE49-F238E27FC236}">
              <a16:creationId xmlns:a16="http://schemas.microsoft.com/office/drawing/2014/main" id="{00000000-0008-0000-0000-0000F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28" name="Picture 11" hidden="1">
          <a:extLst>
            <a:ext uri="{FF2B5EF4-FFF2-40B4-BE49-F238E27FC236}">
              <a16:creationId xmlns:a16="http://schemas.microsoft.com/office/drawing/2014/main" id="{00000000-0008-0000-0000-00000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30" name="Picture 11" hidden="1">
          <a:extLst>
            <a:ext uri="{FF2B5EF4-FFF2-40B4-BE49-F238E27FC236}">
              <a16:creationId xmlns:a16="http://schemas.microsoft.com/office/drawing/2014/main" id="{00000000-0008-0000-0000-00000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32" name="Picture 11" hidden="1">
          <a:extLst>
            <a:ext uri="{FF2B5EF4-FFF2-40B4-BE49-F238E27FC236}">
              <a16:creationId xmlns:a16="http://schemas.microsoft.com/office/drawing/2014/main" id="{00000000-0008-0000-0000-00000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34" name="Picture 9733" hidden="1">
          <a:extLst>
            <a:ext uri="{FF2B5EF4-FFF2-40B4-BE49-F238E27FC236}">
              <a16:creationId xmlns:a16="http://schemas.microsoft.com/office/drawing/2014/main" id="{00000000-0008-0000-0000-00000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36" name="Picture 11" hidden="1">
          <a:extLst>
            <a:ext uri="{FF2B5EF4-FFF2-40B4-BE49-F238E27FC236}">
              <a16:creationId xmlns:a16="http://schemas.microsoft.com/office/drawing/2014/main" id="{00000000-0008-0000-0000-00000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38" name="Picture 11" hidden="1">
          <a:extLst>
            <a:ext uri="{FF2B5EF4-FFF2-40B4-BE49-F238E27FC236}">
              <a16:creationId xmlns:a16="http://schemas.microsoft.com/office/drawing/2014/main" id="{00000000-0008-0000-0000-00000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40" name="Picture 11" hidden="1">
          <a:extLst>
            <a:ext uri="{FF2B5EF4-FFF2-40B4-BE49-F238E27FC236}">
              <a16:creationId xmlns:a16="http://schemas.microsoft.com/office/drawing/2014/main" id="{00000000-0008-0000-0000-00000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42" name="Picture 11" hidden="1">
          <a:extLst>
            <a:ext uri="{FF2B5EF4-FFF2-40B4-BE49-F238E27FC236}">
              <a16:creationId xmlns:a16="http://schemas.microsoft.com/office/drawing/2014/main" id="{00000000-0008-0000-0000-00000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44" name="Picture 11" hidden="1">
          <a:extLst>
            <a:ext uri="{FF2B5EF4-FFF2-40B4-BE49-F238E27FC236}">
              <a16:creationId xmlns:a16="http://schemas.microsoft.com/office/drawing/2014/main" id="{00000000-0008-0000-0000-00001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46" name="Picture 11" hidden="1">
          <a:extLst>
            <a:ext uri="{FF2B5EF4-FFF2-40B4-BE49-F238E27FC236}">
              <a16:creationId xmlns:a16="http://schemas.microsoft.com/office/drawing/2014/main" id="{00000000-0008-0000-0000-00001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48" name="Picture 11" hidden="1">
          <a:extLst>
            <a:ext uri="{FF2B5EF4-FFF2-40B4-BE49-F238E27FC236}">
              <a16:creationId xmlns:a16="http://schemas.microsoft.com/office/drawing/2014/main" id="{00000000-0008-0000-0000-00001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50" name="Picture 11" hidden="1">
          <a:extLst>
            <a:ext uri="{FF2B5EF4-FFF2-40B4-BE49-F238E27FC236}">
              <a16:creationId xmlns:a16="http://schemas.microsoft.com/office/drawing/2014/main" id="{00000000-0008-0000-0000-00001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52" name="Picture 11" hidden="1">
          <a:extLst>
            <a:ext uri="{FF2B5EF4-FFF2-40B4-BE49-F238E27FC236}">
              <a16:creationId xmlns:a16="http://schemas.microsoft.com/office/drawing/2014/main" id="{00000000-0008-0000-0000-00001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54" name="Picture 11" hidden="1">
          <a:extLst>
            <a:ext uri="{FF2B5EF4-FFF2-40B4-BE49-F238E27FC236}">
              <a16:creationId xmlns:a16="http://schemas.microsoft.com/office/drawing/2014/main" id="{00000000-0008-0000-0000-00001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56" name="Picture 11" hidden="1">
          <a:extLst>
            <a:ext uri="{FF2B5EF4-FFF2-40B4-BE49-F238E27FC236}">
              <a16:creationId xmlns:a16="http://schemas.microsoft.com/office/drawing/2014/main" id="{00000000-0008-0000-0000-00001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58" name="Picture 11" hidden="1">
          <a:extLst>
            <a:ext uri="{FF2B5EF4-FFF2-40B4-BE49-F238E27FC236}">
              <a16:creationId xmlns:a16="http://schemas.microsoft.com/office/drawing/2014/main" id="{00000000-0008-0000-0000-00001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60" name="Picture 11" hidden="1">
          <a:extLst>
            <a:ext uri="{FF2B5EF4-FFF2-40B4-BE49-F238E27FC236}">
              <a16:creationId xmlns:a16="http://schemas.microsoft.com/office/drawing/2014/main" id="{00000000-0008-0000-0000-00002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62" name="Picture 11" hidden="1">
          <a:extLst>
            <a:ext uri="{FF2B5EF4-FFF2-40B4-BE49-F238E27FC236}">
              <a16:creationId xmlns:a16="http://schemas.microsoft.com/office/drawing/2014/main" id="{00000000-0008-0000-0000-00002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64" name="Picture 11" hidden="1">
          <a:extLst>
            <a:ext uri="{FF2B5EF4-FFF2-40B4-BE49-F238E27FC236}">
              <a16:creationId xmlns:a16="http://schemas.microsoft.com/office/drawing/2014/main" id="{00000000-0008-0000-0000-00002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66" name="Picture 11" hidden="1">
          <a:extLst>
            <a:ext uri="{FF2B5EF4-FFF2-40B4-BE49-F238E27FC236}">
              <a16:creationId xmlns:a16="http://schemas.microsoft.com/office/drawing/2014/main" id="{00000000-0008-0000-0000-00002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68" name="Picture 11" hidden="1">
          <a:extLst>
            <a:ext uri="{FF2B5EF4-FFF2-40B4-BE49-F238E27FC236}">
              <a16:creationId xmlns:a16="http://schemas.microsoft.com/office/drawing/2014/main" id="{00000000-0008-0000-0000-00002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70" name="Picture 11" hidden="1">
          <a:extLst>
            <a:ext uri="{FF2B5EF4-FFF2-40B4-BE49-F238E27FC236}">
              <a16:creationId xmlns:a16="http://schemas.microsoft.com/office/drawing/2014/main" id="{00000000-0008-0000-0000-00002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72" name="Picture 11" hidden="1">
          <a:extLst>
            <a:ext uri="{FF2B5EF4-FFF2-40B4-BE49-F238E27FC236}">
              <a16:creationId xmlns:a16="http://schemas.microsoft.com/office/drawing/2014/main" id="{00000000-0008-0000-0000-00002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74" name="Picture 11" hidden="1">
          <a:extLst>
            <a:ext uri="{FF2B5EF4-FFF2-40B4-BE49-F238E27FC236}">
              <a16:creationId xmlns:a16="http://schemas.microsoft.com/office/drawing/2014/main" id="{00000000-0008-0000-0000-00002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76" name="Picture 11" hidden="1">
          <a:extLst>
            <a:ext uri="{FF2B5EF4-FFF2-40B4-BE49-F238E27FC236}">
              <a16:creationId xmlns:a16="http://schemas.microsoft.com/office/drawing/2014/main" id="{00000000-0008-0000-0000-00003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78" name="Picture 11" hidden="1">
          <a:extLst>
            <a:ext uri="{FF2B5EF4-FFF2-40B4-BE49-F238E27FC236}">
              <a16:creationId xmlns:a16="http://schemas.microsoft.com/office/drawing/2014/main" id="{00000000-0008-0000-0000-00003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80" name="Picture 11" hidden="1">
          <a:extLst>
            <a:ext uri="{FF2B5EF4-FFF2-40B4-BE49-F238E27FC236}">
              <a16:creationId xmlns:a16="http://schemas.microsoft.com/office/drawing/2014/main" id="{00000000-0008-0000-0000-00003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82" name="Picture 11" hidden="1">
          <a:extLst>
            <a:ext uri="{FF2B5EF4-FFF2-40B4-BE49-F238E27FC236}">
              <a16:creationId xmlns:a16="http://schemas.microsoft.com/office/drawing/2014/main" id="{00000000-0008-0000-0000-00003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84" name="Picture 11" hidden="1">
          <a:extLst>
            <a:ext uri="{FF2B5EF4-FFF2-40B4-BE49-F238E27FC236}">
              <a16:creationId xmlns:a16="http://schemas.microsoft.com/office/drawing/2014/main" id="{00000000-0008-0000-0000-00003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86" name="Picture 11" hidden="1">
          <a:extLst>
            <a:ext uri="{FF2B5EF4-FFF2-40B4-BE49-F238E27FC236}">
              <a16:creationId xmlns:a16="http://schemas.microsoft.com/office/drawing/2014/main" id="{00000000-0008-0000-0000-00003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88" name="Picture 11" hidden="1">
          <a:extLst>
            <a:ext uri="{FF2B5EF4-FFF2-40B4-BE49-F238E27FC236}">
              <a16:creationId xmlns:a16="http://schemas.microsoft.com/office/drawing/2014/main" id="{00000000-0008-0000-0000-00003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90" name="Picture 11" hidden="1">
          <a:extLst>
            <a:ext uri="{FF2B5EF4-FFF2-40B4-BE49-F238E27FC236}">
              <a16:creationId xmlns:a16="http://schemas.microsoft.com/office/drawing/2014/main" id="{00000000-0008-0000-0000-00003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92" name="Picture 11" hidden="1">
          <a:extLst>
            <a:ext uri="{FF2B5EF4-FFF2-40B4-BE49-F238E27FC236}">
              <a16:creationId xmlns:a16="http://schemas.microsoft.com/office/drawing/2014/main" id="{00000000-0008-0000-0000-00004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94" name="Picture 11" hidden="1">
          <a:extLst>
            <a:ext uri="{FF2B5EF4-FFF2-40B4-BE49-F238E27FC236}">
              <a16:creationId xmlns:a16="http://schemas.microsoft.com/office/drawing/2014/main" id="{00000000-0008-0000-0000-00004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96" name="Picture 11" hidden="1">
          <a:extLst>
            <a:ext uri="{FF2B5EF4-FFF2-40B4-BE49-F238E27FC236}">
              <a16:creationId xmlns:a16="http://schemas.microsoft.com/office/drawing/2014/main" id="{00000000-0008-0000-0000-00004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98" name="Picture 11" hidden="1">
          <a:extLst>
            <a:ext uri="{FF2B5EF4-FFF2-40B4-BE49-F238E27FC236}">
              <a16:creationId xmlns:a16="http://schemas.microsoft.com/office/drawing/2014/main" id="{00000000-0008-0000-0000-00004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00" name="Picture 11" hidden="1">
          <a:extLst>
            <a:ext uri="{FF2B5EF4-FFF2-40B4-BE49-F238E27FC236}">
              <a16:creationId xmlns:a16="http://schemas.microsoft.com/office/drawing/2014/main" id="{00000000-0008-0000-0000-00004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02" name="Picture 11" hidden="1">
          <a:extLst>
            <a:ext uri="{FF2B5EF4-FFF2-40B4-BE49-F238E27FC236}">
              <a16:creationId xmlns:a16="http://schemas.microsoft.com/office/drawing/2014/main" id="{00000000-0008-0000-0000-00004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04" name="Picture 11" hidden="1">
          <a:extLst>
            <a:ext uri="{FF2B5EF4-FFF2-40B4-BE49-F238E27FC236}">
              <a16:creationId xmlns:a16="http://schemas.microsoft.com/office/drawing/2014/main" id="{00000000-0008-0000-0000-00004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06" name="Picture 11" hidden="1">
          <a:extLst>
            <a:ext uri="{FF2B5EF4-FFF2-40B4-BE49-F238E27FC236}">
              <a16:creationId xmlns:a16="http://schemas.microsoft.com/office/drawing/2014/main" id="{00000000-0008-0000-0000-00004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08" name="Picture 11" hidden="1">
          <a:extLst>
            <a:ext uri="{FF2B5EF4-FFF2-40B4-BE49-F238E27FC236}">
              <a16:creationId xmlns:a16="http://schemas.microsoft.com/office/drawing/2014/main" id="{00000000-0008-0000-0000-00005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10" name="Picture 11" hidden="1">
          <a:extLst>
            <a:ext uri="{FF2B5EF4-FFF2-40B4-BE49-F238E27FC236}">
              <a16:creationId xmlns:a16="http://schemas.microsoft.com/office/drawing/2014/main" id="{00000000-0008-0000-0000-00005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12" name="Picture 11" hidden="1">
          <a:extLst>
            <a:ext uri="{FF2B5EF4-FFF2-40B4-BE49-F238E27FC236}">
              <a16:creationId xmlns:a16="http://schemas.microsoft.com/office/drawing/2014/main" id="{00000000-0008-0000-0000-00005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14" name="Picture 11" hidden="1">
          <a:extLst>
            <a:ext uri="{FF2B5EF4-FFF2-40B4-BE49-F238E27FC236}">
              <a16:creationId xmlns:a16="http://schemas.microsoft.com/office/drawing/2014/main" id="{00000000-0008-0000-0000-00005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16" name="Picture 11" hidden="1">
          <a:extLst>
            <a:ext uri="{FF2B5EF4-FFF2-40B4-BE49-F238E27FC236}">
              <a16:creationId xmlns:a16="http://schemas.microsoft.com/office/drawing/2014/main" id="{00000000-0008-0000-0000-00005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18" name="Picture 11" hidden="1">
          <a:extLst>
            <a:ext uri="{FF2B5EF4-FFF2-40B4-BE49-F238E27FC236}">
              <a16:creationId xmlns:a16="http://schemas.microsoft.com/office/drawing/2014/main" id="{00000000-0008-0000-0000-00005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20" name="Picture 11" hidden="1">
          <a:extLst>
            <a:ext uri="{FF2B5EF4-FFF2-40B4-BE49-F238E27FC236}">
              <a16:creationId xmlns:a16="http://schemas.microsoft.com/office/drawing/2014/main" id="{00000000-0008-0000-0000-00005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22" name="Picture 11" hidden="1">
          <a:extLst>
            <a:ext uri="{FF2B5EF4-FFF2-40B4-BE49-F238E27FC236}">
              <a16:creationId xmlns:a16="http://schemas.microsoft.com/office/drawing/2014/main" id="{00000000-0008-0000-0000-00005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24" name="Picture 11" hidden="1">
          <a:extLst>
            <a:ext uri="{FF2B5EF4-FFF2-40B4-BE49-F238E27FC236}">
              <a16:creationId xmlns:a16="http://schemas.microsoft.com/office/drawing/2014/main" id="{00000000-0008-0000-0000-00006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26" name="Picture 11" hidden="1">
          <a:extLst>
            <a:ext uri="{FF2B5EF4-FFF2-40B4-BE49-F238E27FC236}">
              <a16:creationId xmlns:a16="http://schemas.microsoft.com/office/drawing/2014/main" id="{00000000-0008-0000-0000-00006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28" name="Picture 11" hidden="1">
          <a:extLst>
            <a:ext uri="{FF2B5EF4-FFF2-40B4-BE49-F238E27FC236}">
              <a16:creationId xmlns:a16="http://schemas.microsoft.com/office/drawing/2014/main" id="{00000000-0008-0000-0000-00006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30" name="Picture 11" hidden="1">
          <a:extLst>
            <a:ext uri="{FF2B5EF4-FFF2-40B4-BE49-F238E27FC236}">
              <a16:creationId xmlns:a16="http://schemas.microsoft.com/office/drawing/2014/main" id="{00000000-0008-0000-0000-00006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32" name="Picture 11" hidden="1">
          <a:extLst>
            <a:ext uri="{FF2B5EF4-FFF2-40B4-BE49-F238E27FC236}">
              <a16:creationId xmlns:a16="http://schemas.microsoft.com/office/drawing/2014/main" id="{00000000-0008-0000-0000-00006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34" name="Picture 11" hidden="1">
          <a:extLst>
            <a:ext uri="{FF2B5EF4-FFF2-40B4-BE49-F238E27FC236}">
              <a16:creationId xmlns:a16="http://schemas.microsoft.com/office/drawing/2014/main" id="{00000000-0008-0000-0000-00006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36" name="Picture 11" hidden="1">
          <a:extLst>
            <a:ext uri="{FF2B5EF4-FFF2-40B4-BE49-F238E27FC236}">
              <a16:creationId xmlns:a16="http://schemas.microsoft.com/office/drawing/2014/main" id="{00000000-0008-0000-0000-00006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38" name="Picture 11" hidden="1">
          <a:extLst>
            <a:ext uri="{FF2B5EF4-FFF2-40B4-BE49-F238E27FC236}">
              <a16:creationId xmlns:a16="http://schemas.microsoft.com/office/drawing/2014/main" id="{00000000-0008-0000-0000-00006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40" name="Picture 11" hidden="1">
          <a:extLst>
            <a:ext uri="{FF2B5EF4-FFF2-40B4-BE49-F238E27FC236}">
              <a16:creationId xmlns:a16="http://schemas.microsoft.com/office/drawing/2014/main" id="{00000000-0008-0000-0000-00007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42" name="Picture 9841" hidden="1">
          <a:extLst>
            <a:ext uri="{FF2B5EF4-FFF2-40B4-BE49-F238E27FC236}">
              <a16:creationId xmlns:a16="http://schemas.microsoft.com/office/drawing/2014/main" id="{00000000-0008-0000-0000-00007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44" name="Picture 11" hidden="1">
          <a:extLst>
            <a:ext uri="{FF2B5EF4-FFF2-40B4-BE49-F238E27FC236}">
              <a16:creationId xmlns:a16="http://schemas.microsoft.com/office/drawing/2014/main" id="{00000000-0008-0000-0000-00007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46" name="Picture 11" hidden="1">
          <a:extLst>
            <a:ext uri="{FF2B5EF4-FFF2-40B4-BE49-F238E27FC236}">
              <a16:creationId xmlns:a16="http://schemas.microsoft.com/office/drawing/2014/main" id="{00000000-0008-0000-0000-00007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48" name="Picture 11" hidden="1">
          <a:extLst>
            <a:ext uri="{FF2B5EF4-FFF2-40B4-BE49-F238E27FC236}">
              <a16:creationId xmlns:a16="http://schemas.microsoft.com/office/drawing/2014/main" id="{00000000-0008-0000-0000-00007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50" name="Picture 11" hidden="1">
          <a:extLst>
            <a:ext uri="{FF2B5EF4-FFF2-40B4-BE49-F238E27FC236}">
              <a16:creationId xmlns:a16="http://schemas.microsoft.com/office/drawing/2014/main" id="{00000000-0008-0000-0000-00007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52" name="Picture 11" hidden="1">
          <a:extLst>
            <a:ext uri="{FF2B5EF4-FFF2-40B4-BE49-F238E27FC236}">
              <a16:creationId xmlns:a16="http://schemas.microsoft.com/office/drawing/2014/main" id="{00000000-0008-0000-0000-00007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54" name="Picture 11" hidden="1">
          <a:extLst>
            <a:ext uri="{FF2B5EF4-FFF2-40B4-BE49-F238E27FC236}">
              <a16:creationId xmlns:a16="http://schemas.microsoft.com/office/drawing/2014/main" id="{00000000-0008-0000-0000-00007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56" name="Picture 11" hidden="1">
          <a:extLst>
            <a:ext uri="{FF2B5EF4-FFF2-40B4-BE49-F238E27FC236}">
              <a16:creationId xmlns:a16="http://schemas.microsoft.com/office/drawing/2014/main" id="{00000000-0008-0000-0000-00008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58" name="Picture 11" hidden="1">
          <a:extLst>
            <a:ext uri="{FF2B5EF4-FFF2-40B4-BE49-F238E27FC236}">
              <a16:creationId xmlns:a16="http://schemas.microsoft.com/office/drawing/2014/main" id="{00000000-0008-0000-0000-00008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60" name="Picture 11" hidden="1">
          <a:extLst>
            <a:ext uri="{FF2B5EF4-FFF2-40B4-BE49-F238E27FC236}">
              <a16:creationId xmlns:a16="http://schemas.microsoft.com/office/drawing/2014/main" id="{00000000-0008-0000-0000-00008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62" name="Picture 11" hidden="1">
          <a:extLst>
            <a:ext uri="{FF2B5EF4-FFF2-40B4-BE49-F238E27FC236}">
              <a16:creationId xmlns:a16="http://schemas.microsoft.com/office/drawing/2014/main" id="{00000000-0008-0000-0000-00008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64" name="Picture 11" hidden="1">
          <a:extLst>
            <a:ext uri="{FF2B5EF4-FFF2-40B4-BE49-F238E27FC236}">
              <a16:creationId xmlns:a16="http://schemas.microsoft.com/office/drawing/2014/main" id="{00000000-0008-0000-0000-00008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66" name="Picture 11" hidden="1">
          <a:extLst>
            <a:ext uri="{FF2B5EF4-FFF2-40B4-BE49-F238E27FC236}">
              <a16:creationId xmlns:a16="http://schemas.microsoft.com/office/drawing/2014/main" id="{00000000-0008-0000-0000-00008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68" name="Picture 11" hidden="1">
          <a:extLst>
            <a:ext uri="{FF2B5EF4-FFF2-40B4-BE49-F238E27FC236}">
              <a16:creationId xmlns:a16="http://schemas.microsoft.com/office/drawing/2014/main" id="{00000000-0008-0000-0000-00008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70" name="Picture 11" hidden="1">
          <a:extLst>
            <a:ext uri="{FF2B5EF4-FFF2-40B4-BE49-F238E27FC236}">
              <a16:creationId xmlns:a16="http://schemas.microsoft.com/office/drawing/2014/main" id="{00000000-0008-0000-0000-00008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72" name="Picture 11" hidden="1">
          <a:extLst>
            <a:ext uri="{FF2B5EF4-FFF2-40B4-BE49-F238E27FC236}">
              <a16:creationId xmlns:a16="http://schemas.microsoft.com/office/drawing/2014/main" id="{00000000-0008-0000-0000-00009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74" name="Picture 11" hidden="1">
          <a:extLst>
            <a:ext uri="{FF2B5EF4-FFF2-40B4-BE49-F238E27FC236}">
              <a16:creationId xmlns:a16="http://schemas.microsoft.com/office/drawing/2014/main" id="{00000000-0008-0000-0000-00009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76" name="Picture 11" hidden="1">
          <a:extLst>
            <a:ext uri="{FF2B5EF4-FFF2-40B4-BE49-F238E27FC236}">
              <a16:creationId xmlns:a16="http://schemas.microsoft.com/office/drawing/2014/main" id="{00000000-0008-0000-0000-00009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78" name="Picture 11" hidden="1">
          <a:extLst>
            <a:ext uri="{FF2B5EF4-FFF2-40B4-BE49-F238E27FC236}">
              <a16:creationId xmlns:a16="http://schemas.microsoft.com/office/drawing/2014/main" id="{00000000-0008-0000-0000-00009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80" name="Picture 11" hidden="1">
          <a:extLst>
            <a:ext uri="{FF2B5EF4-FFF2-40B4-BE49-F238E27FC236}">
              <a16:creationId xmlns:a16="http://schemas.microsoft.com/office/drawing/2014/main" id="{00000000-0008-0000-0000-00009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82" name="Picture 11" hidden="1">
          <a:extLst>
            <a:ext uri="{FF2B5EF4-FFF2-40B4-BE49-F238E27FC236}">
              <a16:creationId xmlns:a16="http://schemas.microsoft.com/office/drawing/2014/main" id="{00000000-0008-0000-0000-00009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84" name="Picture 11" hidden="1">
          <a:extLst>
            <a:ext uri="{FF2B5EF4-FFF2-40B4-BE49-F238E27FC236}">
              <a16:creationId xmlns:a16="http://schemas.microsoft.com/office/drawing/2014/main" id="{00000000-0008-0000-0000-00009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86" name="Picture 11" hidden="1">
          <a:extLst>
            <a:ext uri="{FF2B5EF4-FFF2-40B4-BE49-F238E27FC236}">
              <a16:creationId xmlns:a16="http://schemas.microsoft.com/office/drawing/2014/main" id="{00000000-0008-0000-0000-00009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88" name="Picture 11" hidden="1">
          <a:extLst>
            <a:ext uri="{FF2B5EF4-FFF2-40B4-BE49-F238E27FC236}">
              <a16:creationId xmlns:a16="http://schemas.microsoft.com/office/drawing/2014/main" id="{00000000-0008-0000-0000-0000A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90" name="Picture 11" hidden="1">
          <a:extLst>
            <a:ext uri="{FF2B5EF4-FFF2-40B4-BE49-F238E27FC236}">
              <a16:creationId xmlns:a16="http://schemas.microsoft.com/office/drawing/2014/main" id="{00000000-0008-0000-0000-0000A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92" name="Picture 11" hidden="1">
          <a:extLst>
            <a:ext uri="{FF2B5EF4-FFF2-40B4-BE49-F238E27FC236}">
              <a16:creationId xmlns:a16="http://schemas.microsoft.com/office/drawing/2014/main" id="{00000000-0008-0000-0000-0000A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94" name="Picture 11" hidden="1">
          <a:extLst>
            <a:ext uri="{FF2B5EF4-FFF2-40B4-BE49-F238E27FC236}">
              <a16:creationId xmlns:a16="http://schemas.microsoft.com/office/drawing/2014/main" id="{00000000-0008-0000-0000-0000A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96" name="Picture 11" hidden="1">
          <a:extLst>
            <a:ext uri="{FF2B5EF4-FFF2-40B4-BE49-F238E27FC236}">
              <a16:creationId xmlns:a16="http://schemas.microsoft.com/office/drawing/2014/main" id="{00000000-0008-0000-0000-0000A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98" name="Picture 11" hidden="1">
          <a:extLst>
            <a:ext uri="{FF2B5EF4-FFF2-40B4-BE49-F238E27FC236}">
              <a16:creationId xmlns:a16="http://schemas.microsoft.com/office/drawing/2014/main" id="{00000000-0008-0000-0000-0000A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00" name="Picture 11" hidden="1">
          <a:extLst>
            <a:ext uri="{FF2B5EF4-FFF2-40B4-BE49-F238E27FC236}">
              <a16:creationId xmlns:a16="http://schemas.microsoft.com/office/drawing/2014/main" id="{00000000-0008-0000-0000-0000A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02" name="Picture 11" hidden="1">
          <a:extLst>
            <a:ext uri="{FF2B5EF4-FFF2-40B4-BE49-F238E27FC236}">
              <a16:creationId xmlns:a16="http://schemas.microsoft.com/office/drawing/2014/main" id="{00000000-0008-0000-0000-0000A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04" name="Picture 11" hidden="1">
          <a:extLst>
            <a:ext uri="{FF2B5EF4-FFF2-40B4-BE49-F238E27FC236}">
              <a16:creationId xmlns:a16="http://schemas.microsoft.com/office/drawing/2014/main" id="{00000000-0008-0000-0000-0000B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06" name="Picture 11" hidden="1">
          <a:extLst>
            <a:ext uri="{FF2B5EF4-FFF2-40B4-BE49-F238E27FC236}">
              <a16:creationId xmlns:a16="http://schemas.microsoft.com/office/drawing/2014/main" id="{00000000-0008-0000-0000-0000B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08" name="Picture 11" hidden="1">
          <a:extLst>
            <a:ext uri="{FF2B5EF4-FFF2-40B4-BE49-F238E27FC236}">
              <a16:creationId xmlns:a16="http://schemas.microsoft.com/office/drawing/2014/main" id="{00000000-0008-0000-0000-0000B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10" name="Picture 11" hidden="1">
          <a:extLst>
            <a:ext uri="{FF2B5EF4-FFF2-40B4-BE49-F238E27FC236}">
              <a16:creationId xmlns:a16="http://schemas.microsoft.com/office/drawing/2014/main" id="{00000000-0008-0000-0000-0000B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12" name="Picture 11" hidden="1">
          <a:extLst>
            <a:ext uri="{FF2B5EF4-FFF2-40B4-BE49-F238E27FC236}">
              <a16:creationId xmlns:a16="http://schemas.microsoft.com/office/drawing/2014/main" id="{00000000-0008-0000-0000-0000B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14" name="Picture 11" hidden="1">
          <a:extLst>
            <a:ext uri="{FF2B5EF4-FFF2-40B4-BE49-F238E27FC236}">
              <a16:creationId xmlns:a16="http://schemas.microsoft.com/office/drawing/2014/main" id="{00000000-0008-0000-0000-0000B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16" name="Picture 11" hidden="1">
          <a:extLst>
            <a:ext uri="{FF2B5EF4-FFF2-40B4-BE49-F238E27FC236}">
              <a16:creationId xmlns:a16="http://schemas.microsoft.com/office/drawing/2014/main" id="{00000000-0008-0000-0000-0000B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18" name="Picture 11" hidden="1">
          <a:extLst>
            <a:ext uri="{FF2B5EF4-FFF2-40B4-BE49-F238E27FC236}">
              <a16:creationId xmlns:a16="http://schemas.microsoft.com/office/drawing/2014/main" id="{00000000-0008-0000-0000-0000B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20" name="Picture 11" hidden="1">
          <a:extLst>
            <a:ext uri="{FF2B5EF4-FFF2-40B4-BE49-F238E27FC236}">
              <a16:creationId xmlns:a16="http://schemas.microsoft.com/office/drawing/2014/main" id="{00000000-0008-0000-0000-0000C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22" name="Picture 11" hidden="1">
          <a:extLst>
            <a:ext uri="{FF2B5EF4-FFF2-40B4-BE49-F238E27FC236}">
              <a16:creationId xmlns:a16="http://schemas.microsoft.com/office/drawing/2014/main" id="{00000000-0008-0000-0000-0000C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24" name="Picture 11" hidden="1">
          <a:extLst>
            <a:ext uri="{FF2B5EF4-FFF2-40B4-BE49-F238E27FC236}">
              <a16:creationId xmlns:a16="http://schemas.microsoft.com/office/drawing/2014/main" id="{00000000-0008-0000-0000-0000C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26" name="Picture 11" hidden="1">
          <a:extLst>
            <a:ext uri="{FF2B5EF4-FFF2-40B4-BE49-F238E27FC236}">
              <a16:creationId xmlns:a16="http://schemas.microsoft.com/office/drawing/2014/main" id="{00000000-0008-0000-0000-0000C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28" name="Picture 11" hidden="1">
          <a:extLst>
            <a:ext uri="{FF2B5EF4-FFF2-40B4-BE49-F238E27FC236}">
              <a16:creationId xmlns:a16="http://schemas.microsoft.com/office/drawing/2014/main" id="{00000000-0008-0000-0000-0000C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30" name="Picture 11" hidden="1">
          <a:extLst>
            <a:ext uri="{FF2B5EF4-FFF2-40B4-BE49-F238E27FC236}">
              <a16:creationId xmlns:a16="http://schemas.microsoft.com/office/drawing/2014/main" id="{00000000-0008-0000-0000-0000C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32" name="Picture 11" hidden="1">
          <a:extLst>
            <a:ext uri="{FF2B5EF4-FFF2-40B4-BE49-F238E27FC236}">
              <a16:creationId xmlns:a16="http://schemas.microsoft.com/office/drawing/2014/main" id="{00000000-0008-0000-0000-0000C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34" name="Picture 11" hidden="1">
          <a:extLst>
            <a:ext uri="{FF2B5EF4-FFF2-40B4-BE49-F238E27FC236}">
              <a16:creationId xmlns:a16="http://schemas.microsoft.com/office/drawing/2014/main" id="{00000000-0008-0000-0000-0000C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36" name="Picture 11" hidden="1">
          <a:extLst>
            <a:ext uri="{FF2B5EF4-FFF2-40B4-BE49-F238E27FC236}">
              <a16:creationId xmlns:a16="http://schemas.microsoft.com/office/drawing/2014/main" id="{00000000-0008-0000-0000-0000D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38" name="Picture 11" hidden="1">
          <a:extLst>
            <a:ext uri="{FF2B5EF4-FFF2-40B4-BE49-F238E27FC236}">
              <a16:creationId xmlns:a16="http://schemas.microsoft.com/office/drawing/2014/main" id="{00000000-0008-0000-0000-0000D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40" name="Picture 11" hidden="1">
          <a:extLst>
            <a:ext uri="{FF2B5EF4-FFF2-40B4-BE49-F238E27FC236}">
              <a16:creationId xmlns:a16="http://schemas.microsoft.com/office/drawing/2014/main" id="{00000000-0008-0000-0000-0000D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42" name="Picture 11" hidden="1">
          <a:extLst>
            <a:ext uri="{FF2B5EF4-FFF2-40B4-BE49-F238E27FC236}">
              <a16:creationId xmlns:a16="http://schemas.microsoft.com/office/drawing/2014/main" id="{00000000-0008-0000-0000-0000D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44" name="Picture 11" hidden="1">
          <a:extLst>
            <a:ext uri="{FF2B5EF4-FFF2-40B4-BE49-F238E27FC236}">
              <a16:creationId xmlns:a16="http://schemas.microsoft.com/office/drawing/2014/main" id="{00000000-0008-0000-0000-0000D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46" name="Picture 11" hidden="1">
          <a:extLst>
            <a:ext uri="{FF2B5EF4-FFF2-40B4-BE49-F238E27FC236}">
              <a16:creationId xmlns:a16="http://schemas.microsoft.com/office/drawing/2014/main" id="{00000000-0008-0000-0000-0000D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48" name="Picture 11" hidden="1">
          <a:extLst>
            <a:ext uri="{FF2B5EF4-FFF2-40B4-BE49-F238E27FC236}">
              <a16:creationId xmlns:a16="http://schemas.microsoft.com/office/drawing/2014/main" id="{00000000-0008-0000-0000-0000D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50" name="Picture 9949" hidden="1">
          <a:extLst>
            <a:ext uri="{FF2B5EF4-FFF2-40B4-BE49-F238E27FC236}">
              <a16:creationId xmlns:a16="http://schemas.microsoft.com/office/drawing/2014/main" id="{00000000-0008-0000-0000-0000D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52" name="Picture 11" hidden="1">
          <a:extLst>
            <a:ext uri="{FF2B5EF4-FFF2-40B4-BE49-F238E27FC236}">
              <a16:creationId xmlns:a16="http://schemas.microsoft.com/office/drawing/2014/main" id="{00000000-0008-0000-0000-0000E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54" name="Picture 11" hidden="1">
          <a:extLst>
            <a:ext uri="{FF2B5EF4-FFF2-40B4-BE49-F238E27FC236}">
              <a16:creationId xmlns:a16="http://schemas.microsoft.com/office/drawing/2014/main" id="{00000000-0008-0000-0000-0000E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56" name="Picture 11" hidden="1">
          <a:extLst>
            <a:ext uri="{FF2B5EF4-FFF2-40B4-BE49-F238E27FC236}">
              <a16:creationId xmlns:a16="http://schemas.microsoft.com/office/drawing/2014/main" id="{00000000-0008-0000-0000-0000E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58" name="Picture 11" hidden="1">
          <a:extLst>
            <a:ext uri="{FF2B5EF4-FFF2-40B4-BE49-F238E27FC236}">
              <a16:creationId xmlns:a16="http://schemas.microsoft.com/office/drawing/2014/main" id="{00000000-0008-0000-0000-0000E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60" name="Picture 11" hidden="1">
          <a:extLst>
            <a:ext uri="{FF2B5EF4-FFF2-40B4-BE49-F238E27FC236}">
              <a16:creationId xmlns:a16="http://schemas.microsoft.com/office/drawing/2014/main" id="{00000000-0008-0000-0000-0000E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62" name="Picture 11" hidden="1">
          <a:extLst>
            <a:ext uri="{FF2B5EF4-FFF2-40B4-BE49-F238E27FC236}">
              <a16:creationId xmlns:a16="http://schemas.microsoft.com/office/drawing/2014/main" id="{00000000-0008-0000-0000-0000E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64" name="Picture 11" hidden="1">
          <a:extLst>
            <a:ext uri="{FF2B5EF4-FFF2-40B4-BE49-F238E27FC236}">
              <a16:creationId xmlns:a16="http://schemas.microsoft.com/office/drawing/2014/main" id="{00000000-0008-0000-0000-0000E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66" name="Picture 11" hidden="1">
          <a:extLst>
            <a:ext uri="{FF2B5EF4-FFF2-40B4-BE49-F238E27FC236}">
              <a16:creationId xmlns:a16="http://schemas.microsoft.com/office/drawing/2014/main" id="{00000000-0008-0000-0000-0000E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68" name="Picture 11" hidden="1">
          <a:extLst>
            <a:ext uri="{FF2B5EF4-FFF2-40B4-BE49-F238E27FC236}">
              <a16:creationId xmlns:a16="http://schemas.microsoft.com/office/drawing/2014/main" id="{00000000-0008-0000-0000-0000F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70" name="Picture 11" hidden="1">
          <a:extLst>
            <a:ext uri="{FF2B5EF4-FFF2-40B4-BE49-F238E27FC236}">
              <a16:creationId xmlns:a16="http://schemas.microsoft.com/office/drawing/2014/main" id="{00000000-0008-0000-0000-0000F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72" name="Picture 11" hidden="1">
          <a:extLst>
            <a:ext uri="{FF2B5EF4-FFF2-40B4-BE49-F238E27FC236}">
              <a16:creationId xmlns:a16="http://schemas.microsoft.com/office/drawing/2014/main" id="{00000000-0008-0000-0000-0000F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74" name="Picture 11" hidden="1">
          <a:extLst>
            <a:ext uri="{FF2B5EF4-FFF2-40B4-BE49-F238E27FC236}">
              <a16:creationId xmlns:a16="http://schemas.microsoft.com/office/drawing/2014/main" id="{00000000-0008-0000-0000-0000F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76" name="Picture 11" hidden="1">
          <a:extLst>
            <a:ext uri="{FF2B5EF4-FFF2-40B4-BE49-F238E27FC236}">
              <a16:creationId xmlns:a16="http://schemas.microsoft.com/office/drawing/2014/main" id="{00000000-0008-0000-0000-0000F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78" name="Picture 11" hidden="1">
          <a:extLst>
            <a:ext uri="{FF2B5EF4-FFF2-40B4-BE49-F238E27FC236}">
              <a16:creationId xmlns:a16="http://schemas.microsoft.com/office/drawing/2014/main" id="{00000000-0008-0000-0000-0000F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80" name="Picture 11" hidden="1">
          <a:extLst>
            <a:ext uri="{FF2B5EF4-FFF2-40B4-BE49-F238E27FC236}">
              <a16:creationId xmlns:a16="http://schemas.microsoft.com/office/drawing/2014/main" id="{00000000-0008-0000-0000-0000F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82" name="Picture 11" hidden="1">
          <a:extLst>
            <a:ext uri="{FF2B5EF4-FFF2-40B4-BE49-F238E27FC236}">
              <a16:creationId xmlns:a16="http://schemas.microsoft.com/office/drawing/2014/main" id="{00000000-0008-0000-0000-0000F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84" name="Picture 11" hidden="1">
          <a:extLst>
            <a:ext uri="{FF2B5EF4-FFF2-40B4-BE49-F238E27FC236}">
              <a16:creationId xmlns:a16="http://schemas.microsoft.com/office/drawing/2014/main" id="{00000000-0008-0000-0000-00000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86" name="Picture 11" hidden="1">
          <a:extLst>
            <a:ext uri="{FF2B5EF4-FFF2-40B4-BE49-F238E27FC236}">
              <a16:creationId xmlns:a16="http://schemas.microsoft.com/office/drawing/2014/main" id="{00000000-0008-0000-0000-00000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88" name="Picture 11" hidden="1">
          <a:extLst>
            <a:ext uri="{FF2B5EF4-FFF2-40B4-BE49-F238E27FC236}">
              <a16:creationId xmlns:a16="http://schemas.microsoft.com/office/drawing/2014/main" id="{00000000-0008-0000-0000-00000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90" name="Picture 11" hidden="1">
          <a:extLst>
            <a:ext uri="{FF2B5EF4-FFF2-40B4-BE49-F238E27FC236}">
              <a16:creationId xmlns:a16="http://schemas.microsoft.com/office/drawing/2014/main" id="{00000000-0008-0000-0000-00000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92" name="Picture 11" hidden="1">
          <a:extLst>
            <a:ext uri="{FF2B5EF4-FFF2-40B4-BE49-F238E27FC236}">
              <a16:creationId xmlns:a16="http://schemas.microsoft.com/office/drawing/2014/main" id="{00000000-0008-0000-0000-00000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94" name="Picture 11" hidden="1">
          <a:extLst>
            <a:ext uri="{FF2B5EF4-FFF2-40B4-BE49-F238E27FC236}">
              <a16:creationId xmlns:a16="http://schemas.microsoft.com/office/drawing/2014/main" id="{00000000-0008-0000-0000-00000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96" name="Picture 11" hidden="1">
          <a:extLst>
            <a:ext uri="{FF2B5EF4-FFF2-40B4-BE49-F238E27FC236}">
              <a16:creationId xmlns:a16="http://schemas.microsoft.com/office/drawing/2014/main" id="{00000000-0008-0000-0000-00000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98" name="Picture 11" hidden="1">
          <a:extLst>
            <a:ext uri="{FF2B5EF4-FFF2-40B4-BE49-F238E27FC236}">
              <a16:creationId xmlns:a16="http://schemas.microsoft.com/office/drawing/2014/main" id="{00000000-0008-0000-0000-00000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00" name="Picture 11" hidden="1">
          <a:extLst>
            <a:ext uri="{FF2B5EF4-FFF2-40B4-BE49-F238E27FC236}">
              <a16:creationId xmlns:a16="http://schemas.microsoft.com/office/drawing/2014/main" id="{00000000-0008-0000-0000-00001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02" name="Picture 11" hidden="1">
          <a:extLst>
            <a:ext uri="{FF2B5EF4-FFF2-40B4-BE49-F238E27FC236}">
              <a16:creationId xmlns:a16="http://schemas.microsoft.com/office/drawing/2014/main" id="{00000000-0008-0000-0000-00001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04" name="Picture 11" hidden="1">
          <a:extLst>
            <a:ext uri="{FF2B5EF4-FFF2-40B4-BE49-F238E27FC236}">
              <a16:creationId xmlns:a16="http://schemas.microsoft.com/office/drawing/2014/main" id="{00000000-0008-0000-0000-00001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06" name="Picture 11" hidden="1">
          <a:extLst>
            <a:ext uri="{FF2B5EF4-FFF2-40B4-BE49-F238E27FC236}">
              <a16:creationId xmlns:a16="http://schemas.microsoft.com/office/drawing/2014/main" id="{00000000-0008-0000-0000-00001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08" name="Picture 11" hidden="1">
          <a:extLst>
            <a:ext uri="{FF2B5EF4-FFF2-40B4-BE49-F238E27FC236}">
              <a16:creationId xmlns:a16="http://schemas.microsoft.com/office/drawing/2014/main" id="{00000000-0008-0000-0000-00001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10" name="Picture 11" hidden="1">
          <a:extLst>
            <a:ext uri="{FF2B5EF4-FFF2-40B4-BE49-F238E27FC236}">
              <a16:creationId xmlns:a16="http://schemas.microsoft.com/office/drawing/2014/main" id="{00000000-0008-0000-0000-00001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12" name="Picture 11" hidden="1">
          <a:extLst>
            <a:ext uri="{FF2B5EF4-FFF2-40B4-BE49-F238E27FC236}">
              <a16:creationId xmlns:a16="http://schemas.microsoft.com/office/drawing/2014/main" id="{00000000-0008-0000-0000-00001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14" name="Picture 11" hidden="1">
          <a:extLst>
            <a:ext uri="{FF2B5EF4-FFF2-40B4-BE49-F238E27FC236}">
              <a16:creationId xmlns:a16="http://schemas.microsoft.com/office/drawing/2014/main" id="{00000000-0008-0000-0000-00001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16" name="Picture 11" hidden="1">
          <a:extLst>
            <a:ext uri="{FF2B5EF4-FFF2-40B4-BE49-F238E27FC236}">
              <a16:creationId xmlns:a16="http://schemas.microsoft.com/office/drawing/2014/main" id="{00000000-0008-0000-0000-00002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18" name="Picture 11" hidden="1">
          <a:extLst>
            <a:ext uri="{FF2B5EF4-FFF2-40B4-BE49-F238E27FC236}">
              <a16:creationId xmlns:a16="http://schemas.microsoft.com/office/drawing/2014/main" id="{00000000-0008-0000-0000-00002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20" name="Picture 11" hidden="1">
          <a:extLst>
            <a:ext uri="{FF2B5EF4-FFF2-40B4-BE49-F238E27FC236}">
              <a16:creationId xmlns:a16="http://schemas.microsoft.com/office/drawing/2014/main" id="{00000000-0008-0000-0000-00002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22" name="Picture 11" hidden="1">
          <a:extLst>
            <a:ext uri="{FF2B5EF4-FFF2-40B4-BE49-F238E27FC236}">
              <a16:creationId xmlns:a16="http://schemas.microsoft.com/office/drawing/2014/main" id="{00000000-0008-0000-0000-00002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24" name="Picture 11" hidden="1">
          <a:extLst>
            <a:ext uri="{FF2B5EF4-FFF2-40B4-BE49-F238E27FC236}">
              <a16:creationId xmlns:a16="http://schemas.microsoft.com/office/drawing/2014/main" id="{00000000-0008-0000-0000-00002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26" name="Picture 11" hidden="1">
          <a:extLst>
            <a:ext uri="{FF2B5EF4-FFF2-40B4-BE49-F238E27FC236}">
              <a16:creationId xmlns:a16="http://schemas.microsoft.com/office/drawing/2014/main" id="{00000000-0008-0000-0000-00002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28" name="Picture 11" hidden="1">
          <a:extLst>
            <a:ext uri="{FF2B5EF4-FFF2-40B4-BE49-F238E27FC236}">
              <a16:creationId xmlns:a16="http://schemas.microsoft.com/office/drawing/2014/main" id="{00000000-0008-0000-0000-00002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30" name="Picture 11" hidden="1">
          <a:extLst>
            <a:ext uri="{FF2B5EF4-FFF2-40B4-BE49-F238E27FC236}">
              <a16:creationId xmlns:a16="http://schemas.microsoft.com/office/drawing/2014/main" id="{00000000-0008-0000-0000-00002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32" name="Picture 11" hidden="1">
          <a:extLst>
            <a:ext uri="{FF2B5EF4-FFF2-40B4-BE49-F238E27FC236}">
              <a16:creationId xmlns:a16="http://schemas.microsoft.com/office/drawing/2014/main" id="{00000000-0008-0000-0000-00003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34" name="Picture 11" hidden="1">
          <a:extLst>
            <a:ext uri="{FF2B5EF4-FFF2-40B4-BE49-F238E27FC236}">
              <a16:creationId xmlns:a16="http://schemas.microsoft.com/office/drawing/2014/main" id="{00000000-0008-0000-0000-00003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36" name="Picture 11" hidden="1">
          <a:extLst>
            <a:ext uri="{FF2B5EF4-FFF2-40B4-BE49-F238E27FC236}">
              <a16:creationId xmlns:a16="http://schemas.microsoft.com/office/drawing/2014/main" id="{00000000-0008-0000-0000-00003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38" name="Picture 11" hidden="1">
          <a:extLst>
            <a:ext uri="{FF2B5EF4-FFF2-40B4-BE49-F238E27FC236}">
              <a16:creationId xmlns:a16="http://schemas.microsoft.com/office/drawing/2014/main" id="{00000000-0008-0000-0000-00003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40" name="Picture 11" hidden="1">
          <a:extLst>
            <a:ext uri="{FF2B5EF4-FFF2-40B4-BE49-F238E27FC236}">
              <a16:creationId xmlns:a16="http://schemas.microsoft.com/office/drawing/2014/main" id="{00000000-0008-0000-0000-00003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42" name="Picture 11" hidden="1">
          <a:extLst>
            <a:ext uri="{FF2B5EF4-FFF2-40B4-BE49-F238E27FC236}">
              <a16:creationId xmlns:a16="http://schemas.microsoft.com/office/drawing/2014/main" id="{00000000-0008-0000-0000-00003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44" name="Picture 11" hidden="1">
          <a:extLst>
            <a:ext uri="{FF2B5EF4-FFF2-40B4-BE49-F238E27FC236}">
              <a16:creationId xmlns:a16="http://schemas.microsoft.com/office/drawing/2014/main" id="{00000000-0008-0000-0000-00003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46" name="Picture 11" hidden="1">
          <a:extLst>
            <a:ext uri="{FF2B5EF4-FFF2-40B4-BE49-F238E27FC236}">
              <a16:creationId xmlns:a16="http://schemas.microsoft.com/office/drawing/2014/main" id="{00000000-0008-0000-0000-00003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48" name="Picture 11" hidden="1">
          <a:extLst>
            <a:ext uri="{FF2B5EF4-FFF2-40B4-BE49-F238E27FC236}">
              <a16:creationId xmlns:a16="http://schemas.microsoft.com/office/drawing/2014/main" id="{00000000-0008-0000-0000-00004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50" name="Picture 11" hidden="1">
          <a:extLst>
            <a:ext uri="{FF2B5EF4-FFF2-40B4-BE49-F238E27FC236}">
              <a16:creationId xmlns:a16="http://schemas.microsoft.com/office/drawing/2014/main" id="{00000000-0008-0000-0000-00004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52" name="Picture 11" hidden="1">
          <a:extLst>
            <a:ext uri="{FF2B5EF4-FFF2-40B4-BE49-F238E27FC236}">
              <a16:creationId xmlns:a16="http://schemas.microsoft.com/office/drawing/2014/main" id="{00000000-0008-0000-0000-00004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54" name="Picture 11" hidden="1">
          <a:extLst>
            <a:ext uri="{FF2B5EF4-FFF2-40B4-BE49-F238E27FC236}">
              <a16:creationId xmlns:a16="http://schemas.microsoft.com/office/drawing/2014/main" id="{00000000-0008-0000-0000-00004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56" name="Picture 11" hidden="1">
          <a:extLst>
            <a:ext uri="{FF2B5EF4-FFF2-40B4-BE49-F238E27FC236}">
              <a16:creationId xmlns:a16="http://schemas.microsoft.com/office/drawing/2014/main" id="{00000000-0008-0000-0000-00004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58" name="Picture 10057" hidden="1">
          <a:extLst>
            <a:ext uri="{FF2B5EF4-FFF2-40B4-BE49-F238E27FC236}">
              <a16:creationId xmlns:a16="http://schemas.microsoft.com/office/drawing/2014/main" id="{00000000-0008-0000-0000-00004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60" name="Picture 11" hidden="1">
          <a:extLst>
            <a:ext uri="{FF2B5EF4-FFF2-40B4-BE49-F238E27FC236}">
              <a16:creationId xmlns:a16="http://schemas.microsoft.com/office/drawing/2014/main" id="{00000000-0008-0000-0000-00004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62" name="Picture 11" hidden="1">
          <a:extLst>
            <a:ext uri="{FF2B5EF4-FFF2-40B4-BE49-F238E27FC236}">
              <a16:creationId xmlns:a16="http://schemas.microsoft.com/office/drawing/2014/main" id="{00000000-0008-0000-0000-00004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64" name="Picture 11" hidden="1">
          <a:extLst>
            <a:ext uri="{FF2B5EF4-FFF2-40B4-BE49-F238E27FC236}">
              <a16:creationId xmlns:a16="http://schemas.microsoft.com/office/drawing/2014/main" id="{00000000-0008-0000-0000-00005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66" name="Picture 11" hidden="1">
          <a:extLst>
            <a:ext uri="{FF2B5EF4-FFF2-40B4-BE49-F238E27FC236}">
              <a16:creationId xmlns:a16="http://schemas.microsoft.com/office/drawing/2014/main" id="{00000000-0008-0000-0000-00005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68" name="Picture 11" hidden="1">
          <a:extLst>
            <a:ext uri="{FF2B5EF4-FFF2-40B4-BE49-F238E27FC236}">
              <a16:creationId xmlns:a16="http://schemas.microsoft.com/office/drawing/2014/main" id="{00000000-0008-0000-0000-00005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70" name="Picture 11" hidden="1">
          <a:extLst>
            <a:ext uri="{FF2B5EF4-FFF2-40B4-BE49-F238E27FC236}">
              <a16:creationId xmlns:a16="http://schemas.microsoft.com/office/drawing/2014/main" id="{00000000-0008-0000-0000-00005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72" name="Picture 11" hidden="1">
          <a:extLst>
            <a:ext uri="{FF2B5EF4-FFF2-40B4-BE49-F238E27FC236}">
              <a16:creationId xmlns:a16="http://schemas.microsoft.com/office/drawing/2014/main" id="{00000000-0008-0000-0000-00005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74" name="Picture 11" hidden="1">
          <a:extLst>
            <a:ext uri="{FF2B5EF4-FFF2-40B4-BE49-F238E27FC236}">
              <a16:creationId xmlns:a16="http://schemas.microsoft.com/office/drawing/2014/main" id="{00000000-0008-0000-0000-00005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76" name="Picture 11" hidden="1">
          <a:extLst>
            <a:ext uri="{FF2B5EF4-FFF2-40B4-BE49-F238E27FC236}">
              <a16:creationId xmlns:a16="http://schemas.microsoft.com/office/drawing/2014/main" id="{00000000-0008-0000-0000-00005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78" name="Picture 11" hidden="1">
          <a:extLst>
            <a:ext uri="{FF2B5EF4-FFF2-40B4-BE49-F238E27FC236}">
              <a16:creationId xmlns:a16="http://schemas.microsoft.com/office/drawing/2014/main" id="{00000000-0008-0000-0000-00005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80" name="Picture 11" hidden="1">
          <a:extLst>
            <a:ext uri="{FF2B5EF4-FFF2-40B4-BE49-F238E27FC236}">
              <a16:creationId xmlns:a16="http://schemas.microsoft.com/office/drawing/2014/main" id="{00000000-0008-0000-0000-00006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82" name="Picture 11" hidden="1">
          <a:extLst>
            <a:ext uri="{FF2B5EF4-FFF2-40B4-BE49-F238E27FC236}">
              <a16:creationId xmlns:a16="http://schemas.microsoft.com/office/drawing/2014/main" id="{00000000-0008-0000-0000-00006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84" name="Picture 11" hidden="1">
          <a:extLst>
            <a:ext uri="{FF2B5EF4-FFF2-40B4-BE49-F238E27FC236}">
              <a16:creationId xmlns:a16="http://schemas.microsoft.com/office/drawing/2014/main" id="{00000000-0008-0000-0000-00006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86" name="Picture 11" hidden="1">
          <a:extLst>
            <a:ext uri="{FF2B5EF4-FFF2-40B4-BE49-F238E27FC236}">
              <a16:creationId xmlns:a16="http://schemas.microsoft.com/office/drawing/2014/main" id="{00000000-0008-0000-0000-00006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88" name="Picture 11" hidden="1">
          <a:extLst>
            <a:ext uri="{FF2B5EF4-FFF2-40B4-BE49-F238E27FC236}">
              <a16:creationId xmlns:a16="http://schemas.microsoft.com/office/drawing/2014/main" id="{00000000-0008-0000-0000-00006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90" name="Picture 11" hidden="1">
          <a:extLst>
            <a:ext uri="{FF2B5EF4-FFF2-40B4-BE49-F238E27FC236}">
              <a16:creationId xmlns:a16="http://schemas.microsoft.com/office/drawing/2014/main" id="{00000000-0008-0000-0000-00006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92" name="Picture 11" hidden="1">
          <a:extLst>
            <a:ext uri="{FF2B5EF4-FFF2-40B4-BE49-F238E27FC236}">
              <a16:creationId xmlns:a16="http://schemas.microsoft.com/office/drawing/2014/main" id="{00000000-0008-0000-0000-00006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94" name="Picture 11" hidden="1">
          <a:extLst>
            <a:ext uri="{FF2B5EF4-FFF2-40B4-BE49-F238E27FC236}">
              <a16:creationId xmlns:a16="http://schemas.microsoft.com/office/drawing/2014/main" id="{00000000-0008-0000-0000-00006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96" name="Picture 11" hidden="1">
          <a:extLst>
            <a:ext uri="{FF2B5EF4-FFF2-40B4-BE49-F238E27FC236}">
              <a16:creationId xmlns:a16="http://schemas.microsoft.com/office/drawing/2014/main" id="{00000000-0008-0000-0000-00007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98" name="Picture 11" hidden="1">
          <a:extLst>
            <a:ext uri="{FF2B5EF4-FFF2-40B4-BE49-F238E27FC236}">
              <a16:creationId xmlns:a16="http://schemas.microsoft.com/office/drawing/2014/main" id="{00000000-0008-0000-0000-00007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00" name="Picture 11" hidden="1">
          <a:extLst>
            <a:ext uri="{FF2B5EF4-FFF2-40B4-BE49-F238E27FC236}">
              <a16:creationId xmlns:a16="http://schemas.microsoft.com/office/drawing/2014/main" id="{00000000-0008-0000-0000-00007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02" name="Picture 11" hidden="1">
          <a:extLst>
            <a:ext uri="{FF2B5EF4-FFF2-40B4-BE49-F238E27FC236}">
              <a16:creationId xmlns:a16="http://schemas.microsoft.com/office/drawing/2014/main" id="{00000000-0008-0000-0000-00007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04" name="Picture 11" hidden="1">
          <a:extLst>
            <a:ext uri="{FF2B5EF4-FFF2-40B4-BE49-F238E27FC236}">
              <a16:creationId xmlns:a16="http://schemas.microsoft.com/office/drawing/2014/main" id="{00000000-0008-0000-0000-00007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06" name="Picture 11" hidden="1">
          <a:extLst>
            <a:ext uri="{FF2B5EF4-FFF2-40B4-BE49-F238E27FC236}">
              <a16:creationId xmlns:a16="http://schemas.microsoft.com/office/drawing/2014/main" id="{00000000-0008-0000-0000-00007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08" name="Picture 11" hidden="1">
          <a:extLst>
            <a:ext uri="{FF2B5EF4-FFF2-40B4-BE49-F238E27FC236}">
              <a16:creationId xmlns:a16="http://schemas.microsoft.com/office/drawing/2014/main" id="{00000000-0008-0000-0000-00007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10" name="Picture 11" hidden="1">
          <a:extLst>
            <a:ext uri="{FF2B5EF4-FFF2-40B4-BE49-F238E27FC236}">
              <a16:creationId xmlns:a16="http://schemas.microsoft.com/office/drawing/2014/main" id="{00000000-0008-0000-0000-00007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12" name="Picture 11" hidden="1">
          <a:extLst>
            <a:ext uri="{FF2B5EF4-FFF2-40B4-BE49-F238E27FC236}">
              <a16:creationId xmlns:a16="http://schemas.microsoft.com/office/drawing/2014/main" id="{00000000-0008-0000-0000-00008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14" name="Picture 11" hidden="1">
          <a:extLst>
            <a:ext uri="{FF2B5EF4-FFF2-40B4-BE49-F238E27FC236}">
              <a16:creationId xmlns:a16="http://schemas.microsoft.com/office/drawing/2014/main" id="{00000000-0008-0000-0000-00008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16" name="Picture 11" hidden="1">
          <a:extLst>
            <a:ext uri="{FF2B5EF4-FFF2-40B4-BE49-F238E27FC236}">
              <a16:creationId xmlns:a16="http://schemas.microsoft.com/office/drawing/2014/main" id="{00000000-0008-0000-0000-00008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18" name="Picture 11" hidden="1">
          <a:extLst>
            <a:ext uri="{FF2B5EF4-FFF2-40B4-BE49-F238E27FC236}">
              <a16:creationId xmlns:a16="http://schemas.microsoft.com/office/drawing/2014/main" id="{00000000-0008-0000-0000-00008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20" name="Picture 11" hidden="1">
          <a:extLst>
            <a:ext uri="{FF2B5EF4-FFF2-40B4-BE49-F238E27FC236}">
              <a16:creationId xmlns:a16="http://schemas.microsoft.com/office/drawing/2014/main" id="{00000000-0008-0000-0000-00008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22" name="Picture 11" hidden="1">
          <a:extLst>
            <a:ext uri="{FF2B5EF4-FFF2-40B4-BE49-F238E27FC236}">
              <a16:creationId xmlns:a16="http://schemas.microsoft.com/office/drawing/2014/main" id="{00000000-0008-0000-0000-00008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24" name="Picture 11" hidden="1">
          <a:extLst>
            <a:ext uri="{FF2B5EF4-FFF2-40B4-BE49-F238E27FC236}">
              <a16:creationId xmlns:a16="http://schemas.microsoft.com/office/drawing/2014/main" id="{00000000-0008-0000-0000-00008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26" name="Picture 11" hidden="1">
          <a:extLst>
            <a:ext uri="{FF2B5EF4-FFF2-40B4-BE49-F238E27FC236}">
              <a16:creationId xmlns:a16="http://schemas.microsoft.com/office/drawing/2014/main" id="{00000000-0008-0000-0000-00008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28" name="Picture 11" hidden="1">
          <a:extLst>
            <a:ext uri="{FF2B5EF4-FFF2-40B4-BE49-F238E27FC236}">
              <a16:creationId xmlns:a16="http://schemas.microsoft.com/office/drawing/2014/main" id="{00000000-0008-0000-0000-00009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30" name="Picture 11" hidden="1">
          <a:extLst>
            <a:ext uri="{FF2B5EF4-FFF2-40B4-BE49-F238E27FC236}">
              <a16:creationId xmlns:a16="http://schemas.microsoft.com/office/drawing/2014/main" id="{00000000-0008-0000-0000-00009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32" name="Picture 11" hidden="1">
          <a:extLst>
            <a:ext uri="{FF2B5EF4-FFF2-40B4-BE49-F238E27FC236}">
              <a16:creationId xmlns:a16="http://schemas.microsoft.com/office/drawing/2014/main" id="{00000000-0008-0000-0000-00009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34" name="Picture 11" hidden="1">
          <a:extLst>
            <a:ext uri="{FF2B5EF4-FFF2-40B4-BE49-F238E27FC236}">
              <a16:creationId xmlns:a16="http://schemas.microsoft.com/office/drawing/2014/main" id="{00000000-0008-0000-0000-00009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36" name="Picture 11" hidden="1">
          <a:extLst>
            <a:ext uri="{FF2B5EF4-FFF2-40B4-BE49-F238E27FC236}">
              <a16:creationId xmlns:a16="http://schemas.microsoft.com/office/drawing/2014/main" id="{00000000-0008-0000-0000-00009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38" name="Picture 11" hidden="1">
          <a:extLst>
            <a:ext uri="{FF2B5EF4-FFF2-40B4-BE49-F238E27FC236}">
              <a16:creationId xmlns:a16="http://schemas.microsoft.com/office/drawing/2014/main" id="{00000000-0008-0000-0000-00009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40" name="Picture 11" hidden="1">
          <a:extLst>
            <a:ext uri="{FF2B5EF4-FFF2-40B4-BE49-F238E27FC236}">
              <a16:creationId xmlns:a16="http://schemas.microsoft.com/office/drawing/2014/main" id="{00000000-0008-0000-0000-00009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42" name="Picture 11" hidden="1">
          <a:extLst>
            <a:ext uri="{FF2B5EF4-FFF2-40B4-BE49-F238E27FC236}">
              <a16:creationId xmlns:a16="http://schemas.microsoft.com/office/drawing/2014/main" id="{00000000-0008-0000-0000-00009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44" name="Picture 11" hidden="1">
          <a:extLst>
            <a:ext uri="{FF2B5EF4-FFF2-40B4-BE49-F238E27FC236}">
              <a16:creationId xmlns:a16="http://schemas.microsoft.com/office/drawing/2014/main" id="{00000000-0008-0000-0000-0000A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46" name="Picture 11" hidden="1">
          <a:extLst>
            <a:ext uri="{FF2B5EF4-FFF2-40B4-BE49-F238E27FC236}">
              <a16:creationId xmlns:a16="http://schemas.microsoft.com/office/drawing/2014/main" id="{00000000-0008-0000-0000-0000A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48" name="Picture 11" hidden="1">
          <a:extLst>
            <a:ext uri="{FF2B5EF4-FFF2-40B4-BE49-F238E27FC236}">
              <a16:creationId xmlns:a16="http://schemas.microsoft.com/office/drawing/2014/main" id="{00000000-0008-0000-0000-0000A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50" name="Picture 11" hidden="1">
          <a:extLst>
            <a:ext uri="{FF2B5EF4-FFF2-40B4-BE49-F238E27FC236}">
              <a16:creationId xmlns:a16="http://schemas.microsoft.com/office/drawing/2014/main" id="{00000000-0008-0000-0000-0000A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52" name="Picture 11" hidden="1">
          <a:extLst>
            <a:ext uri="{FF2B5EF4-FFF2-40B4-BE49-F238E27FC236}">
              <a16:creationId xmlns:a16="http://schemas.microsoft.com/office/drawing/2014/main" id="{00000000-0008-0000-0000-0000A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54" name="Picture 11" hidden="1">
          <a:extLst>
            <a:ext uri="{FF2B5EF4-FFF2-40B4-BE49-F238E27FC236}">
              <a16:creationId xmlns:a16="http://schemas.microsoft.com/office/drawing/2014/main" id="{00000000-0008-0000-0000-0000A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56" name="Picture 11" hidden="1">
          <a:extLst>
            <a:ext uri="{FF2B5EF4-FFF2-40B4-BE49-F238E27FC236}">
              <a16:creationId xmlns:a16="http://schemas.microsoft.com/office/drawing/2014/main" id="{00000000-0008-0000-0000-0000A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10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7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10158" name="Picture 11" hidden="1">
          <a:extLst>
            <a:ext uri="{FF2B5EF4-FFF2-40B4-BE49-F238E27FC236}">
              <a16:creationId xmlns:a16="http://schemas.microsoft.com/office/drawing/2014/main" id="{00000000-0008-0000-0000-0000A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60" name="Picture 11" hidden="1">
          <a:extLst>
            <a:ext uri="{FF2B5EF4-FFF2-40B4-BE49-F238E27FC236}">
              <a16:creationId xmlns:a16="http://schemas.microsoft.com/office/drawing/2014/main" id="{00000000-0008-0000-0000-0000B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62" name="Picture 11" hidden="1">
          <a:extLst>
            <a:ext uri="{FF2B5EF4-FFF2-40B4-BE49-F238E27FC236}">
              <a16:creationId xmlns:a16="http://schemas.microsoft.com/office/drawing/2014/main" id="{00000000-0008-0000-0000-0000B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64" name="Picture 11" hidden="1">
          <a:extLst>
            <a:ext uri="{FF2B5EF4-FFF2-40B4-BE49-F238E27FC236}">
              <a16:creationId xmlns:a16="http://schemas.microsoft.com/office/drawing/2014/main" id="{00000000-0008-0000-0000-0000B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66" name="Picture 10165" hidden="1">
          <a:extLst>
            <a:ext uri="{FF2B5EF4-FFF2-40B4-BE49-F238E27FC236}">
              <a16:creationId xmlns:a16="http://schemas.microsoft.com/office/drawing/2014/main" id="{00000000-0008-0000-0000-0000B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68" name="Picture 11" hidden="1">
          <a:extLst>
            <a:ext uri="{FF2B5EF4-FFF2-40B4-BE49-F238E27FC236}">
              <a16:creationId xmlns:a16="http://schemas.microsoft.com/office/drawing/2014/main" id="{00000000-0008-0000-0000-0000B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70" name="Picture 11" hidden="1">
          <a:extLst>
            <a:ext uri="{FF2B5EF4-FFF2-40B4-BE49-F238E27FC236}">
              <a16:creationId xmlns:a16="http://schemas.microsoft.com/office/drawing/2014/main" id="{00000000-0008-0000-0000-0000B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72" name="Picture 11" hidden="1">
          <a:extLst>
            <a:ext uri="{FF2B5EF4-FFF2-40B4-BE49-F238E27FC236}">
              <a16:creationId xmlns:a16="http://schemas.microsoft.com/office/drawing/2014/main" id="{00000000-0008-0000-0000-0000B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74" name="Picture 11" hidden="1">
          <a:extLst>
            <a:ext uri="{FF2B5EF4-FFF2-40B4-BE49-F238E27FC236}">
              <a16:creationId xmlns:a16="http://schemas.microsoft.com/office/drawing/2014/main" id="{00000000-0008-0000-0000-0000B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76" name="Picture 11" hidden="1">
          <a:extLst>
            <a:ext uri="{FF2B5EF4-FFF2-40B4-BE49-F238E27FC236}">
              <a16:creationId xmlns:a16="http://schemas.microsoft.com/office/drawing/2014/main" id="{00000000-0008-0000-0000-0000C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78" name="Picture 11" hidden="1">
          <a:extLst>
            <a:ext uri="{FF2B5EF4-FFF2-40B4-BE49-F238E27FC236}">
              <a16:creationId xmlns:a16="http://schemas.microsoft.com/office/drawing/2014/main" id="{00000000-0008-0000-0000-0000C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80" name="Picture 11" hidden="1">
          <a:extLst>
            <a:ext uri="{FF2B5EF4-FFF2-40B4-BE49-F238E27FC236}">
              <a16:creationId xmlns:a16="http://schemas.microsoft.com/office/drawing/2014/main" id="{00000000-0008-0000-0000-0000C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82" name="Picture 11" hidden="1">
          <a:extLst>
            <a:ext uri="{FF2B5EF4-FFF2-40B4-BE49-F238E27FC236}">
              <a16:creationId xmlns:a16="http://schemas.microsoft.com/office/drawing/2014/main" id="{00000000-0008-0000-0000-0000C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84" name="Picture 11" hidden="1">
          <a:extLst>
            <a:ext uri="{FF2B5EF4-FFF2-40B4-BE49-F238E27FC236}">
              <a16:creationId xmlns:a16="http://schemas.microsoft.com/office/drawing/2014/main" id="{00000000-0008-0000-0000-0000C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86" name="Picture 11" hidden="1">
          <a:extLst>
            <a:ext uri="{FF2B5EF4-FFF2-40B4-BE49-F238E27FC236}">
              <a16:creationId xmlns:a16="http://schemas.microsoft.com/office/drawing/2014/main" id="{00000000-0008-0000-0000-0000C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88" name="Picture 11" hidden="1">
          <a:extLst>
            <a:ext uri="{FF2B5EF4-FFF2-40B4-BE49-F238E27FC236}">
              <a16:creationId xmlns:a16="http://schemas.microsoft.com/office/drawing/2014/main" id="{00000000-0008-0000-0000-0000C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90" name="Picture 11" hidden="1">
          <a:extLst>
            <a:ext uri="{FF2B5EF4-FFF2-40B4-BE49-F238E27FC236}">
              <a16:creationId xmlns:a16="http://schemas.microsoft.com/office/drawing/2014/main" id="{00000000-0008-0000-0000-0000C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92" name="Picture 11" hidden="1">
          <a:extLst>
            <a:ext uri="{FF2B5EF4-FFF2-40B4-BE49-F238E27FC236}">
              <a16:creationId xmlns:a16="http://schemas.microsoft.com/office/drawing/2014/main" id="{00000000-0008-0000-0000-0000D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94" name="Picture 11" hidden="1">
          <a:extLst>
            <a:ext uri="{FF2B5EF4-FFF2-40B4-BE49-F238E27FC236}">
              <a16:creationId xmlns:a16="http://schemas.microsoft.com/office/drawing/2014/main" id="{00000000-0008-0000-0000-0000D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96" name="Picture 11" hidden="1">
          <a:extLst>
            <a:ext uri="{FF2B5EF4-FFF2-40B4-BE49-F238E27FC236}">
              <a16:creationId xmlns:a16="http://schemas.microsoft.com/office/drawing/2014/main" id="{00000000-0008-0000-0000-0000D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98" name="Picture 11" hidden="1">
          <a:extLst>
            <a:ext uri="{FF2B5EF4-FFF2-40B4-BE49-F238E27FC236}">
              <a16:creationId xmlns:a16="http://schemas.microsoft.com/office/drawing/2014/main" id="{00000000-0008-0000-0000-0000D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00" name="Picture 11" hidden="1">
          <a:extLst>
            <a:ext uri="{FF2B5EF4-FFF2-40B4-BE49-F238E27FC236}">
              <a16:creationId xmlns:a16="http://schemas.microsoft.com/office/drawing/2014/main" id="{00000000-0008-0000-0000-0000D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02" name="Picture 11" hidden="1">
          <a:extLst>
            <a:ext uri="{FF2B5EF4-FFF2-40B4-BE49-F238E27FC236}">
              <a16:creationId xmlns:a16="http://schemas.microsoft.com/office/drawing/2014/main" id="{00000000-0008-0000-0000-0000D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04" name="Picture 11" hidden="1">
          <a:extLst>
            <a:ext uri="{FF2B5EF4-FFF2-40B4-BE49-F238E27FC236}">
              <a16:creationId xmlns:a16="http://schemas.microsoft.com/office/drawing/2014/main" id="{00000000-0008-0000-0000-0000D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06" name="Picture 11" hidden="1">
          <a:extLst>
            <a:ext uri="{FF2B5EF4-FFF2-40B4-BE49-F238E27FC236}">
              <a16:creationId xmlns:a16="http://schemas.microsoft.com/office/drawing/2014/main" id="{00000000-0008-0000-0000-0000D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08" name="Picture 11" hidden="1">
          <a:extLst>
            <a:ext uri="{FF2B5EF4-FFF2-40B4-BE49-F238E27FC236}">
              <a16:creationId xmlns:a16="http://schemas.microsoft.com/office/drawing/2014/main" id="{00000000-0008-0000-0000-0000E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10" name="Picture 11" hidden="1">
          <a:extLst>
            <a:ext uri="{FF2B5EF4-FFF2-40B4-BE49-F238E27FC236}">
              <a16:creationId xmlns:a16="http://schemas.microsoft.com/office/drawing/2014/main" id="{00000000-0008-0000-0000-0000E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12" name="Picture 11" hidden="1">
          <a:extLst>
            <a:ext uri="{FF2B5EF4-FFF2-40B4-BE49-F238E27FC236}">
              <a16:creationId xmlns:a16="http://schemas.microsoft.com/office/drawing/2014/main" id="{00000000-0008-0000-0000-0000E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14" name="Picture 11" hidden="1">
          <a:extLst>
            <a:ext uri="{FF2B5EF4-FFF2-40B4-BE49-F238E27FC236}">
              <a16:creationId xmlns:a16="http://schemas.microsoft.com/office/drawing/2014/main" id="{00000000-0008-0000-0000-0000E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16" name="Picture 11" hidden="1">
          <a:extLst>
            <a:ext uri="{FF2B5EF4-FFF2-40B4-BE49-F238E27FC236}">
              <a16:creationId xmlns:a16="http://schemas.microsoft.com/office/drawing/2014/main" id="{00000000-0008-0000-0000-0000E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18" name="Picture 11" hidden="1">
          <a:extLst>
            <a:ext uri="{FF2B5EF4-FFF2-40B4-BE49-F238E27FC236}">
              <a16:creationId xmlns:a16="http://schemas.microsoft.com/office/drawing/2014/main" id="{00000000-0008-0000-0000-0000E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20" name="Picture 11" hidden="1">
          <a:extLst>
            <a:ext uri="{FF2B5EF4-FFF2-40B4-BE49-F238E27FC236}">
              <a16:creationId xmlns:a16="http://schemas.microsoft.com/office/drawing/2014/main" id="{00000000-0008-0000-0000-0000E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22" name="Picture 11" hidden="1">
          <a:extLst>
            <a:ext uri="{FF2B5EF4-FFF2-40B4-BE49-F238E27FC236}">
              <a16:creationId xmlns:a16="http://schemas.microsoft.com/office/drawing/2014/main" id="{00000000-0008-0000-0000-0000E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24" name="Picture 11" hidden="1">
          <a:extLst>
            <a:ext uri="{FF2B5EF4-FFF2-40B4-BE49-F238E27FC236}">
              <a16:creationId xmlns:a16="http://schemas.microsoft.com/office/drawing/2014/main" id="{00000000-0008-0000-0000-0000F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26" name="Picture 11" hidden="1">
          <a:extLst>
            <a:ext uri="{FF2B5EF4-FFF2-40B4-BE49-F238E27FC236}">
              <a16:creationId xmlns:a16="http://schemas.microsoft.com/office/drawing/2014/main" id="{00000000-0008-0000-0000-0000F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28" name="Picture 11" hidden="1">
          <a:extLst>
            <a:ext uri="{FF2B5EF4-FFF2-40B4-BE49-F238E27FC236}">
              <a16:creationId xmlns:a16="http://schemas.microsoft.com/office/drawing/2014/main" id="{00000000-0008-0000-0000-0000F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30" name="Picture 11" hidden="1">
          <a:extLst>
            <a:ext uri="{FF2B5EF4-FFF2-40B4-BE49-F238E27FC236}">
              <a16:creationId xmlns:a16="http://schemas.microsoft.com/office/drawing/2014/main" id="{00000000-0008-0000-0000-0000F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32" name="Picture 11" hidden="1">
          <a:extLst>
            <a:ext uri="{FF2B5EF4-FFF2-40B4-BE49-F238E27FC236}">
              <a16:creationId xmlns:a16="http://schemas.microsoft.com/office/drawing/2014/main" id="{00000000-0008-0000-0000-0000F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34" name="Picture 11" hidden="1">
          <a:extLst>
            <a:ext uri="{FF2B5EF4-FFF2-40B4-BE49-F238E27FC236}">
              <a16:creationId xmlns:a16="http://schemas.microsoft.com/office/drawing/2014/main" id="{00000000-0008-0000-0000-0000F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36" name="Picture 11" hidden="1">
          <a:extLst>
            <a:ext uri="{FF2B5EF4-FFF2-40B4-BE49-F238E27FC236}">
              <a16:creationId xmlns:a16="http://schemas.microsoft.com/office/drawing/2014/main" id="{00000000-0008-0000-0000-0000F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38" name="Picture 11" hidden="1">
          <a:extLst>
            <a:ext uri="{FF2B5EF4-FFF2-40B4-BE49-F238E27FC236}">
              <a16:creationId xmlns:a16="http://schemas.microsoft.com/office/drawing/2014/main" id="{00000000-0008-0000-0000-0000F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40" name="Picture 11" hidden="1">
          <a:extLst>
            <a:ext uri="{FF2B5EF4-FFF2-40B4-BE49-F238E27FC236}">
              <a16:creationId xmlns:a16="http://schemas.microsoft.com/office/drawing/2014/main" id="{00000000-0008-0000-0000-00000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42" name="Picture 11" hidden="1">
          <a:extLst>
            <a:ext uri="{FF2B5EF4-FFF2-40B4-BE49-F238E27FC236}">
              <a16:creationId xmlns:a16="http://schemas.microsoft.com/office/drawing/2014/main" id="{00000000-0008-0000-0000-00000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44" name="Picture 11" hidden="1">
          <a:extLst>
            <a:ext uri="{FF2B5EF4-FFF2-40B4-BE49-F238E27FC236}">
              <a16:creationId xmlns:a16="http://schemas.microsoft.com/office/drawing/2014/main" id="{00000000-0008-0000-0000-00000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46" name="Picture 11" hidden="1">
          <a:extLst>
            <a:ext uri="{FF2B5EF4-FFF2-40B4-BE49-F238E27FC236}">
              <a16:creationId xmlns:a16="http://schemas.microsoft.com/office/drawing/2014/main" id="{00000000-0008-0000-0000-00000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48" name="Picture 11" hidden="1">
          <a:extLst>
            <a:ext uri="{FF2B5EF4-FFF2-40B4-BE49-F238E27FC236}">
              <a16:creationId xmlns:a16="http://schemas.microsoft.com/office/drawing/2014/main" id="{00000000-0008-0000-0000-00000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50" name="Picture 11" hidden="1">
          <a:extLst>
            <a:ext uri="{FF2B5EF4-FFF2-40B4-BE49-F238E27FC236}">
              <a16:creationId xmlns:a16="http://schemas.microsoft.com/office/drawing/2014/main" id="{00000000-0008-0000-0000-00000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52" name="Picture 11" hidden="1">
          <a:extLst>
            <a:ext uri="{FF2B5EF4-FFF2-40B4-BE49-F238E27FC236}">
              <a16:creationId xmlns:a16="http://schemas.microsoft.com/office/drawing/2014/main" id="{00000000-0008-0000-0000-00000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54" name="Picture 11" hidden="1">
          <a:extLst>
            <a:ext uri="{FF2B5EF4-FFF2-40B4-BE49-F238E27FC236}">
              <a16:creationId xmlns:a16="http://schemas.microsoft.com/office/drawing/2014/main" id="{00000000-0008-0000-0000-00000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56" name="Picture 11" hidden="1">
          <a:extLst>
            <a:ext uri="{FF2B5EF4-FFF2-40B4-BE49-F238E27FC236}">
              <a16:creationId xmlns:a16="http://schemas.microsoft.com/office/drawing/2014/main" id="{00000000-0008-0000-0000-00001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58" name="Picture 11" hidden="1">
          <a:extLst>
            <a:ext uri="{FF2B5EF4-FFF2-40B4-BE49-F238E27FC236}">
              <a16:creationId xmlns:a16="http://schemas.microsoft.com/office/drawing/2014/main" id="{00000000-0008-0000-0000-00001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60" name="Picture 11" hidden="1">
          <a:extLst>
            <a:ext uri="{FF2B5EF4-FFF2-40B4-BE49-F238E27FC236}">
              <a16:creationId xmlns:a16="http://schemas.microsoft.com/office/drawing/2014/main" id="{00000000-0008-0000-0000-00001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62" name="Picture 11" hidden="1">
          <a:extLst>
            <a:ext uri="{FF2B5EF4-FFF2-40B4-BE49-F238E27FC236}">
              <a16:creationId xmlns:a16="http://schemas.microsoft.com/office/drawing/2014/main" id="{00000000-0008-0000-0000-00001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64" name="Picture 11" hidden="1">
          <a:extLst>
            <a:ext uri="{FF2B5EF4-FFF2-40B4-BE49-F238E27FC236}">
              <a16:creationId xmlns:a16="http://schemas.microsoft.com/office/drawing/2014/main" id="{00000000-0008-0000-0000-00001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66" name="Picture 11" hidden="1">
          <a:extLst>
            <a:ext uri="{FF2B5EF4-FFF2-40B4-BE49-F238E27FC236}">
              <a16:creationId xmlns:a16="http://schemas.microsoft.com/office/drawing/2014/main" id="{00000000-0008-0000-0000-00001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68" name="Picture 11" hidden="1">
          <a:extLst>
            <a:ext uri="{FF2B5EF4-FFF2-40B4-BE49-F238E27FC236}">
              <a16:creationId xmlns:a16="http://schemas.microsoft.com/office/drawing/2014/main" id="{00000000-0008-0000-0000-00001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70" name="Picture 11" hidden="1">
          <a:extLst>
            <a:ext uri="{FF2B5EF4-FFF2-40B4-BE49-F238E27FC236}">
              <a16:creationId xmlns:a16="http://schemas.microsoft.com/office/drawing/2014/main" id="{00000000-0008-0000-0000-00001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72" name="Picture 11" hidden="1">
          <a:extLst>
            <a:ext uri="{FF2B5EF4-FFF2-40B4-BE49-F238E27FC236}">
              <a16:creationId xmlns:a16="http://schemas.microsoft.com/office/drawing/2014/main" id="{00000000-0008-0000-0000-00002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74" name="Picture 10273" hidden="1">
          <a:extLst>
            <a:ext uri="{FF2B5EF4-FFF2-40B4-BE49-F238E27FC236}">
              <a16:creationId xmlns:a16="http://schemas.microsoft.com/office/drawing/2014/main" id="{00000000-0008-0000-0000-00002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76" name="Picture 11" hidden="1">
          <a:extLst>
            <a:ext uri="{FF2B5EF4-FFF2-40B4-BE49-F238E27FC236}">
              <a16:creationId xmlns:a16="http://schemas.microsoft.com/office/drawing/2014/main" id="{00000000-0008-0000-0000-00002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78" name="Picture 11" hidden="1">
          <a:extLst>
            <a:ext uri="{FF2B5EF4-FFF2-40B4-BE49-F238E27FC236}">
              <a16:creationId xmlns:a16="http://schemas.microsoft.com/office/drawing/2014/main" id="{00000000-0008-0000-0000-00002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80" name="Picture 11" hidden="1">
          <a:extLst>
            <a:ext uri="{FF2B5EF4-FFF2-40B4-BE49-F238E27FC236}">
              <a16:creationId xmlns:a16="http://schemas.microsoft.com/office/drawing/2014/main" id="{00000000-0008-0000-0000-00002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82" name="Picture 11" hidden="1">
          <a:extLst>
            <a:ext uri="{FF2B5EF4-FFF2-40B4-BE49-F238E27FC236}">
              <a16:creationId xmlns:a16="http://schemas.microsoft.com/office/drawing/2014/main" id="{00000000-0008-0000-0000-00002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84" name="Picture 11" hidden="1">
          <a:extLst>
            <a:ext uri="{FF2B5EF4-FFF2-40B4-BE49-F238E27FC236}">
              <a16:creationId xmlns:a16="http://schemas.microsoft.com/office/drawing/2014/main" id="{00000000-0008-0000-0000-00002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86" name="Picture 11" hidden="1">
          <a:extLst>
            <a:ext uri="{FF2B5EF4-FFF2-40B4-BE49-F238E27FC236}">
              <a16:creationId xmlns:a16="http://schemas.microsoft.com/office/drawing/2014/main" id="{00000000-0008-0000-0000-00002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88" name="Picture 11" hidden="1">
          <a:extLst>
            <a:ext uri="{FF2B5EF4-FFF2-40B4-BE49-F238E27FC236}">
              <a16:creationId xmlns:a16="http://schemas.microsoft.com/office/drawing/2014/main" id="{00000000-0008-0000-0000-00003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90" name="Picture 11" hidden="1">
          <a:extLst>
            <a:ext uri="{FF2B5EF4-FFF2-40B4-BE49-F238E27FC236}">
              <a16:creationId xmlns:a16="http://schemas.microsoft.com/office/drawing/2014/main" id="{00000000-0008-0000-0000-00003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92" name="Picture 11" hidden="1">
          <a:extLst>
            <a:ext uri="{FF2B5EF4-FFF2-40B4-BE49-F238E27FC236}">
              <a16:creationId xmlns:a16="http://schemas.microsoft.com/office/drawing/2014/main" id="{00000000-0008-0000-0000-00003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94" name="Picture 11" hidden="1">
          <a:extLst>
            <a:ext uri="{FF2B5EF4-FFF2-40B4-BE49-F238E27FC236}">
              <a16:creationId xmlns:a16="http://schemas.microsoft.com/office/drawing/2014/main" id="{00000000-0008-0000-0000-00003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96" name="Picture 11" hidden="1">
          <a:extLst>
            <a:ext uri="{FF2B5EF4-FFF2-40B4-BE49-F238E27FC236}">
              <a16:creationId xmlns:a16="http://schemas.microsoft.com/office/drawing/2014/main" id="{00000000-0008-0000-0000-00003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98" name="Picture 11" hidden="1">
          <a:extLst>
            <a:ext uri="{FF2B5EF4-FFF2-40B4-BE49-F238E27FC236}">
              <a16:creationId xmlns:a16="http://schemas.microsoft.com/office/drawing/2014/main" id="{00000000-0008-0000-0000-00003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00" name="Picture 11" hidden="1">
          <a:extLst>
            <a:ext uri="{FF2B5EF4-FFF2-40B4-BE49-F238E27FC236}">
              <a16:creationId xmlns:a16="http://schemas.microsoft.com/office/drawing/2014/main" id="{00000000-0008-0000-0000-00003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02" name="Picture 11" hidden="1">
          <a:extLst>
            <a:ext uri="{FF2B5EF4-FFF2-40B4-BE49-F238E27FC236}">
              <a16:creationId xmlns:a16="http://schemas.microsoft.com/office/drawing/2014/main" id="{00000000-0008-0000-0000-00003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04" name="Picture 11" hidden="1">
          <a:extLst>
            <a:ext uri="{FF2B5EF4-FFF2-40B4-BE49-F238E27FC236}">
              <a16:creationId xmlns:a16="http://schemas.microsoft.com/office/drawing/2014/main" id="{00000000-0008-0000-0000-00004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06" name="Picture 11" hidden="1">
          <a:extLst>
            <a:ext uri="{FF2B5EF4-FFF2-40B4-BE49-F238E27FC236}">
              <a16:creationId xmlns:a16="http://schemas.microsoft.com/office/drawing/2014/main" id="{00000000-0008-0000-0000-00004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08" name="Picture 11" hidden="1">
          <a:extLst>
            <a:ext uri="{FF2B5EF4-FFF2-40B4-BE49-F238E27FC236}">
              <a16:creationId xmlns:a16="http://schemas.microsoft.com/office/drawing/2014/main" id="{00000000-0008-0000-0000-00004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10" name="Picture 11" hidden="1">
          <a:extLst>
            <a:ext uri="{FF2B5EF4-FFF2-40B4-BE49-F238E27FC236}">
              <a16:creationId xmlns:a16="http://schemas.microsoft.com/office/drawing/2014/main" id="{00000000-0008-0000-0000-00004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12" name="Picture 11" hidden="1">
          <a:extLst>
            <a:ext uri="{FF2B5EF4-FFF2-40B4-BE49-F238E27FC236}">
              <a16:creationId xmlns:a16="http://schemas.microsoft.com/office/drawing/2014/main" id="{00000000-0008-0000-0000-00004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14" name="Picture 11" hidden="1">
          <a:extLst>
            <a:ext uri="{FF2B5EF4-FFF2-40B4-BE49-F238E27FC236}">
              <a16:creationId xmlns:a16="http://schemas.microsoft.com/office/drawing/2014/main" id="{00000000-0008-0000-0000-00004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16" name="Picture 11" hidden="1">
          <a:extLst>
            <a:ext uri="{FF2B5EF4-FFF2-40B4-BE49-F238E27FC236}">
              <a16:creationId xmlns:a16="http://schemas.microsoft.com/office/drawing/2014/main" id="{00000000-0008-0000-0000-00004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18" name="Picture 11" hidden="1">
          <a:extLst>
            <a:ext uri="{FF2B5EF4-FFF2-40B4-BE49-F238E27FC236}">
              <a16:creationId xmlns:a16="http://schemas.microsoft.com/office/drawing/2014/main" id="{00000000-0008-0000-0000-00004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20" name="Picture 11" hidden="1">
          <a:extLst>
            <a:ext uri="{FF2B5EF4-FFF2-40B4-BE49-F238E27FC236}">
              <a16:creationId xmlns:a16="http://schemas.microsoft.com/office/drawing/2014/main" id="{00000000-0008-0000-0000-00005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22" name="Picture 11" hidden="1">
          <a:extLst>
            <a:ext uri="{FF2B5EF4-FFF2-40B4-BE49-F238E27FC236}">
              <a16:creationId xmlns:a16="http://schemas.microsoft.com/office/drawing/2014/main" id="{00000000-0008-0000-0000-00005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24" name="Picture 11" hidden="1">
          <a:extLst>
            <a:ext uri="{FF2B5EF4-FFF2-40B4-BE49-F238E27FC236}">
              <a16:creationId xmlns:a16="http://schemas.microsoft.com/office/drawing/2014/main" id="{00000000-0008-0000-0000-00005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26" name="Picture 11" hidden="1">
          <a:extLst>
            <a:ext uri="{FF2B5EF4-FFF2-40B4-BE49-F238E27FC236}">
              <a16:creationId xmlns:a16="http://schemas.microsoft.com/office/drawing/2014/main" id="{00000000-0008-0000-0000-00005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28" name="Picture 11" hidden="1">
          <a:extLst>
            <a:ext uri="{FF2B5EF4-FFF2-40B4-BE49-F238E27FC236}">
              <a16:creationId xmlns:a16="http://schemas.microsoft.com/office/drawing/2014/main" id="{00000000-0008-0000-0000-00005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30" name="Picture 11" hidden="1">
          <a:extLst>
            <a:ext uri="{FF2B5EF4-FFF2-40B4-BE49-F238E27FC236}">
              <a16:creationId xmlns:a16="http://schemas.microsoft.com/office/drawing/2014/main" id="{00000000-0008-0000-0000-00005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32" name="Picture 11" hidden="1">
          <a:extLst>
            <a:ext uri="{FF2B5EF4-FFF2-40B4-BE49-F238E27FC236}">
              <a16:creationId xmlns:a16="http://schemas.microsoft.com/office/drawing/2014/main" id="{00000000-0008-0000-0000-00005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34" name="Picture 11" hidden="1">
          <a:extLst>
            <a:ext uri="{FF2B5EF4-FFF2-40B4-BE49-F238E27FC236}">
              <a16:creationId xmlns:a16="http://schemas.microsoft.com/office/drawing/2014/main" id="{00000000-0008-0000-0000-00005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36" name="Picture 11" hidden="1">
          <a:extLst>
            <a:ext uri="{FF2B5EF4-FFF2-40B4-BE49-F238E27FC236}">
              <a16:creationId xmlns:a16="http://schemas.microsoft.com/office/drawing/2014/main" id="{00000000-0008-0000-0000-00006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38" name="Picture 11" hidden="1">
          <a:extLst>
            <a:ext uri="{FF2B5EF4-FFF2-40B4-BE49-F238E27FC236}">
              <a16:creationId xmlns:a16="http://schemas.microsoft.com/office/drawing/2014/main" id="{00000000-0008-0000-0000-00006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40" name="Picture 11" hidden="1">
          <a:extLst>
            <a:ext uri="{FF2B5EF4-FFF2-40B4-BE49-F238E27FC236}">
              <a16:creationId xmlns:a16="http://schemas.microsoft.com/office/drawing/2014/main" id="{00000000-0008-0000-0000-00006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42" name="Picture 11" hidden="1">
          <a:extLst>
            <a:ext uri="{FF2B5EF4-FFF2-40B4-BE49-F238E27FC236}">
              <a16:creationId xmlns:a16="http://schemas.microsoft.com/office/drawing/2014/main" id="{00000000-0008-0000-0000-00006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44" name="Picture 11" hidden="1">
          <a:extLst>
            <a:ext uri="{FF2B5EF4-FFF2-40B4-BE49-F238E27FC236}">
              <a16:creationId xmlns:a16="http://schemas.microsoft.com/office/drawing/2014/main" id="{00000000-0008-0000-0000-00006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46" name="Picture 11" hidden="1">
          <a:extLst>
            <a:ext uri="{FF2B5EF4-FFF2-40B4-BE49-F238E27FC236}">
              <a16:creationId xmlns:a16="http://schemas.microsoft.com/office/drawing/2014/main" id="{00000000-0008-0000-0000-00006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48" name="Picture 11" hidden="1">
          <a:extLst>
            <a:ext uri="{FF2B5EF4-FFF2-40B4-BE49-F238E27FC236}">
              <a16:creationId xmlns:a16="http://schemas.microsoft.com/office/drawing/2014/main" id="{00000000-0008-0000-0000-00006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50" name="Picture 11" hidden="1">
          <a:extLst>
            <a:ext uri="{FF2B5EF4-FFF2-40B4-BE49-F238E27FC236}">
              <a16:creationId xmlns:a16="http://schemas.microsoft.com/office/drawing/2014/main" id="{00000000-0008-0000-0000-00006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52" name="Picture 11" hidden="1">
          <a:extLst>
            <a:ext uri="{FF2B5EF4-FFF2-40B4-BE49-F238E27FC236}">
              <a16:creationId xmlns:a16="http://schemas.microsoft.com/office/drawing/2014/main" id="{00000000-0008-0000-0000-00007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54" name="Picture 11" hidden="1">
          <a:extLst>
            <a:ext uri="{FF2B5EF4-FFF2-40B4-BE49-F238E27FC236}">
              <a16:creationId xmlns:a16="http://schemas.microsoft.com/office/drawing/2014/main" id="{00000000-0008-0000-0000-00007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56" name="Picture 11" hidden="1">
          <a:extLst>
            <a:ext uri="{FF2B5EF4-FFF2-40B4-BE49-F238E27FC236}">
              <a16:creationId xmlns:a16="http://schemas.microsoft.com/office/drawing/2014/main" id="{00000000-0008-0000-0000-00007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58" name="Picture 11" hidden="1">
          <a:extLst>
            <a:ext uri="{FF2B5EF4-FFF2-40B4-BE49-F238E27FC236}">
              <a16:creationId xmlns:a16="http://schemas.microsoft.com/office/drawing/2014/main" id="{00000000-0008-0000-0000-00007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60" name="Picture 11" hidden="1">
          <a:extLst>
            <a:ext uri="{FF2B5EF4-FFF2-40B4-BE49-F238E27FC236}">
              <a16:creationId xmlns:a16="http://schemas.microsoft.com/office/drawing/2014/main" id="{00000000-0008-0000-0000-00007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62" name="Picture 11" hidden="1">
          <a:extLst>
            <a:ext uri="{FF2B5EF4-FFF2-40B4-BE49-F238E27FC236}">
              <a16:creationId xmlns:a16="http://schemas.microsoft.com/office/drawing/2014/main" id="{00000000-0008-0000-0000-00007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64" name="Picture 11" hidden="1">
          <a:extLst>
            <a:ext uri="{FF2B5EF4-FFF2-40B4-BE49-F238E27FC236}">
              <a16:creationId xmlns:a16="http://schemas.microsoft.com/office/drawing/2014/main" id="{00000000-0008-0000-0000-00007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66" name="Picture 11" hidden="1">
          <a:extLst>
            <a:ext uri="{FF2B5EF4-FFF2-40B4-BE49-F238E27FC236}">
              <a16:creationId xmlns:a16="http://schemas.microsoft.com/office/drawing/2014/main" id="{00000000-0008-0000-0000-00007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68" name="Picture 11" hidden="1">
          <a:extLst>
            <a:ext uri="{FF2B5EF4-FFF2-40B4-BE49-F238E27FC236}">
              <a16:creationId xmlns:a16="http://schemas.microsoft.com/office/drawing/2014/main" id="{00000000-0008-0000-0000-00008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70" name="Picture 11" hidden="1">
          <a:extLst>
            <a:ext uri="{FF2B5EF4-FFF2-40B4-BE49-F238E27FC236}">
              <a16:creationId xmlns:a16="http://schemas.microsoft.com/office/drawing/2014/main" id="{00000000-0008-0000-0000-00008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72" name="Picture 11" hidden="1">
          <a:extLst>
            <a:ext uri="{FF2B5EF4-FFF2-40B4-BE49-F238E27FC236}">
              <a16:creationId xmlns:a16="http://schemas.microsoft.com/office/drawing/2014/main" id="{00000000-0008-0000-0000-00008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74" name="Picture 11" hidden="1">
          <a:extLst>
            <a:ext uri="{FF2B5EF4-FFF2-40B4-BE49-F238E27FC236}">
              <a16:creationId xmlns:a16="http://schemas.microsoft.com/office/drawing/2014/main" id="{00000000-0008-0000-0000-00008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76" name="Picture 11" hidden="1">
          <a:extLst>
            <a:ext uri="{FF2B5EF4-FFF2-40B4-BE49-F238E27FC236}">
              <a16:creationId xmlns:a16="http://schemas.microsoft.com/office/drawing/2014/main" id="{00000000-0008-0000-0000-00008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78" name="Picture 11" hidden="1">
          <a:extLst>
            <a:ext uri="{FF2B5EF4-FFF2-40B4-BE49-F238E27FC236}">
              <a16:creationId xmlns:a16="http://schemas.microsoft.com/office/drawing/2014/main" id="{00000000-0008-0000-0000-00008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80" name="Picture 11" hidden="1">
          <a:extLst>
            <a:ext uri="{FF2B5EF4-FFF2-40B4-BE49-F238E27FC236}">
              <a16:creationId xmlns:a16="http://schemas.microsoft.com/office/drawing/2014/main" id="{00000000-0008-0000-0000-00008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82" name="Picture 10381" hidden="1">
          <a:extLst>
            <a:ext uri="{FF2B5EF4-FFF2-40B4-BE49-F238E27FC236}">
              <a16:creationId xmlns:a16="http://schemas.microsoft.com/office/drawing/2014/main" id="{00000000-0008-0000-0000-00008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84" name="Picture 11" hidden="1">
          <a:extLst>
            <a:ext uri="{FF2B5EF4-FFF2-40B4-BE49-F238E27FC236}">
              <a16:creationId xmlns:a16="http://schemas.microsoft.com/office/drawing/2014/main" id="{00000000-0008-0000-0000-00009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86" name="Picture 11" hidden="1">
          <a:extLst>
            <a:ext uri="{FF2B5EF4-FFF2-40B4-BE49-F238E27FC236}">
              <a16:creationId xmlns:a16="http://schemas.microsoft.com/office/drawing/2014/main" id="{00000000-0008-0000-0000-00009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88" name="Picture 11" hidden="1">
          <a:extLst>
            <a:ext uri="{FF2B5EF4-FFF2-40B4-BE49-F238E27FC236}">
              <a16:creationId xmlns:a16="http://schemas.microsoft.com/office/drawing/2014/main" id="{00000000-0008-0000-0000-00009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90" name="Picture 11" hidden="1">
          <a:extLst>
            <a:ext uri="{FF2B5EF4-FFF2-40B4-BE49-F238E27FC236}">
              <a16:creationId xmlns:a16="http://schemas.microsoft.com/office/drawing/2014/main" id="{00000000-0008-0000-0000-00009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92" name="Picture 11" hidden="1">
          <a:extLst>
            <a:ext uri="{FF2B5EF4-FFF2-40B4-BE49-F238E27FC236}">
              <a16:creationId xmlns:a16="http://schemas.microsoft.com/office/drawing/2014/main" id="{00000000-0008-0000-0000-00009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94" name="Picture 11" hidden="1">
          <a:extLst>
            <a:ext uri="{FF2B5EF4-FFF2-40B4-BE49-F238E27FC236}">
              <a16:creationId xmlns:a16="http://schemas.microsoft.com/office/drawing/2014/main" id="{00000000-0008-0000-0000-00009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96" name="Picture 11" hidden="1">
          <a:extLst>
            <a:ext uri="{FF2B5EF4-FFF2-40B4-BE49-F238E27FC236}">
              <a16:creationId xmlns:a16="http://schemas.microsoft.com/office/drawing/2014/main" id="{00000000-0008-0000-0000-00009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98" name="Picture 11" hidden="1">
          <a:extLst>
            <a:ext uri="{FF2B5EF4-FFF2-40B4-BE49-F238E27FC236}">
              <a16:creationId xmlns:a16="http://schemas.microsoft.com/office/drawing/2014/main" id="{00000000-0008-0000-0000-00009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00" name="Picture 11" hidden="1">
          <a:extLst>
            <a:ext uri="{FF2B5EF4-FFF2-40B4-BE49-F238E27FC236}">
              <a16:creationId xmlns:a16="http://schemas.microsoft.com/office/drawing/2014/main" id="{00000000-0008-0000-0000-0000A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02" name="Picture 11" hidden="1">
          <a:extLst>
            <a:ext uri="{FF2B5EF4-FFF2-40B4-BE49-F238E27FC236}">
              <a16:creationId xmlns:a16="http://schemas.microsoft.com/office/drawing/2014/main" id="{00000000-0008-0000-0000-0000A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04" name="Picture 11" hidden="1">
          <a:extLst>
            <a:ext uri="{FF2B5EF4-FFF2-40B4-BE49-F238E27FC236}">
              <a16:creationId xmlns:a16="http://schemas.microsoft.com/office/drawing/2014/main" id="{00000000-0008-0000-0000-0000A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06" name="Picture 11" hidden="1">
          <a:extLst>
            <a:ext uri="{FF2B5EF4-FFF2-40B4-BE49-F238E27FC236}">
              <a16:creationId xmlns:a16="http://schemas.microsoft.com/office/drawing/2014/main" id="{00000000-0008-0000-0000-0000A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08" name="Picture 11" hidden="1">
          <a:extLst>
            <a:ext uri="{FF2B5EF4-FFF2-40B4-BE49-F238E27FC236}">
              <a16:creationId xmlns:a16="http://schemas.microsoft.com/office/drawing/2014/main" id="{00000000-0008-0000-0000-0000A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10" name="Picture 11" hidden="1">
          <a:extLst>
            <a:ext uri="{FF2B5EF4-FFF2-40B4-BE49-F238E27FC236}">
              <a16:creationId xmlns:a16="http://schemas.microsoft.com/office/drawing/2014/main" id="{00000000-0008-0000-0000-0000A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12" name="Picture 11" hidden="1">
          <a:extLst>
            <a:ext uri="{FF2B5EF4-FFF2-40B4-BE49-F238E27FC236}">
              <a16:creationId xmlns:a16="http://schemas.microsoft.com/office/drawing/2014/main" id="{00000000-0008-0000-0000-0000A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14" name="Picture 11" hidden="1">
          <a:extLst>
            <a:ext uri="{FF2B5EF4-FFF2-40B4-BE49-F238E27FC236}">
              <a16:creationId xmlns:a16="http://schemas.microsoft.com/office/drawing/2014/main" id="{00000000-0008-0000-0000-0000A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16" name="Picture 11" hidden="1">
          <a:extLst>
            <a:ext uri="{FF2B5EF4-FFF2-40B4-BE49-F238E27FC236}">
              <a16:creationId xmlns:a16="http://schemas.microsoft.com/office/drawing/2014/main" id="{00000000-0008-0000-0000-0000B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18" name="Picture 11" hidden="1">
          <a:extLst>
            <a:ext uri="{FF2B5EF4-FFF2-40B4-BE49-F238E27FC236}">
              <a16:creationId xmlns:a16="http://schemas.microsoft.com/office/drawing/2014/main" id="{00000000-0008-0000-0000-0000B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20" name="Picture 11" hidden="1">
          <a:extLst>
            <a:ext uri="{FF2B5EF4-FFF2-40B4-BE49-F238E27FC236}">
              <a16:creationId xmlns:a16="http://schemas.microsoft.com/office/drawing/2014/main" id="{00000000-0008-0000-0000-0000B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22" name="Picture 11" hidden="1">
          <a:extLst>
            <a:ext uri="{FF2B5EF4-FFF2-40B4-BE49-F238E27FC236}">
              <a16:creationId xmlns:a16="http://schemas.microsoft.com/office/drawing/2014/main" id="{00000000-0008-0000-0000-0000B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24" name="Picture 11" hidden="1">
          <a:extLst>
            <a:ext uri="{FF2B5EF4-FFF2-40B4-BE49-F238E27FC236}">
              <a16:creationId xmlns:a16="http://schemas.microsoft.com/office/drawing/2014/main" id="{00000000-0008-0000-0000-0000B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26" name="Picture 11" hidden="1">
          <a:extLst>
            <a:ext uri="{FF2B5EF4-FFF2-40B4-BE49-F238E27FC236}">
              <a16:creationId xmlns:a16="http://schemas.microsoft.com/office/drawing/2014/main" id="{00000000-0008-0000-0000-0000B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28" name="Picture 11" hidden="1">
          <a:extLst>
            <a:ext uri="{FF2B5EF4-FFF2-40B4-BE49-F238E27FC236}">
              <a16:creationId xmlns:a16="http://schemas.microsoft.com/office/drawing/2014/main" id="{00000000-0008-0000-0000-0000B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30" name="Picture 11" hidden="1">
          <a:extLst>
            <a:ext uri="{FF2B5EF4-FFF2-40B4-BE49-F238E27FC236}">
              <a16:creationId xmlns:a16="http://schemas.microsoft.com/office/drawing/2014/main" id="{00000000-0008-0000-0000-0000B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32" name="Picture 11" hidden="1">
          <a:extLst>
            <a:ext uri="{FF2B5EF4-FFF2-40B4-BE49-F238E27FC236}">
              <a16:creationId xmlns:a16="http://schemas.microsoft.com/office/drawing/2014/main" id="{00000000-0008-0000-0000-0000C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34" name="Picture 11" hidden="1">
          <a:extLst>
            <a:ext uri="{FF2B5EF4-FFF2-40B4-BE49-F238E27FC236}">
              <a16:creationId xmlns:a16="http://schemas.microsoft.com/office/drawing/2014/main" id="{00000000-0008-0000-0000-0000C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36" name="Picture 11" hidden="1">
          <a:extLst>
            <a:ext uri="{FF2B5EF4-FFF2-40B4-BE49-F238E27FC236}">
              <a16:creationId xmlns:a16="http://schemas.microsoft.com/office/drawing/2014/main" id="{00000000-0008-0000-0000-0000C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38" name="Picture 11" hidden="1">
          <a:extLst>
            <a:ext uri="{FF2B5EF4-FFF2-40B4-BE49-F238E27FC236}">
              <a16:creationId xmlns:a16="http://schemas.microsoft.com/office/drawing/2014/main" id="{00000000-0008-0000-0000-0000C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40" name="Picture 11" hidden="1">
          <a:extLst>
            <a:ext uri="{FF2B5EF4-FFF2-40B4-BE49-F238E27FC236}">
              <a16:creationId xmlns:a16="http://schemas.microsoft.com/office/drawing/2014/main" id="{00000000-0008-0000-0000-0000C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42" name="Picture 11" hidden="1">
          <a:extLst>
            <a:ext uri="{FF2B5EF4-FFF2-40B4-BE49-F238E27FC236}">
              <a16:creationId xmlns:a16="http://schemas.microsoft.com/office/drawing/2014/main" id="{00000000-0008-0000-0000-0000C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44" name="Picture 11" hidden="1">
          <a:extLst>
            <a:ext uri="{FF2B5EF4-FFF2-40B4-BE49-F238E27FC236}">
              <a16:creationId xmlns:a16="http://schemas.microsoft.com/office/drawing/2014/main" id="{00000000-0008-0000-0000-0000C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46" name="Picture 11" hidden="1">
          <a:extLst>
            <a:ext uri="{FF2B5EF4-FFF2-40B4-BE49-F238E27FC236}">
              <a16:creationId xmlns:a16="http://schemas.microsoft.com/office/drawing/2014/main" id="{00000000-0008-0000-0000-0000C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48" name="Picture 11" hidden="1">
          <a:extLst>
            <a:ext uri="{FF2B5EF4-FFF2-40B4-BE49-F238E27FC236}">
              <a16:creationId xmlns:a16="http://schemas.microsoft.com/office/drawing/2014/main" id="{00000000-0008-0000-0000-0000D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50" name="Picture 11" hidden="1">
          <a:extLst>
            <a:ext uri="{FF2B5EF4-FFF2-40B4-BE49-F238E27FC236}">
              <a16:creationId xmlns:a16="http://schemas.microsoft.com/office/drawing/2014/main" id="{00000000-0008-0000-0000-0000D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52" name="Picture 11" hidden="1">
          <a:extLst>
            <a:ext uri="{FF2B5EF4-FFF2-40B4-BE49-F238E27FC236}">
              <a16:creationId xmlns:a16="http://schemas.microsoft.com/office/drawing/2014/main" id="{00000000-0008-0000-0000-0000D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54" name="Picture 11" hidden="1">
          <a:extLst>
            <a:ext uri="{FF2B5EF4-FFF2-40B4-BE49-F238E27FC236}">
              <a16:creationId xmlns:a16="http://schemas.microsoft.com/office/drawing/2014/main" id="{00000000-0008-0000-0000-0000D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56" name="Picture 11" hidden="1">
          <a:extLst>
            <a:ext uri="{FF2B5EF4-FFF2-40B4-BE49-F238E27FC236}">
              <a16:creationId xmlns:a16="http://schemas.microsoft.com/office/drawing/2014/main" id="{00000000-0008-0000-0000-0000D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58" name="Picture 11" hidden="1">
          <a:extLst>
            <a:ext uri="{FF2B5EF4-FFF2-40B4-BE49-F238E27FC236}">
              <a16:creationId xmlns:a16="http://schemas.microsoft.com/office/drawing/2014/main" id="{00000000-0008-0000-0000-0000D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60" name="Picture 11" hidden="1">
          <a:extLst>
            <a:ext uri="{FF2B5EF4-FFF2-40B4-BE49-F238E27FC236}">
              <a16:creationId xmlns:a16="http://schemas.microsoft.com/office/drawing/2014/main" id="{00000000-0008-0000-0000-0000D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62" name="Picture 11" hidden="1">
          <a:extLst>
            <a:ext uri="{FF2B5EF4-FFF2-40B4-BE49-F238E27FC236}">
              <a16:creationId xmlns:a16="http://schemas.microsoft.com/office/drawing/2014/main" id="{00000000-0008-0000-0000-0000D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64" name="Picture 11" hidden="1">
          <a:extLst>
            <a:ext uri="{FF2B5EF4-FFF2-40B4-BE49-F238E27FC236}">
              <a16:creationId xmlns:a16="http://schemas.microsoft.com/office/drawing/2014/main" id="{00000000-0008-0000-0000-0000E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66" name="Picture 11" hidden="1">
          <a:extLst>
            <a:ext uri="{FF2B5EF4-FFF2-40B4-BE49-F238E27FC236}">
              <a16:creationId xmlns:a16="http://schemas.microsoft.com/office/drawing/2014/main" id="{00000000-0008-0000-0000-0000E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68" name="Picture 11" hidden="1">
          <a:extLst>
            <a:ext uri="{FF2B5EF4-FFF2-40B4-BE49-F238E27FC236}">
              <a16:creationId xmlns:a16="http://schemas.microsoft.com/office/drawing/2014/main" id="{00000000-0008-0000-0000-0000E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70" name="Picture 11" hidden="1">
          <a:extLst>
            <a:ext uri="{FF2B5EF4-FFF2-40B4-BE49-F238E27FC236}">
              <a16:creationId xmlns:a16="http://schemas.microsoft.com/office/drawing/2014/main" id="{00000000-0008-0000-0000-0000E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72" name="Picture 11" hidden="1">
          <a:extLst>
            <a:ext uri="{FF2B5EF4-FFF2-40B4-BE49-F238E27FC236}">
              <a16:creationId xmlns:a16="http://schemas.microsoft.com/office/drawing/2014/main" id="{00000000-0008-0000-0000-0000E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74" name="Picture 11" hidden="1">
          <a:extLst>
            <a:ext uri="{FF2B5EF4-FFF2-40B4-BE49-F238E27FC236}">
              <a16:creationId xmlns:a16="http://schemas.microsoft.com/office/drawing/2014/main" id="{00000000-0008-0000-0000-0000E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76" name="Picture 11" hidden="1">
          <a:extLst>
            <a:ext uri="{FF2B5EF4-FFF2-40B4-BE49-F238E27FC236}">
              <a16:creationId xmlns:a16="http://schemas.microsoft.com/office/drawing/2014/main" id="{00000000-0008-0000-0000-0000E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78" name="Picture 11" hidden="1">
          <a:extLst>
            <a:ext uri="{FF2B5EF4-FFF2-40B4-BE49-F238E27FC236}">
              <a16:creationId xmlns:a16="http://schemas.microsoft.com/office/drawing/2014/main" id="{00000000-0008-0000-0000-0000E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80" name="Picture 11" hidden="1">
          <a:extLst>
            <a:ext uri="{FF2B5EF4-FFF2-40B4-BE49-F238E27FC236}">
              <a16:creationId xmlns:a16="http://schemas.microsoft.com/office/drawing/2014/main" id="{00000000-0008-0000-0000-0000F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82" name="Picture 11" hidden="1">
          <a:extLst>
            <a:ext uri="{FF2B5EF4-FFF2-40B4-BE49-F238E27FC236}">
              <a16:creationId xmlns:a16="http://schemas.microsoft.com/office/drawing/2014/main" id="{00000000-0008-0000-0000-0000F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84" name="Picture 11" hidden="1">
          <a:extLst>
            <a:ext uri="{FF2B5EF4-FFF2-40B4-BE49-F238E27FC236}">
              <a16:creationId xmlns:a16="http://schemas.microsoft.com/office/drawing/2014/main" id="{00000000-0008-0000-0000-0000F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86" name="Picture 11" hidden="1">
          <a:extLst>
            <a:ext uri="{FF2B5EF4-FFF2-40B4-BE49-F238E27FC236}">
              <a16:creationId xmlns:a16="http://schemas.microsoft.com/office/drawing/2014/main" id="{00000000-0008-0000-0000-0000F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88" name="Picture 11" hidden="1">
          <a:extLst>
            <a:ext uri="{FF2B5EF4-FFF2-40B4-BE49-F238E27FC236}">
              <a16:creationId xmlns:a16="http://schemas.microsoft.com/office/drawing/2014/main" id="{00000000-0008-0000-0000-0000F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90" name="Picture 10489" hidden="1">
          <a:extLst>
            <a:ext uri="{FF2B5EF4-FFF2-40B4-BE49-F238E27FC236}">
              <a16:creationId xmlns:a16="http://schemas.microsoft.com/office/drawing/2014/main" id="{00000000-0008-0000-0000-0000F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92" name="Picture 11" hidden="1">
          <a:extLst>
            <a:ext uri="{FF2B5EF4-FFF2-40B4-BE49-F238E27FC236}">
              <a16:creationId xmlns:a16="http://schemas.microsoft.com/office/drawing/2014/main" id="{00000000-0008-0000-0000-0000F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94" name="Picture 11" hidden="1">
          <a:extLst>
            <a:ext uri="{FF2B5EF4-FFF2-40B4-BE49-F238E27FC236}">
              <a16:creationId xmlns:a16="http://schemas.microsoft.com/office/drawing/2014/main" id="{00000000-0008-0000-0000-0000F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96" name="Picture 11" hidden="1">
          <a:extLst>
            <a:ext uri="{FF2B5EF4-FFF2-40B4-BE49-F238E27FC236}">
              <a16:creationId xmlns:a16="http://schemas.microsoft.com/office/drawing/2014/main" id="{00000000-0008-0000-0000-00000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98" name="Picture 11" hidden="1">
          <a:extLst>
            <a:ext uri="{FF2B5EF4-FFF2-40B4-BE49-F238E27FC236}">
              <a16:creationId xmlns:a16="http://schemas.microsoft.com/office/drawing/2014/main" id="{00000000-0008-0000-0000-00000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00" name="Picture 11" hidden="1">
          <a:extLst>
            <a:ext uri="{FF2B5EF4-FFF2-40B4-BE49-F238E27FC236}">
              <a16:creationId xmlns:a16="http://schemas.microsoft.com/office/drawing/2014/main" id="{00000000-0008-0000-0000-00000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02" name="Picture 11" hidden="1">
          <a:extLst>
            <a:ext uri="{FF2B5EF4-FFF2-40B4-BE49-F238E27FC236}">
              <a16:creationId xmlns:a16="http://schemas.microsoft.com/office/drawing/2014/main" id="{00000000-0008-0000-0000-00000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04" name="Picture 11" hidden="1">
          <a:extLst>
            <a:ext uri="{FF2B5EF4-FFF2-40B4-BE49-F238E27FC236}">
              <a16:creationId xmlns:a16="http://schemas.microsoft.com/office/drawing/2014/main" id="{00000000-0008-0000-0000-00000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06" name="Picture 11" hidden="1">
          <a:extLst>
            <a:ext uri="{FF2B5EF4-FFF2-40B4-BE49-F238E27FC236}">
              <a16:creationId xmlns:a16="http://schemas.microsoft.com/office/drawing/2014/main" id="{00000000-0008-0000-0000-00000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08" name="Picture 11" hidden="1">
          <a:extLst>
            <a:ext uri="{FF2B5EF4-FFF2-40B4-BE49-F238E27FC236}">
              <a16:creationId xmlns:a16="http://schemas.microsoft.com/office/drawing/2014/main" id="{00000000-0008-0000-0000-00000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10" name="Picture 11" hidden="1">
          <a:extLst>
            <a:ext uri="{FF2B5EF4-FFF2-40B4-BE49-F238E27FC236}">
              <a16:creationId xmlns:a16="http://schemas.microsoft.com/office/drawing/2014/main" id="{00000000-0008-0000-0000-00000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12" name="Picture 11" hidden="1">
          <a:extLst>
            <a:ext uri="{FF2B5EF4-FFF2-40B4-BE49-F238E27FC236}">
              <a16:creationId xmlns:a16="http://schemas.microsoft.com/office/drawing/2014/main" id="{00000000-0008-0000-0000-00001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14" name="Picture 11" hidden="1">
          <a:extLst>
            <a:ext uri="{FF2B5EF4-FFF2-40B4-BE49-F238E27FC236}">
              <a16:creationId xmlns:a16="http://schemas.microsoft.com/office/drawing/2014/main" id="{00000000-0008-0000-0000-00001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16" name="Picture 11" hidden="1">
          <a:extLst>
            <a:ext uri="{FF2B5EF4-FFF2-40B4-BE49-F238E27FC236}">
              <a16:creationId xmlns:a16="http://schemas.microsoft.com/office/drawing/2014/main" id="{00000000-0008-0000-0000-00001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18" name="Picture 11" hidden="1">
          <a:extLst>
            <a:ext uri="{FF2B5EF4-FFF2-40B4-BE49-F238E27FC236}">
              <a16:creationId xmlns:a16="http://schemas.microsoft.com/office/drawing/2014/main" id="{00000000-0008-0000-0000-00001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20" name="Picture 11" hidden="1">
          <a:extLst>
            <a:ext uri="{FF2B5EF4-FFF2-40B4-BE49-F238E27FC236}">
              <a16:creationId xmlns:a16="http://schemas.microsoft.com/office/drawing/2014/main" id="{00000000-0008-0000-0000-00001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22" name="Picture 11" hidden="1">
          <a:extLst>
            <a:ext uri="{FF2B5EF4-FFF2-40B4-BE49-F238E27FC236}">
              <a16:creationId xmlns:a16="http://schemas.microsoft.com/office/drawing/2014/main" id="{00000000-0008-0000-0000-00001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24" name="Picture 11" hidden="1">
          <a:extLst>
            <a:ext uri="{FF2B5EF4-FFF2-40B4-BE49-F238E27FC236}">
              <a16:creationId xmlns:a16="http://schemas.microsoft.com/office/drawing/2014/main" id="{00000000-0008-0000-0000-00001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26" name="Picture 11" hidden="1">
          <a:extLst>
            <a:ext uri="{FF2B5EF4-FFF2-40B4-BE49-F238E27FC236}">
              <a16:creationId xmlns:a16="http://schemas.microsoft.com/office/drawing/2014/main" id="{00000000-0008-0000-0000-00001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28" name="Picture 11" hidden="1">
          <a:extLst>
            <a:ext uri="{FF2B5EF4-FFF2-40B4-BE49-F238E27FC236}">
              <a16:creationId xmlns:a16="http://schemas.microsoft.com/office/drawing/2014/main" id="{00000000-0008-0000-0000-00002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30" name="Picture 11" hidden="1">
          <a:extLst>
            <a:ext uri="{FF2B5EF4-FFF2-40B4-BE49-F238E27FC236}">
              <a16:creationId xmlns:a16="http://schemas.microsoft.com/office/drawing/2014/main" id="{00000000-0008-0000-0000-00002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32" name="Picture 11" hidden="1">
          <a:extLst>
            <a:ext uri="{FF2B5EF4-FFF2-40B4-BE49-F238E27FC236}">
              <a16:creationId xmlns:a16="http://schemas.microsoft.com/office/drawing/2014/main" id="{00000000-0008-0000-0000-00002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34" name="Picture 11" hidden="1">
          <a:extLst>
            <a:ext uri="{FF2B5EF4-FFF2-40B4-BE49-F238E27FC236}">
              <a16:creationId xmlns:a16="http://schemas.microsoft.com/office/drawing/2014/main" id="{00000000-0008-0000-0000-00002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36" name="Picture 11" hidden="1">
          <a:extLst>
            <a:ext uri="{FF2B5EF4-FFF2-40B4-BE49-F238E27FC236}">
              <a16:creationId xmlns:a16="http://schemas.microsoft.com/office/drawing/2014/main" id="{00000000-0008-0000-0000-00002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38" name="Picture 11" hidden="1">
          <a:extLst>
            <a:ext uri="{FF2B5EF4-FFF2-40B4-BE49-F238E27FC236}">
              <a16:creationId xmlns:a16="http://schemas.microsoft.com/office/drawing/2014/main" id="{00000000-0008-0000-0000-00002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40" name="Picture 11" hidden="1">
          <a:extLst>
            <a:ext uri="{FF2B5EF4-FFF2-40B4-BE49-F238E27FC236}">
              <a16:creationId xmlns:a16="http://schemas.microsoft.com/office/drawing/2014/main" id="{00000000-0008-0000-0000-00002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42" name="Picture 11" hidden="1">
          <a:extLst>
            <a:ext uri="{FF2B5EF4-FFF2-40B4-BE49-F238E27FC236}">
              <a16:creationId xmlns:a16="http://schemas.microsoft.com/office/drawing/2014/main" id="{00000000-0008-0000-0000-00002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44" name="Picture 11" hidden="1">
          <a:extLst>
            <a:ext uri="{FF2B5EF4-FFF2-40B4-BE49-F238E27FC236}">
              <a16:creationId xmlns:a16="http://schemas.microsoft.com/office/drawing/2014/main" id="{00000000-0008-0000-0000-00003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46" name="Picture 11" hidden="1">
          <a:extLst>
            <a:ext uri="{FF2B5EF4-FFF2-40B4-BE49-F238E27FC236}">
              <a16:creationId xmlns:a16="http://schemas.microsoft.com/office/drawing/2014/main" id="{00000000-0008-0000-0000-00003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48" name="Picture 11" hidden="1">
          <a:extLst>
            <a:ext uri="{FF2B5EF4-FFF2-40B4-BE49-F238E27FC236}">
              <a16:creationId xmlns:a16="http://schemas.microsoft.com/office/drawing/2014/main" id="{00000000-0008-0000-0000-00003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50" name="Picture 11" hidden="1">
          <a:extLst>
            <a:ext uri="{FF2B5EF4-FFF2-40B4-BE49-F238E27FC236}">
              <a16:creationId xmlns:a16="http://schemas.microsoft.com/office/drawing/2014/main" id="{00000000-0008-0000-0000-00003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52" name="Picture 11" hidden="1">
          <a:extLst>
            <a:ext uri="{FF2B5EF4-FFF2-40B4-BE49-F238E27FC236}">
              <a16:creationId xmlns:a16="http://schemas.microsoft.com/office/drawing/2014/main" id="{00000000-0008-0000-0000-00003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54" name="Picture 11" hidden="1">
          <a:extLst>
            <a:ext uri="{FF2B5EF4-FFF2-40B4-BE49-F238E27FC236}">
              <a16:creationId xmlns:a16="http://schemas.microsoft.com/office/drawing/2014/main" id="{00000000-0008-0000-0000-00003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56" name="Picture 11" hidden="1">
          <a:extLst>
            <a:ext uri="{FF2B5EF4-FFF2-40B4-BE49-F238E27FC236}">
              <a16:creationId xmlns:a16="http://schemas.microsoft.com/office/drawing/2014/main" id="{00000000-0008-0000-0000-00003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58" name="Picture 11" hidden="1">
          <a:extLst>
            <a:ext uri="{FF2B5EF4-FFF2-40B4-BE49-F238E27FC236}">
              <a16:creationId xmlns:a16="http://schemas.microsoft.com/office/drawing/2014/main" id="{00000000-0008-0000-0000-00003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60" name="Picture 11" hidden="1">
          <a:extLst>
            <a:ext uri="{FF2B5EF4-FFF2-40B4-BE49-F238E27FC236}">
              <a16:creationId xmlns:a16="http://schemas.microsoft.com/office/drawing/2014/main" id="{00000000-0008-0000-0000-00004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62" name="Picture 11" hidden="1">
          <a:extLst>
            <a:ext uri="{FF2B5EF4-FFF2-40B4-BE49-F238E27FC236}">
              <a16:creationId xmlns:a16="http://schemas.microsoft.com/office/drawing/2014/main" id="{00000000-0008-0000-0000-00004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64" name="Picture 11" hidden="1">
          <a:extLst>
            <a:ext uri="{FF2B5EF4-FFF2-40B4-BE49-F238E27FC236}">
              <a16:creationId xmlns:a16="http://schemas.microsoft.com/office/drawing/2014/main" id="{00000000-0008-0000-0000-00004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66" name="Picture 11" hidden="1">
          <a:extLst>
            <a:ext uri="{FF2B5EF4-FFF2-40B4-BE49-F238E27FC236}">
              <a16:creationId xmlns:a16="http://schemas.microsoft.com/office/drawing/2014/main" id="{00000000-0008-0000-0000-00004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68" name="Picture 11" hidden="1">
          <a:extLst>
            <a:ext uri="{FF2B5EF4-FFF2-40B4-BE49-F238E27FC236}">
              <a16:creationId xmlns:a16="http://schemas.microsoft.com/office/drawing/2014/main" id="{00000000-0008-0000-0000-00004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70" name="Picture 11" hidden="1">
          <a:extLst>
            <a:ext uri="{FF2B5EF4-FFF2-40B4-BE49-F238E27FC236}">
              <a16:creationId xmlns:a16="http://schemas.microsoft.com/office/drawing/2014/main" id="{00000000-0008-0000-0000-00004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72" name="Picture 11" hidden="1">
          <a:extLst>
            <a:ext uri="{FF2B5EF4-FFF2-40B4-BE49-F238E27FC236}">
              <a16:creationId xmlns:a16="http://schemas.microsoft.com/office/drawing/2014/main" id="{00000000-0008-0000-0000-00004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74" name="Picture 11" hidden="1">
          <a:extLst>
            <a:ext uri="{FF2B5EF4-FFF2-40B4-BE49-F238E27FC236}">
              <a16:creationId xmlns:a16="http://schemas.microsoft.com/office/drawing/2014/main" id="{00000000-0008-0000-0000-00004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76" name="Picture 11" hidden="1">
          <a:extLst>
            <a:ext uri="{FF2B5EF4-FFF2-40B4-BE49-F238E27FC236}">
              <a16:creationId xmlns:a16="http://schemas.microsoft.com/office/drawing/2014/main" id="{00000000-0008-0000-0000-00005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78" name="Picture 11" hidden="1">
          <a:extLst>
            <a:ext uri="{FF2B5EF4-FFF2-40B4-BE49-F238E27FC236}">
              <a16:creationId xmlns:a16="http://schemas.microsoft.com/office/drawing/2014/main" id="{00000000-0008-0000-0000-00005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80" name="Picture 11" hidden="1">
          <a:extLst>
            <a:ext uri="{FF2B5EF4-FFF2-40B4-BE49-F238E27FC236}">
              <a16:creationId xmlns:a16="http://schemas.microsoft.com/office/drawing/2014/main" id="{00000000-0008-0000-0000-00005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82" name="Picture 11" hidden="1">
          <a:extLst>
            <a:ext uri="{FF2B5EF4-FFF2-40B4-BE49-F238E27FC236}">
              <a16:creationId xmlns:a16="http://schemas.microsoft.com/office/drawing/2014/main" id="{00000000-0008-0000-0000-00005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84" name="Picture 11" hidden="1">
          <a:extLst>
            <a:ext uri="{FF2B5EF4-FFF2-40B4-BE49-F238E27FC236}">
              <a16:creationId xmlns:a16="http://schemas.microsoft.com/office/drawing/2014/main" id="{00000000-0008-0000-0000-00005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86" name="Picture 11" hidden="1">
          <a:extLst>
            <a:ext uri="{FF2B5EF4-FFF2-40B4-BE49-F238E27FC236}">
              <a16:creationId xmlns:a16="http://schemas.microsoft.com/office/drawing/2014/main" id="{00000000-0008-0000-0000-00005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88" name="Picture 11" hidden="1">
          <a:extLst>
            <a:ext uri="{FF2B5EF4-FFF2-40B4-BE49-F238E27FC236}">
              <a16:creationId xmlns:a16="http://schemas.microsoft.com/office/drawing/2014/main" id="{00000000-0008-0000-0000-00005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10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9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10590" name="Picture 11" hidden="1">
          <a:extLst>
            <a:ext uri="{FF2B5EF4-FFF2-40B4-BE49-F238E27FC236}">
              <a16:creationId xmlns:a16="http://schemas.microsoft.com/office/drawing/2014/main" id="{00000000-0008-0000-0000-00005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92" name="Picture 11" hidden="1">
          <a:extLst>
            <a:ext uri="{FF2B5EF4-FFF2-40B4-BE49-F238E27FC236}">
              <a16:creationId xmlns:a16="http://schemas.microsoft.com/office/drawing/2014/main" id="{00000000-0008-0000-0000-00006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94" name="Picture 11" hidden="1">
          <a:extLst>
            <a:ext uri="{FF2B5EF4-FFF2-40B4-BE49-F238E27FC236}">
              <a16:creationId xmlns:a16="http://schemas.microsoft.com/office/drawing/2014/main" id="{00000000-0008-0000-0000-00006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96" name="Picture 11" hidden="1">
          <a:extLst>
            <a:ext uri="{FF2B5EF4-FFF2-40B4-BE49-F238E27FC236}">
              <a16:creationId xmlns:a16="http://schemas.microsoft.com/office/drawing/2014/main" id="{00000000-0008-0000-0000-00006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98" name="Picture 10597" hidden="1">
          <a:extLst>
            <a:ext uri="{FF2B5EF4-FFF2-40B4-BE49-F238E27FC236}">
              <a16:creationId xmlns:a16="http://schemas.microsoft.com/office/drawing/2014/main" id="{00000000-0008-0000-0000-00006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00" name="Picture 11" hidden="1">
          <a:extLst>
            <a:ext uri="{FF2B5EF4-FFF2-40B4-BE49-F238E27FC236}">
              <a16:creationId xmlns:a16="http://schemas.microsoft.com/office/drawing/2014/main" id="{00000000-0008-0000-0000-00006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02" name="Picture 11" hidden="1">
          <a:extLst>
            <a:ext uri="{FF2B5EF4-FFF2-40B4-BE49-F238E27FC236}">
              <a16:creationId xmlns:a16="http://schemas.microsoft.com/office/drawing/2014/main" id="{00000000-0008-0000-0000-00006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04" name="Picture 11" hidden="1">
          <a:extLst>
            <a:ext uri="{FF2B5EF4-FFF2-40B4-BE49-F238E27FC236}">
              <a16:creationId xmlns:a16="http://schemas.microsoft.com/office/drawing/2014/main" id="{00000000-0008-0000-0000-00006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06" name="Picture 11" hidden="1">
          <a:extLst>
            <a:ext uri="{FF2B5EF4-FFF2-40B4-BE49-F238E27FC236}">
              <a16:creationId xmlns:a16="http://schemas.microsoft.com/office/drawing/2014/main" id="{00000000-0008-0000-0000-00006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08" name="Picture 11" hidden="1">
          <a:extLst>
            <a:ext uri="{FF2B5EF4-FFF2-40B4-BE49-F238E27FC236}">
              <a16:creationId xmlns:a16="http://schemas.microsoft.com/office/drawing/2014/main" id="{00000000-0008-0000-0000-00007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10" name="Picture 11" hidden="1">
          <a:extLst>
            <a:ext uri="{FF2B5EF4-FFF2-40B4-BE49-F238E27FC236}">
              <a16:creationId xmlns:a16="http://schemas.microsoft.com/office/drawing/2014/main" id="{00000000-0008-0000-0000-00007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12" name="Picture 11" hidden="1">
          <a:extLst>
            <a:ext uri="{FF2B5EF4-FFF2-40B4-BE49-F238E27FC236}">
              <a16:creationId xmlns:a16="http://schemas.microsoft.com/office/drawing/2014/main" id="{00000000-0008-0000-0000-00007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14" name="Picture 11" hidden="1">
          <a:extLst>
            <a:ext uri="{FF2B5EF4-FFF2-40B4-BE49-F238E27FC236}">
              <a16:creationId xmlns:a16="http://schemas.microsoft.com/office/drawing/2014/main" id="{00000000-0008-0000-0000-00007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16" name="Picture 11" hidden="1">
          <a:extLst>
            <a:ext uri="{FF2B5EF4-FFF2-40B4-BE49-F238E27FC236}">
              <a16:creationId xmlns:a16="http://schemas.microsoft.com/office/drawing/2014/main" id="{00000000-0008-0000-0000-00007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18" name="Picture 11" hidden="1">
          <a:extLst>
            <a:ext uri="{FF2B5EF4-FFF2-40B4-BE49-F238E27FC236}">
              <a16:creationId xmlns:a16="http://schemas.microsoft.com/office/drawing/2014/main" id="{00000000-0008-0000-0000-00007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20" name="Picture 11" hidden="1">
          <a:extLst>
            <a:ext uri="{FF2B5EF4-FFF2-40B4-BE49-F238E27FC236}">
              <a16:creationId xmlns:a16="http://schemas.microsoft.com/office/drawing/2014/main" id="{00000000-0008-0000-0000-00007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22" name="Picture 11" hidden="1">
          <a:extLst>
            <a:ext uri="{FF2B5EF4-FFF2-40B4-BE49-F238E27FC236}">
              <a16:creationId xmlns:a16="http://schemas.microsoft.com/office/drawing/2014/main" id="{00000000-0008-0000-0000-00007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24" name="Picture 11" hidden="1">
          <a:extLst>
            <a:ext uri="{FF2B5EF4-FFF2-40B4-BE49-F238E27FC236}">
              <a16:creationId xmlns:a16="http://schemas.microsoft.com/office/drawing/2014/main" id="{00000000-0008-0000-0000-00008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26" name="Picture 11" hidden="1">
          <a:extLst>
            <a:ext uri="{FF2B5EF4-FFF2-40B4-BE49-F238E27FC236}">
              <a16:creationId xmlns:a16="http://schemas.microsoft.com/office/drawing/2014/main" id="{00000000-0008-0000-0000-00008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28" name="Picture 11" hidden="1">
          <a:extLst>
            <a:ext uri="{FF2B5EF4-FFF2-40B4-BE49-F238E27FC236}">
              <a16:creationId xmlns:a16="http://schemas.microsoft.com/office/drawing/2014/main" id="{00000000-0008-0000-0000-00008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30" name="Picture 11" hidden="1">
          <a:extLst>
            <a:ext uri="{FF2B5EF4-FFF2-40B4-BE49-F238E27FC236}">
              <a16:creationId xmlns:a16="http://schemas.microsoft.com/office/drawing/2014/main" id="{00000000-0008-0000-0000-00008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32" name="Picture 11" hidden="1">
          <a:extLst>
            <a:ext uri="{FF2B5EF4-FFF2-40B4-BE49-F238E27FC236}">
              <a16:creationId xmlns:a16="http://schemas.microsoft.com/office/drawing/2014/main" id="{00000000-0008-0000-0000-00008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34" name="Picture 11" hidden="1">
          <a:extLst>
            <a:ext uri="{FF2B5EF4-FFF2-40B4-BE49-F238E27FC236}">
              <a16:creationId xmlns:a16="http://schemas.microsoft.com/office/drawing/2014/main" id="{00000000-0008-0000-0000-00008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36" name="Picture 11" hidden="1">
          <a:extLst>
            <a:ext uri="{FF2B5EF4-FFF2-40B4-BE49-F238E27FC236}">
              <a16:creationId xmlns:a16="http://schemas.microsoft.com/office/drawing/2014/main" id="{00000000-0008-0000-0000-00008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38" name="Picture 11" hidden="1">
          <a:extLst>
            <a:ext uri="{FF2B5EF4-FFF2-40B4-BE49-F238E27FC236}">
              <a16:creationId xmlns:a16="http://schemas.microsoft.com/office/drawing/2014/main" id="{00000000-0008-0000-0000-00008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40" name="Picture 11" hidden="1">
          <a:extLst>
            <a:ext uri="{FF2B5EF4-FFF2-40B4-BE49-F238E27FC236}">
              <a16:creationId xmlns:a16="http://schemas.microsoft.com/office/drawing/2014/main" id="{00000000-0008-0000-0000-00009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42" name="Picture 11" hidden="1">
          <a:extLst>
            <a:ext uri="{FF2B5EF4-FFF2-40B4-BE49-F238E27FC236}">
              <a16:creationId xmlns:a16="http://schemas.microsoft.com/office/drawing/2014/main" id="{00000000-0008-0000-0000-00009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44" name="Picture 11" hidden="1">
          <a:extLst>
            <a:ext uri="{FF2B5EF4-FFF2-40B4-BE49-F238E27FC236}">
              <a16:creationId xmlns:a16="http://schemas.microsoft.com/office/drawing/2014/main" id="{00000000-0008-0000-0000-00009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46" name="Picture 11" hidden="1">
          <a:extLst>
            <a:ext uri="{FF2B5EF4-FFF2-40B4-BE49-F238E27FC236}">
              <a16:creationId xmlns:a16="http://schemas.microsoft.com/office/drawing/2014/main" id="{00000000-0008-0000-0000-00009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48" name="Picture 11" hidden="1">
          <a:extLst>
            <a:ext uri="{FF2B5EF4-FFF2-40B4-BE49-F238E27FC236}">
              <a16:creationId xmlns:a16="http://schemas.microsoft.com/office/drawing/2014/main" id="{00000000-0008-0000-0000-00009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50" name="Picture 11" hidden="1">
          <a:extLst>
            <a:ext uri="{FF2B5EF4-FFF2-40B4-BE49-F238E27FC236}">
              <a16:creationId xmlns:a16="http://schemas.microsoft.com/office/drawing/2014/main" id="{00000000-0008-0000-0000-00009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52" name="Picture 11" hidden="1">
          <a:extLst>
            <a:ext uri="{FF2B5EF4-FFF2-40B4-BE49-F238E27FC236}">
              <a16:creationId xmlns:a16="http://schemas.microsoft.com/office/drawing/2014/main" id="{00000000-0008-0000-0000-00009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54" name="Picture 11" hidden="1">
          <a:extLst>
            <a:ext uri="{FF2B5EF4-FFF2-40B4-BE49-F238E27FC236}">
              <a16:creationId xmlns:a16="http://schemas.microsoft.com/office/drawing/2014/main" id="{00000000-0008-0000-0000-00009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56" name="Picture 11" hidden="1">
          <a:extLst>
            <a:ext uri="{FF2B5EF4-FFF2-40B4-BE49-F238E27FC236}">
              <a16:creationId xmlns:a16="http://schemas.microsoft.com/office/drawing/2014/main" id="{00000000-0008-0000-0000-0000A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58" name="Picture 11" hidden="1">
          <a:extLst>
            <a:ext uri="{FF2B5EF4-FFF2-40B4-BE49-F238E27FC236}">
              <a16:creationId xmlns:a16="http://schemas.microsoft.com/office/drawing/2014/main" id="{00000000-0008-0000-0000-0000A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60" name="Picture 11" hidden="1">
          <a:extLst>
            <a:ext uri="{FF2B5EF4-FFF2-40B4-BE49-F238E27FC236}">
              <a16:creationId xmlns:a16="http://schemas.microsoft.com/office/drawing/2014/main" id="{00000000-0008-0000-0000-0000A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62" name="Picture 11" hidden="1">
          <a:extLst>
            <a:ext uri="{FF2B5EF4-FFF2-40B4-BE49-F238E27FC236}">
              <a16:creationId xmlns:a16="http://schemas.microsoft.com/office/drawing/2014/main" id="{00000000-0008-0000-0000-0000A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64" name="Picture 11" hidden="1">
          <a:extLst>
            <a:ext uri="{FF2B5EF4-FFF2-40B4-BE49-F238E27FC236}">
              <a16:creationId xmlns:a16="http://schemas.microsoft.com/office/drawing/2014/main" id="{00000000-0008-0000-0000-0000A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66" name="Picture 11" hidden="1">
          <a:extLst>
            <a:ext uri="{FF2B5EF4-FFF2-40B4-BE49-F238E27FC236}">
              <a16:creationId xmlns:a16="http://schemas.microsoft.com/office/drawing/2014/main" id="{00000000-0008-0000-0000-0000A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68" name="Picture 11" hidden="1">
          <a:extLst>
            <a:ext uri="{FF2B5EF4-FFF2-40B4-BE49-F238E27FC236}">
              <a16:creationId xmlns:a16="http://schemas.microsoft.com/office/drawing/2014/main" id="{00000000-0008-0000-0000-0000A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70" name="Picture 11" hidden="1">
          <a:extLst>
            <a:ext uri="{FF2B5EF4-FFF2-40B4-BE49-F238E27FC236}">
              <a16:creationId xmlns:a16="http://schemas.microsoft.com/office/drawing/2014/main" id="{00000000-0008-0000-0000-0000A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72" name="Picture 11" hidden="1">
          <a:extLst>
            <a:ext uri="{FF2B5EF4-FFF2-40B4-BE49-F238E27FC236}">
              <a16:creationId xmlns:a16="http://schemas.microsoft.com/office/drawing/2014/main" id="{00000000-0008-0000-0000-0000B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74" name="Picture 11" hidden="1">
          <a:extLst>
            <a:ext uri="{FF2B5EF4-FFF2-40B4-BE49-F238E27FC236}">
              <a16:creationId xmlns:a16="http://schemas.microsoft.com/office/drawing/2014/main" id="{00000000-0008-0000-0000-0000B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76" name="Picture 11" hidden="1">
          <a:extLst>
            <a:ext uri="{FF2B5EF4-FFF2-40B4-BE49-F238E27FC236}">
              <a16:creationId xmlns:a16="http://schemas.microsoft.com/office/drawing/2014/main" id="{00000000-0008-0000-0000-0000B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78" name="Picture 11" hidden="1">
          <a:extLst>
            <a:ext uri="{FF2B5EF4-FFF2-40B4-BE49-F238E27FC236}">
              <a16:creationId xmlns:a16="http://schemas.microsoft.com/office/drawing/2014/main" id="{00000000-0008-0000-0000-0000B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80" name="Picture 11" hidden="1">
          <a:extLst>
            <a:ext uri="{FF2B5EF4-FFF2-40B4-BE49-F238E27FC236}">
              <a16:creationId xmlns:a16="http://schemas.microsoft.com/office/drawing/2014/main" id="{00000000-0008-0000-0000-0000B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82" name="Picture 11" hidden="1">
          <a:extLst>
            <a:ext uri="{FF2B5EF4-FFF2-40B4-BE49-F238E27FC236}">
              <a16:creationId xmlns:a16="http://schemas.microsoft.com/office/drawing/2014/main" id="{00000000-0008-0000-0000-0000B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84" name="Picture 11" hidden="1">
          <a:extLst>
            <a:ext uri="{FF2B5EF4-FFF2-40B4-BE49-F238E27FC236}">
              <a16:creationId xmlns:a16="http://schemas.microsoft.com/office/drawing/2014/main" id="{00000000-0008-0000-0000-0000B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86" name="Picture 11" hidden="1">
          <a:extLst>
            <a:ext uri="{FF2B5EF4-FFF2-40B4-BE49-F238E27FC236}">
              <a16:creationId xmlns:a16="http://schemas.microsoft.com/office/drawing/2014/main" id="{00000000-0008-0000-0000-0000B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88" name="Picture 11" hidden="1">
          <a:extLst>
            <a:ext uri="{FF2B5EF4-FFF2-40B4-BE49-F238E27FC236}">
              <a16:creationId xmlns:a16="http://schemas.microsoft.com/office/drawing/2014/main" id="{00000000-0008-0000-0000-0000C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90" name="Picture 11" hidden="1">
          <a:extLst>
            <a:ext uri="{FF2B5EF4-FFF2-40B4-BE49-F238E27FC236}">
              <a16:creationId xmlns:a16="http://schemas.microsoft.com/office/drawing/2014/main" id="{00000000-0008-0000-0000-0000C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92" name="Picture 11" hidden="1">
          <a:extLst>
            <a:ext uri="{FF2B5EF4-FFF2-40B4-BE49-F238E27FC236}">
              <a16:creationId xmlns:a16="http://schemas.microsoft.com/office/drawing/2014/main" id="{00000000-0008-0000-0000-0000C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94" name="Picture 11" hidden="1">
          <a:extLst>
            <a:ext uri="{FF2B5EF4-FFF2-40B4-BE49-F238E27FC236}">
              <a16:creationId xmlns:a16="http://schemas.microsoft.com/office/drawing/2014/main" id="{00000000-0008-0000-0000-0000C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96" name="Picture 11" hidden="1">
          <a:extLst>
            <a:ext uri="{FF2B5EF4-FFF2-40B4-BE49-F238E27FC236}">
              <a16:creationId xmlns:a16="http://schemas.microsoft.com/office/drawing/2014/main" id="{00000000-0008-0000-0000-0000C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98" name="Picture 11" hidden="1">
          <a:extLst>
            <a:ext uri="{FF2B5EF4-FFF2-40B4-BE49-F238E27FC236}">
              <a16:creationId xmlns:a16="http://schemas.microsoft.com/office/drawing/2014/main" id="{00000000-0008-0000-0000-0000C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00" name="Picture 11" hidden="1">
          <a:extLst>
            <a:ext uri="{FF2B5EF4-FFF2-40B4-BE49-F238E27FC236}">
              <a16:creationId xmlns:a16="http://schemas.microsoft.com/office/drawing/2014/main" id="{00000000-0008-0000-0000-0000C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02" name="Picture 11" hidden="1">
          <a:extLst>
            <a:ext uri="{FF2B5EF4-FFF2-40B4-BE49-F238E27FC236}">
              <a16:creationId xmlns:a16="http://schemas.microsoft.com/office/drawing/2014/main" id="{00000000-0008-0000-0000-0000C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04" name="Picture 11" hidden="1">
          <a:extLst>
            <a:ext uri="{FF2B5EF4-FFF2-40B4-BE49-F238E27FC236}">
              <a16:creationId xmlns:a16="http://schemas.microsoft.com/office/drawing/2014/main" id="{00000000-0008-0000-0000-0000D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06" name="Picture 10705" hidden="1">
          <a:extLst>
            <a:ext uri="{FF2B5EF4-FFF2-40B4-BE49-F238E27FC236}">
              <a16:creationId xmlns:a16="http://schemas.microsoft.com/office/drawing/2014/main" id="{00000000-0008-0000-0000-0000D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08" name="Picture 11" hidden="1">
          <a:extLst>
            <a:ext uri="{FF2B5EF4-FFF2-40B4-BE49-F238E27FC236}">
              <a16:creationId xmlns:a16="http://schemas.microsoft.com/office/drawing/2014/main" id="{00000000-0008-0000-0000-0000D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10" name="Picture 11" hidden="1">
          <a:extLst>
            <a:ext uri="{FF2B5EF4-FFF2-40B4-BE49-F238E27FC236}">
              <a16:creationId xmlns:a16="http://schemas.microsoft.com/office/drawing/2014/main" id="{00000000-0008-0000-0000-0000D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12" name="Picture 11" hidden="1">
          <a:extLst>
            <a:ext uri="{FF2B5EF4-FFF2-40B4-BE49-F238E27FC236}">
              <a16:creationId xmlns:a16="http://schemas.microsoft.com/office/drawing/2014/main" id="{00000000-0008-0000-0000-0000D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14" name="Picture 11" hidden="1">
          <a:extLst>
            <a:ext uri="{FF2B5EF4-FFF2-40B4-BE49-F238E27FC236}">
              <a16:creationId xmlns:a16="http://schemas.microsoft.com/office/drawing/2014/main" id="{00000000-0008-0000-0000-0000D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16" name="Picture 11" hidden="1">
          <a:extLst>
            <a:ext uri="{FF2B5EF4-FFF2-40B4-BE49-F238E27FC236}">
              <a16:creationId xmlns:a16="http://schemas.microsoft.com/office/drawing/2014/main" id="{00000000-0008-0000-0000-0000D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18" name="Picture 11" hidden="1">
          <a:extLst>
            <a:ext uri="{FF2B5EF4-FFF2-40B4-BE49-F238E27FC236}">
              <a16:creationId xmlns:a16="http://schemas.microsoft.com/office/drawing/2014/main" id="{00000000-0008-0000-0000-0000D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20" name="Picture 11" hidden="1">
          <a:extLst>
            <a:ext uri="{FF2B5EF4-FFF2-40B4-BE49-F238E27FC236}">
              <a16:creationId xmlns:a16="http://schemas.microsoft.com/office/drawing/2014/main" id="{00000000-0008-0000-0000-0000E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22" name="Picture 11" hidden="1">
          <a:extLst>
            <a:ext uri="{FF2B5EF4-FFF2-40B4-BE49-F238E27FC236}">
              <a16:creationId xmlns:a16="http://schemas.microsoft.com/office/drawing/2014/main" id="{00000000-0008-0000-0000-0000E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24" name="Picture 11" hidden="1">
          <a:extLst>
            <a:ext uri="{FF2B5EF4-FFF2-40B4-BE49-F238E27FC236}">
              <a16:creationId xmlns:a16="http://schemas.microsoft.com/office/drawing/2014/main" id="{00000000-0008-0000-0000-0000E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26" name="Picture 11" hidden="1">
          <a:extLst>
            <a:ext uri="{FF2B5EF4-FFF2-40B4-BE49-F238E27FC236}">
              <a16:creationId xmlns:a16="http://schemas.microsoft.com/office/drawing/2014/main" id="{00000000-0008-0000-0000-0000E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28" name="Picture 11" hidden="1">
          <a:extLst>
            <a:ext uri="{FF2B5EF4-FFF2-40B4-BE49-F238E27FC236}">
              <a16:creationId xmlns:a16="http://schemas.microsoft.com/office/drawing/2014/main" id="{00000000-0008-0000-0000-0000E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30" name="Picture 11" hidden="1">
          <a:extLst>
            <a:ext uri="{FF2B5EF4-FFF2-40B4-BE49-F238E27FC236}">
              <a16:creationId xmlns:a16="http://schemas.microsoft.com/office/drawing/2014/main" id="{00000000-0008-0000-0000-0000E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32" name="Picture 11" hidden="1">
          <a:extLst>
            <a:ext uri="{FF2B5EF4-FFF2-40B4-BE49-F238E27FC236}">
              <a16:creationId xmlns:a16="http://schemas.microsoft.com/office/drawing/2014/main" id="{00000000-0008-0000-0000-0000E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34" name="Picture 11" hidden="1">
          <a:extLst>
            <a:ext uri="{FF2B5EF4-FFF2-40B4-BE49-F238E27FC236}">
              <a16:creationId xmlns:a16="http://schemas.microsoft.com/office/drawing/2014/main" id="{00000000-0008-0000-0000-0000E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36" name="Picture 11" hidden="1">
          <a:extLst>
            <a:ext uri="{FF2B5EF4-FFF2-40B4-BE49-F238E27FC236}">
              <a16:creationId xmlns:a16="http://schemas.microsoft.com/office/drawing/2014/main" id="{00000000-0008-0000-0000-0000F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38" name="Picture 11" hidden="1">
          <a:extLst>
            <a:ext uri="{FF2B5EF4-FFF2-40B4-BE49-F238E27FC236}">
              <a16:creationId xmlns:a16="http://schemas.microsoft.com/office/drawing/2014/main" id="{00000000-0008-0000-0000-0000F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40" name="Picture 11" hidden="1">
          <a:extLst>
            <a:ext uri="{FF2B5EF4-FFF2-40B4-BE49-F238E27FC236}">
              <a16:creationId xmlns:a16="http://schemas.microsoft.com/office/drawing/2014/main" id="{00000000-0008-0000-0000-0000F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42" name="Picture 11" hidden="1">
          <a:extLst>
            <a:ext uri="{FF2B5EF4-FFF2-40B4-BE49-F238E27FC236}">
              <a16:creationId xmlns:a16="http://schemas.microsoft.com/office/drawing/2014/main" id="{00000000-0008-0000-0000-0000F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44" name="Picture 11" hidden="1">
          <a:extLst>
            <a:ext uri="{FF2B5EF4-FFF2-40B4-BE49-F238E27FC236}">
              <a16:creationId xmlns:a16="http://schemas.microsoft.com/office/drawing/2014/main" id="{00000000-0008-0000-0000-0000F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46" name="Picture 11" hidden="1">
          <a:extLst>
            <a:ext uri="{FF2B5EF4-FFF2-40B4-BE49-F238E27FC236}">
              <a16:creationId xmlns:a16="http://schemas.microsoft.com/office/drawing/2014/main" id="{00000000-0008-0000-0000-0000F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48" name="Picture 11" hidden="1">
          <a:extLst>
            <a:ext uri="{FF2B5EF4-FFF2-40B4-BE49-F238E27FC236}">
              <a16:creationId xmlns:a16="http://schemas.microsoft.com/office/drawing/2014/main" id="{00000000-0008-0000-0000-0000F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50" name="Picture 11" hidden="1">
          <a:extLst>
            <a:ext uri="{FF2B5EF4-FFF2-40B4-BE49-F238E27FC236}">
              <a16:creationId xmlns:a16="http://schemas.microsoft.com/office/drawing/2014/main" id="{00000000-0008-0000-0000-0000F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52" name="Picture 11" hidden="1">
          <a:extLst>
            <a:ext uri="{FF2B5EF4-FFF2-40B4-BE49-F238E27FC236}">
              <a16:creationId xmlns:a16="http://schemas.microsoft.com/office/drawing/2014/main" id="{00000000-0008-0000-0000-00000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54" name="Picture 11" hidden="1">
          <a:extLst>
            <a:ext uri="{FF2B5EF4-FFF2-40B4-BE49-F238E27FC236}">
              <a16:creationId xmlns:a16="http://schemas.microsoft.com/office/drawing/2014/main" id="{00000000-0008-0000-0000-00000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56" name="Picture 11" hidden="1">
          <a:extLst>
            <a:ext uri="{FF2B5EF4-FFF2-40B4-BE49-F238E27FC236}">
              <a16:creationId xmlns:a16="http://schemas.microsoft.com/office/drawing/2014/main" id="{00000000-0008-0000-0000-00000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58" name="Picture 11" hidden="1">
          <a:extLst>
            <a:ext uri="{FF2B5EF4-FFF2-40B4-BE49-F238E27FC236}">
              <a16:creationId xmlns:a16="http://schemas.microsoft.com/office/drawing/2014/main" id="{00000000-0008-0000-0000-00000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60" name="Picture 11" hidden="1">
          <a:extLst>
            <a:ext uri="{FF2B5EF4-FFF2-40B4-BE49-F238E27FC236}">
              <a16:creationId xmlns:a16="http://schemas.microsoft.com/office/drawing/2014/main" id="{00000000-0008-0000-0000-00000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62" name="Picture 11" hidden="1">
          <a:extLst>
            <a:ext uri="{FF2B5EF4-FFF2-40B4-BE49-F238E27FC236}">
              <a16:creationId xmlns:a16="http://schemas.microsoft.com/office/drawing/2014/main" id="{00000000-0008-0000-0000-00000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64" name="Picture 11" hidden="1">
          <a:extLst>
            <a:ext uri="{FF2B5EF4-FFF2-40B4-BE49-F238E27FC236}">
              <a16:creationId xmlns:a16="http://schemas.microsoft.com/office/drawing/2014/main" id="{00000000-0008-0000-0000-00000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66" name="Picture 11" hidden="1">
          <a:extLst>
            <a:ext uri="{FF2B5EF4-FFF2-40B4-BE49-F238E27FC236}">
              <a16:creationId xmlns:a16="http://schemas.microsoft.com/office/drawing/2014/main" id="{00000000-0008-0000-0000-00000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68" name="Picture 11" hidden="1">
          <a:extLst>
            <a:ext uri="{FF2B5EF4-FFF2-40B4-BE49-F238E27FC236}">
              <a16:creationId xmlns:a16="http://schemas.microsoft.com/office/drawing/2014/main" id="{00000000-0008-0000-0000-00001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70" name="Picture 11" hidden="1">
          <a:extLst>
            <a:ext uri="{FF2B5EF4-FFF2-40B4-BE49-F238E27FC236}">
              <a16:creationId xmlns:a16="http://schemas.microsoft.com/office/drawing/2014/main" id="{00000000-0008-0000-0000-00001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72" name="Picture 11" hidden="1">
          <a:extLst>
            <a:ext uri="{FF2B5EF4-FFF2-40B4-BE49-F238E27FC236}">
              <a16:creationId xmlns:a16="http://schemas.microsoft.com/office/drawing/2014/main" id="{00000000-0008-0000-0000-00001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74" name="Picture 11" hidden="1">
          <a:extLst>
            <a:ext uri="{FF2B5EF4-FFF2-40B4-BE49-F238E27FC236}">
              <a16:creationId xmlns:a16="http://schemas.microsoft.com/office/drawing/2014/main" id="{00000000-0008-0000-0000-00001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76" name="Picture 11" hidden="1">
          <a:extLst>
            <a:ext uri="{FF2B5EF4-FFF2-40B4-BE49-F238E27FC236}">
              <a16:creationId xmlns:a16="http://schemas.microsoft.com/office/drawing/2014/main" id="{00000000-0008-0000-0000-00001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78" name="Picture 11" hidden="1">
          <a:extLst>
            <a:ext uri="{FF2B5EF4-FFF2-40B4-BE49-F238E27FC236}">
              <a16:creationId xmlns:a16="http://schemas.microsoft.com/office/drawing/2014/main" id="{00000000-0008-0000-0000-00001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80" name="Picture 11" hidden="1">
          <a:extLst>
            <a:ext uri="{FF2B5EF4-FFF2-40B4-BE49-F238E27FC236}">
              <a16:creationId xmlns:a16="http://schemas.microsoft.com/office/drawing/2014/main" id="{00000000-0008-0000-0000-00001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82" name="Picture 11" hidden="1">
          <a:extLst>
            <a:ext uri="{FF2B5EF4-FFF2-40B4-BE49-F238E27FC236}">
              <a16:creationId xmlns:a16="http://schemas.microsoft.com/office/drawing/2014/main" id="{00000000-0008-0000-0000-00001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84" name="Picture 11" hidden="1">
          <a:extLst>
            <a:ext uri="{FF2B5EF4-FFF2-40B4-BE49-F238E27FC236}">
              <a16:creationId xmlns:a16="http://schemas.microsoft.com/office/drawing/2014/main" id="{00000000-0008-0000-0000-00002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86" name="Picture 11" hidden="1">
          <a:extLst>
            <a:ext uri="{FF2B5EF4-FFF2-40B4-BE49-F238E27FC236}">
              <a16:creationId xmlns:a16="http://schemas.microsoft.com/office/drawing/2014/main" id="{00000000-0008-0000-0000-00002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88" name="Picture 11" hidden="1">
          <a:extLst>
            <a:ext uri="{FF2B5EF4-FFF2-40B4-BE49-F238E27FC236}">
              <a16:creationId xmlns:a16="http://schemas.microsoft.com/office/drawing/2014/main" id="{00000000-0008-0000-0000-00002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90" name="Picture 11" hidden="1">
          <a:extLst>
            <a:ext uri="{FF2B5EF4-FFF2-40B4-BE49-F238E27FC236}">
              <a16:creationId xmlns:a16="http://schemas.microsoft.com/office/drawing/2014/main" id="{00000000-0008-0000-0000-00002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92" name="Picture 11" hidden="1">
          <a:extLst>
            <a:ext uri="{FF2B5EF4-FFF2-40B4-BE49-F238E27FC236}">
              <a16:creationId xmlns:a16="http://schemas.microsoft.com/office/drawing/2014/main" id="{00000000-0008-0000-0000-00002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94" name="Picture 11" hidden="1">
          <a:extLst>
            <a:ext uri="{FF2B5EF4-FFF2-40B4-BE49-F238E27FC236}">
              <a16:creationId xmlns:a16="http://schemas.microsoft.com/office/drawing/2014/main" id="{00000000-0008-0000-0000-00002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96" name="Picture 11" hidden="1">
          <a:extLst>
            <a:ext uri="{FF2B5EF4-FFF2-40B4-BE49-F238E27FC236}">
              <a16:creationId xmlns:a16="http://schemas.microsoft.com/office/drawing/2014/main" id="{00000000-0008-0000-0000-00002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98" name="Picture 11" hidden="1">
          <a:extLst>
            <a:ext uri="{FF2B5EF4-FFF2-40B4-BE49-F238E27FC236}">
              <a16:creationId xmlns:a16="http://schemas.microsoft.com/office/drawing/2014/main" id="{00000000-0008-0000-0000-00002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00" name="Picture 11" hidden="1">
          <a:extLst>
            <a:ext uri="{FF2B5EF4-FFF2-40B4-BE49-F238E27FC236}">
              <a16:creationId xmlns:a16="http://schemas.microsoft.com/office/drawing/2014/main" id="{00000000-0008-0000-0000-00003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02" name="Picture 11" hidden="1">
          <a:extLst>
            <a:ext uri="{FF2B5EF4-FFF2-40B4-BE49-F238E27FC236}">
              <a16:creationId xmlns:a16="http://schemas.microsoft.com/office/drawing/2014/main" id="{00000000-0008-0000-0000-00003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04" name="Picture 11" hidden="1">
          <a:extLst>
            <a:ext uri="{FF2B5EF4-FFF2-40B4-BE49-F238E27FC236}">
              <a16:creationId xmlns:a16="http://schemas.microsoft.com/office/drawing/2014/main" id="{00000000-0008-0000-0000-00003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06" name="Picture 11" hidden="1">
          <a:extLst>
            <a:ext uri="{FF2B5EF4-FFF2-40B4-BE49-F238E27FC236}">
              <a16:creationId xmlns:a16="http://schemas.microsoft.com/office/drawing/2014/main" id="{00000000-0008-0000-0000-00003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08" name="Picture 11" hidden="1">
          <a:extLst>
            <a:ext uri="{FF2B5EF4-FFF2-40B4-BE49-F238E27FC236}">
              <a16:creationId xmlns:a16="http://schemas.microsoft.com/office/drawing/2014/main" id="{00000000-0008-0000-0000-00003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10" name="Picture 11" hidden="1">
          <a:extLst>
            <a:ext uri="{FF2B5EF4-FFF2-40B4-BE49-F238E27FC236}">
              <a16:creationId xmlns:a16="http://schemas.microsoft.com/office/drawing/2014/main" id="{00000000-0008-0000-0000-00003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12" name="Picture 11" hidden="1">
          <a:extLst>
            <a:ext uri="{FF2B5EF4-FFF2-40B4-BE49-F238E27FC236}">
              <a16:creationId xmlns:a16="http://schemas.microsoft.com/office/drawing/2014/main" id="{00000000-0008-0000-0000-00003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14" name="Picture 10813" hidden="1">
          <a:extLst>
            <a:ext uri="{FF2B5EF4-FFF2-40B4-BE49-F238E27FC236}">
              <a16:creationId xmlns:a16="http://schemas.microsoft.com/office/drawing/2014/main" id="{00000000-0008-0000-0000-00003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16" name="Picture 11" hidden="1">
          <a:extLst>
            <a:ext uri="{FF2B5EF4-FFF2-40B4-BE49-F238E27FC236}">
              <a16:creationId xmlns:a16="http://schemas.microsoft.com/office/drawing/2014/main" id="{00000000-0008-0000-0000-00004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18" name="Picture 11" hidden="1">
          <a:extLst>
            <a:ext uri="{FF2B5EF4-FFF2-40B4-BE49-F238E27FC236}">
              <a16:creationId xmlns:a16="http://schemas.microsoft.com/office/drawing/2014/main" id="{00000000-0008-0000-0000-00004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20" name="Picture 11" hidden="1">
          <a:extLst>
            <a:ext uri="{FF2B5EF4-FFF2-40B4-BE49-F238E27FC236}">
              <a16:creationId xmlns:a16="http://schemas.microsoft.com/office/drawing/2014/main" id="{00000000-0008-0000-0000-00004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22" name="Picture 11" hidden="1">
          <a:extLst>
            <a:ext uri="{FF2B5EF4-FFF2-40B4-BE49-F238E27FC236}">
              <a16:creationId xmlns:a16="http://schemas.microsoft.com/office/drawing/2014/main" id="{00000000-0008-0000-0000-00004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24" name="Picture 11" hidden="1">
          <a:extLst>
            <a:ext uri="{FF2B5EF4-FFF2-40B4-BE49-F238E27FC236}">
              <a16:creationId xmlns:a16="http://schemas.microsoft.com/office/drawing/2014/main" id="{00000000-0008-0000-0000-00004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26" name="Picture 11" hidden="1">
          <a:extLst>
            <a:ext uri="{FF2B5EF4-FFF2-40B4-BE49-F238E27FC236}">
              <a16:creationId xmlns:a16="http://schemas.microsoft.com/office/drawing/2014/main" id="{00000000-0008-0000-0000-00004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28" name="Picture 11" hidden="1">
          <a:extLst>
            <a:ext uri="{FF2B5EF4-FFF2-40B4-BE49-F238E27FC236}">
              <a16:creationId xmlns:a16="http://schemas.microsoft.com/office/drawing/2014/main" id="{00000000-0008-0000-0000-00004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30" name="Picture 11" hidden="1">
          <a:extLst>
            <a:ext uri="{FF2B5EF4-FFF2-40B4-BE49-F238E27FC236}">
              <a16:creationId xmlns:a16="http://schemas.microsoft.com/office/drawing/2014/main" id="{00000000-0008-0000-0000-00004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32" name="Picture 11" hidden="1">
          <a:extLst>
            <a:ext uri="{FF2B5EF4-FFF2-40B4-BE49-F238E27FC236}">
              <a16:creationId xmlns:a16="http://schemas.microsoft.com/office/drawing/2014/main" id="{00000000-0008-0000-0000-00005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34" name="Picture 11" hidden="1">
          <a:extLst>
            <a:ext uri="{FF2B5EF4-FFF2-40B4-BE49-F238E27FC236}">
              <a16:creationId xmlns:a16="http://schemas.microsoft.com/office/drawing/2014/main" id="{00000000-0008-0000-0000-00005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36" name="Picture 11" hidden="1">
          <a:extLst>
            <a:ext uri="{FF2B5EF4-FFF2-40B4-BE49-F238E27FC236}">
              <a16:creationId xmlns:a16="http://schemas.microsoft.com/office/drawing/2014/main" id="{00000000-0008-0000-0000-00005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38" name="Picture 11" hidden="1">
          <a:extLst>
            <a:ext uri="{FF2B5EF4-FFF2-40B4-BE49-F238E27FC236}">
              <a16:creationId xmlns:a16="http://schemas.microsoft.com/office/drawing/2014/main" id="{00000000-0008-0000-0000-00005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40" name="Picture 11" hidden="1">
          <a:extLst>
            <a:ext uri="{FF2B5EF4-FFF2-40B4-BE49-F238E27FC236}">
              <a16:creationId xmlns:a16="http://schemas.microsoft.com/office/drawing/2014/main" id="{00000000-0008-0000-0000-00005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42" name="Picture 11" hidden="1">
          <a:extLst>
            <a:ext uri="{FF2B5EF4-FFF2-40B4-BE49-F238E27FC236}">
              <a16:creationId xmlns:a16="http://schemas.microsoft.com/office/drawing/2014/main" id="{00000000-0008-0000-0000-00005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44" name="Picture 11" hidden="1">
          <a:extLst>
            <a:ext uri="{FF2B5EF4-FFF2-40B4-BE49-F238E27FC236}">
              <a16:creationId xmlns:a16="http://schemas.microsoft.com/office/drawing/2014/main" id="{00000000-0008-0000-0000-00005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46" name="Picture 11" hidden="1">
          <a:extLst>
            <a:ext uri="{FF2B5EF4-FFF2-40B4-BE49-F238E27FC236}">
              <a16:creationId xmlns:a16="http://schemas.microsoft.com/office/drawing/2014/main" id="{00000000-0008-0000-0000-00005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48" name="Picture 11" hidden="1">
          <a:extLst>
            <a:ext uri="{FF2B5EF4-FFF2-40B4-BE49-F238E27FC236}">
              <a16:creationId xmlns:a16="http://schemas.microsoft.com/office/drawing/2014/main" id="{00000000-0008-0000-0000-00006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50" name="Picture 11" hidden="1">
          <a:extLst>
            <a:ext uri="{FF2B5EF4-FFF2-40B4-BE49-F238E27FC236}">
              <a16:creationId xmlns:a16="http://schemas.microsoft.com/office/drawing/2014/main" id="{00000000-0008-0000-0000-00006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52" name="Picture 11" hidden="1">
          <a:extLst>
            <a:ext uri="{FF2B5EF4-FFF2-40B4-BE49-F238E27FC236}">
              <a16:creationId xmlns:a16="http://schemas.microsoft.com/office/drawing/2014/main" id="{00000000-0008-0000-0000-00006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54" name="Picture 11" hidden="1">
          <a:extLst>
            <a:ext uri="{FF2B5EF4-FFF2-40B4-BE49-F238E27FC236}">
              <a16:creationId xmlns:a16="http://schemas.microsoft.com/office/drawing/2014/main" id="{00000000-0008-0000-0000-00006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56" name="Picture 11" hidden="1">
          <a:extLst>
            <a:ext uri="{FF2B5EF4-FFF2-40B4-BE49-F238E27FC236}">
              <a16:creationId xmlns:a16="http://schemas.microsoft.com/office/drawing/2014/main" id="{00000000-0008-0000-0000-00006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58" name="Picture 11" hidden="1">
          <a:extLst>
            <a:ext uri="{FF2B5EF4-FFF2-40B4-BE49-F238E27FC236}">
              <a16:creationId xmlns:a16="http://schemas.microsoft.com/office/drawing/2014/main" id="{00000000-0008-0000-0000-00006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60" name="Picture 11" hidden="1">
          <a:extLst>
            <a:ext uri="{FF2B5EF4-FFF2-40B4-BE49-F238E27FC236}">
              <a16:creationId xmlns:a16="http://schemas.microsoft.com/office/drawing/2014/main" id="{00000000-0008-0000-0000-00006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62" name="Picture 11" hidden="1">
          <a:extLst>
            <a:ext uri="{FF2B5EF4-FFF2-40B4-BE49-F238E27FC236}">
              <a16:creationId xmlns:a16="http://schemas.microsoft.com/office/drawing/2014/main" id="{00000000-0008-0000-0000-00006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64" name="Picture 11" hidden="1">
          <a:extLst>
            <a:ext uri="{FF2B5EF4-FFF2-40B4-BE49-F238E27FC236}">
              <a16:creationId xmlns:a16="http://schemas.microsoft.com/office/drawing/2014/main" id="{00000000-0008-0000-0000-00007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66" name="Picture 11" hidden="1">
          <a:extLst>
            <a:ext uri="{FF2B5EF4-FFF2-40B4-BE49-F238E27FC236}">
              <a16:creationId xmlns:a16="http://schemas.microsoft.com/office/drawing/2014/main" id="{00000000-0008-0000-0000-00007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68" name="Picture 11" hidden="1">
          <a:extLst>
            <a:ext uri="{FF2B5EF4-FFF2-40B4-BE49-F238E27FC236}">
              <a16:creationId xmlns:a16="http://schemas.microsoft.com/office/drawing/2014/main" id="{00000000-0008-0000-0000-00007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70" name="Picture 11" hidden="1">
          <a:extLst>
            <a:ext uri="{FF2B5EF4-FFF2-40B4-BE49-F238E27FC236}">
              <a16:creationId xmlns:a16="http://schemas.microsoft.com/office/drawing/2014/main" id="{00000000-0008-0000-0000-00007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72" name="Picture 11" hidden="1">
          <a:extLst>
            <a:ext uri="{FF2B5EF4-FFF2-40B4-BE49-F238E27FC236}">
              <a16:creationId xmlns:a16="http://schemas.microsoft.com/office/drawing/2014/main" id="{00000000-0008-0000-0000-00007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74" name="Picture 11" hidden="1">
          <a:extLst>
            <a:ext uri="{FF2B5EF4-FFF2-40B4-BE49-F238E27FC236}">
              <a16:creationId xmlns:a16="http://schemas.microsoft.com/office/drawing/2014/main" id="{00000000-0008-0000-0000-00007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76" name="Picture 11" hidden="1">
          <a:extLst>
            <a:ext uri="{FF2B5EF4-FFF2-40B4-BE49-F238E27FC236}">
              <a16:creationId xmlns:a16="http://schemas.microsoft.com/office/drawing/2014/main" id="{00000000-0008-0000-0000-00007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78" name="Picture 11" hidden="1">
          <a:extLst>
            <a:ext uri="{FF2B5EF4-FFF2-40B4-BE49-F238E27FC236}">
              <a16:creationId xmlns:a16="http://schemas.microsoft.com/office/drawing/2014/main" id="{00000000-0008-0000-0000-00007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80" name="Picture 11" hidden="1">
          <a:extLst>
            <a:ext uri="{FF2B5EF4-FFF2-40B4-BE49-F238E27FC236}">
              <a16:creationId xmlns:a16="http://schemas.microsoft.com/office/drawing/2014/main" id="{00000000-0008-0000-0000-00008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82" name="Picture 11" hidden="1">
          <a:extLst>
            <a:ext uri="{FF2B5EF4-FFF2-40B4-BE49-F238E27FC236}">
              <a16:creationId xmlns:a16="http://schemas.microsoft.com/office/drawing/2014/main" id="{00000000-0008-0000-0000-00008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84" name="Picture 11" hidden="1">
          <a:extLst>
            <a:ext uri="{FF2B5EF4-FFF2-40B4-BE49-F238E27FC236}">
              <a16:creationId xmlns:a16="http://schemas.microsoft.com/office/drawing/2014/main" id="{00000000-0008-0000-0000-00008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86" name="Picture 11" hidden="1">
          <a:extLst>
            <a:ext uri="{FF2B5EF4-FFF2-40B4-BE49-F238E27FC236}">
              <a16:creationId xmlns:a16="http://schemas.microsoft.com/office/drawing/2014/main" id="{00000000-0008-0000-0000-00008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88" name="Picture 11" hidden="1">
          <a:extLst>
            <a:ext uri="{FF2B5EF4-FFF2-40B4-BE49-F238E27FC236}">
              <a16:creationId xmlns:a16="http://schemas.microsoft.com/office/drawing/2014/main" id="{00000000-0008-0000-0000-00008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90" name="Picture 11" hidden="1">
          <a:extLst>
            <a:ext uri="{FF2B5EF4-FFF2-40B4-BE49-F238E27FC236}">
              <a16:creationId xmlns:a16="http://schemas.microsoft.com/office/drawing/2014/main" id="{00000000-0008-0000-0000-00008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92" name="Picture 11" hidden="1">
          <a:extLst>
            <a:ext uri="{FF2B5EF4-FFF2-40B4-BE49-F238E27FC236}">
              <a16:creationId xmlns:a16="http://schemas.microsoft.com/office/drawing/2014/main" id="{00000000-0008-0000-0000-00008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94" name="Picture 11" hidden="1">
          <a:extLst>
            <a:ext uri="{FF2B5EF4-FFF2-40B4-BE49-F238E27FC236}">
              <a16:creationId xmlns:a16="http://schemas.microsoft.com/office/drawing/2014/main" id="{00000000-0008-0000-0000-00008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96" name="Picture 11" hidden="1">
          <a:extLst>
            <a:ext uri="{FF2B5EF4-FFF2-40B4-BE49-F238E27FC236}">
              <a16:creationId xmlns:a16="http://schemas.microsoft.com/office/drawing/2014/main" id="{00000000-0008-0000-0000-00009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98" name="Picture 11" hidden="1">
          <a:extLst>
            <a:ext uri="{FF2B5EF4-FFF2-40B4-BE49-F238E27FC236}">
              <a16:creationId xmlns:a16="http://schemas.microsoft.com/office/drawing/2014/main" id="{00000000-0008-0000-0000-00009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00" name="Picture 11" hidden="1">
          <a:extLst>
            <a:ext uri="{FF2B5EF4-FFF2-40B4-BE49-F238E27FC236}">
              <a16:creationId xmlns:a16="http://schemas.microsoft.com/office/drawing/2014/main" id="{00000000-0008-0000-0000-00009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02" name="Picture 11" hidden="1">
          <a:extLst>
            <a:ext uri="{FF2B5EF4-FFF2-40B4-BE49-F238E27FC236}">
              <a16:creationId xmlns:a16="http://schemas.microsoft.com/office/drawing/2014/main" id="{00000000-0008-0000-0000-00009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04" name="Picture 11" hidden="1">
          <a:extLst>
            <a:ext uri="{FF2B5EF4-FFF2-40B4-BE49-F238E27FC236}">
              <a16:creationId xmlns:a16="http://schemas.microsoft.com/office/drawing/2014/main" id="{00000000-0008-0000-0000-00009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06" name="Picture 11" hidden="1">
          <a:extLst>
            <a:ext uri="{FF2B5EF4-FFF2-40B4-BE49-F238E27FC236}">
              <a16:creationId xmlns:a16="http://schemas.microsoft.com/office/drawing/2014/main" id="{00000000-0008-0000-0000-00009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08" name="Picture 11" hidden="1">
          <a:extLst>
            <a:ext uri="{FF2B5EF4-FFF2-40B4-BE49-F238E27FC236}">
              <a16:creationId xmlns:a16="http://schemas.microsoft.com/office/drawing/2014/main" id="{00000000-0008-0000-0000-00009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10" name="Picture 11" hidden="1">
          <a:extLst>
            <a:ext uri="{FF2B5EF4-FFF2-40B4-BE49-F238E27FC236}">
              <a16:creationId xmlns:a16="http://schemas.microsoft.com/office/drawing/2014/main" id="{00000000-0008-0000-0000-00009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12" name="Picture 11" hidden="1">
          <a:extLst>
            <a:ext uri="{FF2B5EF4-FFF2-40B4-BE49-F238E27FC236}">
              <a16:creationId xmlns:a16="http://schemas.microsoft.com/office/drawing/2014/main" id="{00000000-0008-0000-0000-0000A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14" name="Picture 11" hidden="1">
          <a:extLst>
            <a:ext uri="{FF2B5EF4-FFF2-40B4-BE49-F238E27FC236}">
              <a16:creationId xmlns:a16="http://schemas.microsoft.com/office/drawing/2014/main" id="{00000000-0008-0000-0000-0000A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16" name="Picture 11" hidden="1">
          <a:extLst>
            <a:ext uri="{FF2B5EF4-FFF2-40B4-BE49-F238E27FC236}">
              <a16:creationId xmlns:a16="http://schemas.microsoft.com/office/drawing/2014/main" id="{00000000-0008-0000-0000-0000A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18" name="Picture 11" hidden="1">
          <a:extLst>
            <a:ext uri="{FF2B5EF4-FFF2-40B4-BE49-F238E27FC236}">
              <a16:creationId xmlns:a16="http://schemas.microsoft.com/office/drawing/2014/main" id="{00000000-0008-0000-0000-0000A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20" name="Picture 11" hidden="1">
          <a:extLst>
            <a:ext uri="{FF2B5EF4-FFF2-40B4-BE49-F238E27FC236}">
              <a16:creationId xmlns:a16="http://schemas.microsoft.com/office/drawing/2014/main" id="{00000000-0008-0000-0000-0000A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22" name="Picture 10921" hidden="1">
          <a:extLst>
            <a:ext uri="{FF2B5EF4-FFF2-40B4-BE49-F238E27FC236}">
              <a16:creationId xmlns:a16="http://schemas.microsoft.com/office/drawing/2014/main" id="{00000000-0008-0000-0000-0000A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24" name="Picture 11" hidden="1">
          <a:extLst>
            <a:ext uri="{FF2B5EF4-FFF2-40B4-BE49-F238E27FC236}">
              <a16:creationId xmlns:a16="http://schemas.microsoft.com/office/drawing/2014/main" id="{00000000-0008-0000-0000-0000A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26" name="Picture 11" hidden="1">
          <a:extLst>
            <a:ext uri="{FF2B5EF4-FFF2-40B4-BE49-F238E27FC236}">
              <a16:creationId xmlns:a16="http://schemas.microsoft.com/office/drawing/2014/main" id="{00000000-0008-0000-0000-0000A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28" name="Picture 11" hidden="1">
          <a:extLst>
            <a:ext uri="{FF2B5EF4-FFF2-40B4-BE49-F238E27FC236}">
              <a16:creationId xmlns:a16="http://schemas.microsoft.com/office/drawing/2014/main" id="{00000000-0008-0000-0000-0000B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30" name="Picture 11" hidden="1">
          <a:extLst>
            <a:ext uri="{FF2B5EF4-FFF2-40B4-BE49-F238E27FC236}">
              <a16:creationId xmlns:a16="http://schemas.microsoft.com/office/drawing/2014/main" id="{00000000-0008-0000-0000-0000B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32" name="Picture 11" hidden="1">
          <a:extLst>
            <a:ext uri="{FF2B5EF4-FFF2-40B4-BE49-F238E27FC236}">
              <a16:creationId xmlns:a16="http://schemas.microsoft.com/office/drawing/2014/main" id="{00000000-0008-0000-0000-0000B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34" name="Picture 11" hidden="1">
          <a:extLst>
            <a:ext uri="{FF2B5EF4-FFF2-40B4-BE49-F238E27FC236}">
              <a16:creationId xmlns:a16="http://schemas.microsoft.com/office/drawing/2014/main" id="{00000000-0008-0000-0000-0000B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36" name="Picture 11" hidden="1">
          <a:extLst>
            <a:ext uri="{FF2B5EF4-FFF2-40B4-BE49-F238E27FC236}">
              <a16:creationId xmlns:a16="http://schemas.microsoft.com/office/drawing/2014/main" id="{00000000-0008-0000-0000-0000B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38" name="Picture 11" hidden="1">
          <a:extLst>
            <a:ext uri="{FF2B5EF4-FFF2-40B4-BE49-F238E27FC236}">
              <a16:creationId xmlns:a16="http://schemas.microsoft.com/office/drawing/2014/main" id="{00000000-0008-0000-0000-0000B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40" name="Picture 11" hidden="1">
          <a:extLst>
            <a:ext uri="{FF2B5EF4-FFF2-40B4-BE49-F238E27FC236}">
              <a16:creationId xmlns:a16="http://schemas.microsoft.com/office/drawing/2014/main" id="{00000000-0008-0000-0000-0000B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42" name="Picture 11" hidden="1">
          <a:extLst>
            <a:ext uri="{FF2B5EF4-FFF2-40B4-BE49-F238E27FC236}">
              <a16:creationId xmlns:a16="http://schemas.microsoft.com/office/drawing/2014/main" id="{00000000-0008-0000-0000-0000B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44" name="Picture 11" hidden="1">
          <a:extLst>
            <a:ext uri="{FF2B5EF4-FFF2-40B4-BE49-F238E27FC236}">
              <a16:creationId xmlns:a16="http://schemas.microsoft.com/office/drawing/2014/main" id="{00000000-0008-0000-0000-0000C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46" name="Picture 11" hidden="1">
          <a:extLst>
            <a:ext uri="{FF2B5EF4-FFF2-40B4-BE49-F238E27FC236}">
              <a16:creationId xmlns:a16="http://schemas.microsoft.com/office/drawing/2014/main" id="{00000000-0008-0000-0000-0000C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48" name="Picture 11" hidden="1">
          <a:extLst>
            <a:ext uri="{FF2B5EF4-FFF2-40B4-BE49-F238E27FC236}">
              <a16:creationId xmlns:a16="http://schemas.microsoft.com/office/drawing/2014/main" id="{00000000-0008-0000-0000-0000C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50" name="Picture 11" hidden="1">
          <a:extLst>
            <a:ext uri="{FF2B5EF4-FFF2-40B4-BE49-F238E27FC236}">
              <a16:creationId xmlns:a16="http://schemas.microsoft.com/office/drawing/2014/main" id="{00000000-0008-0000-0000-0000C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52" name="Picture 11" hidden="1">
          <a:extLst>
            <a:ext uri="{FF2B5EF4-FFF2-40B4-BE49-F238E27FC236}">
              <a16:creationId xmlns:a16="http://schemas.microsoft.com/office/drawing/2014/main" id="{00000000-0008-0000-0000-0000C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54" name="Picture 11" hidden="1">
          <a:extLst>
            <a:ext uri="{FF2B5EF4-FFF2-40B4-BE49-F238E27FC236}">
              <a16:creationId xmlns:a16="http://schemas.microsoft.com/office/drawing/2014/main" id="{00000000-0008-0000-0000-0000C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56" name="Picture 11" hidden="1">
          <a:extLst>
            <a:ext uri="{FF2B5EF4-FFF2-40B4-BE49-F238E27FC236}">
              <a16:creationId xmlns:a16="http://schemas.microsoft.com/office/drawing/2014/main" id="{00000000-0008-0000-0000-0000C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58" name="Picture 11" hidden="1">
          <a:extLst>
            <a:ext uri="{FF2B5EF4-FFF2-40B4-BE49-F238E27FC236}">
              <a16:creationId xmlns:a16="http://schemas.microsoft.com/office/drawing/2014/main" id="{00000000-0008-0000-0000-0000C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60" name="Picture 11" hidden="1">
          <a:extLst>
            <a:ext uri="{FF2B5EF4-FFF2-40B4-BE49-F238E27FC236}">
              <a16:creationId xmlns:a16="http://schemas.microsoft.com/office/drawing/2014/main" id="{00000000-0008-0000-0000-0000D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62" name="Picture 11" hidden="1">
          <a:extLst>
            <a:ext uri="{FF2B5EF4-FFF2-40B4-BE49-F238E27FC236}">
              <a16:creationId xmlns:a16="http://schemas.microsoft.com/office/drawing/2014/main" id="{00000000-0008-0000-0000-0000D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64" name="Picture 11" hidden="1">
          <a:extLst>
            <a:ext uri="{FF2B5EF4-FFF2-40B4-BE49-F238E27FC236}">
              <a16:creationId xmlns:a16="http://schemas.microsoft.com/office/drawing/2014/main" id="{00000000-0008-0000-0000-0000D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66" name="Picture 11" hidden="1">
          <a:extLst>
            <a:ext uri="{FF2B5EF4-FFF2-40B4-BE49-F238E27FC236}">
              <a16:creationId xmlns:a16="http://schemas.microsoft.com/office/drawing/2014/main" id="{00000000-0008-0000-0000-0000D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68" name="Picture 11" hidden="1">
          <a:extLst>
            <a:ext uri="{FF2B5EF4-FFF2-40B4-BE49-F238E27FC236}">
              <a16:creationId xmlns:a16="http://schemas.microsoft.com/office/drawing/2014/main" id="{00000000-0008-0000-0000-0000D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70" name="Picture 11" hidden="1">
          <a:extLst>
            <a:ext uri="{FF2B5EF4-FFF2-40B4-BE49-F238E27FC236}">
              <a16:creationId xmlns:a16="http://schemas.microsoft.com/office/drawing/2014/main" id="{00000000-0008-0000-0000-0000D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72" name="Picture 11" hidden="1">
          <a:extLst>
            <a:ext uri="{FF2B5EF4-FFF2-40B4-BE49-F238E27FC236}">
              <a16:creationId xmlns:a16="http://schemas.microsoft.com/office/drawing/2014/main" id="{00000000-0008-0000-0000-0000D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74" name="Picture 11" hidden="1">
          <a:extLst>
            <a:ext uri="{FF2B5EF4-FFF2-40B4-BE49-F238E27FC236}">
              <a16:creationId xmlns:a16="http://schemas.microsoft.com/office/drawing/2014/main" id="{00000000-0008-0000-0000-0000D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76" name="Picture 11" hidden="1">
          <a:extLst>
            <a:ext uri="{FF2B5EF4-FFF2-40B4-BE49-F238E27FC236}">
              <a16:creationId xmlns:a16="http://schemas.microsoft.com/office/drawing/2014/main" id="{00000000-0008-0000-0000-0000E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78" name="Picture 11" hidden="1">
          <a:extLst>
            <a:ext uri="{FF2B5EF4-FFF2-40B4-BE49-F238E27FC236}">
              <a16:creationId xmlns:a16="http://schemas.microsoft.com/office/drawing/2014/main" id="{00000000-0008-0000-0000-0000E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80" name="Picture 11" hidden="1">
          <a:extLst>
            <a:ext uri="{FF2B5EF4-FFF2-40B4-BE49-F238E27FC236}">
              <a16:creationId xmlns:a16="http://schemas.microsoft.com/office/drawing/2014/main" id="{00000000-0008-0000-0000-0000E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82" name="Picture 11" hidden="1">
          <a:extLst>
            <a:ext uri="{FF2B5EF4-FFF2-40B4-BE49-F238E27FC236}">
              <a16:creationId xmlns:a16="http://schemas.microsoft.com/office/drawing/2014/main" id="{00000000-0008-0000-0000-0000E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84" name="Picture 11" hidden="1">
          <a:extLst>
            <a:ext uri="{FF2B5EF4-FFF2-40B4-BE49-F238E27FC236}">
              <a16:creationId xmlns:a16="http://schemas.microsoft.com/office/drawing/2014/main" id="{00000000-0008-0000-0000-0000E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86" name="Picture 11" hidden="1">
          <a:extLst>
            <a:ext uri="{FF2B5EF4-FFF2-40B4-BE49-F238E27FC236}">
              <a16:creationId xmlns:a16="http://schemas.microsoft.com/office/drawing/2014/main" id="{00000000-0008-0000-0000-0000E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88" name="Picture 11" hidden="1">
          <a:extLst>
            <a:ext uri="{FF2B5EF4-FFF2-40B4-BE49-F238E27FC236}">
              <a16:creationId xmlns:a16="http://schemas.microsoft.com/office/drawing/2014/main" id="{00000000-0008-0000-0000-0000E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90" name="Picture 11" hidden="1">
          <a:extLst>
            <a:ext uri="{FF2B5EF4-FFF2-40B4-BE49-F238E27FC236}">
              <a16:creationId xmlns:a16="http://schemas.microsoft.com/office/drawing/2014/main" id="{00000000-0008-0000-0000-0000E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92" name="Picture 11" hidden="1">
          <a:extLst>
            <a:ext uri="{FF2B5EF4-FFF2-40B4-BE49-F238E27FC236}">
              <a16:creationId xmlns:a16="http://schemas.microsoft.com/office/drawing/2014/main" id="{00000000-0008-0000-0000-0000F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94" name="Picture 11" hidden="1">
          <a:extLst>
            <a:ext uri="{FF2B5EF4-FFF2-40B4-BE49-F238E27FC236}">
              <a16:creationId xmlns:a16="http://schemas.microsoft.com/office/drawing/2014/main" id="{00000000-0008-0000-0000-0000F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96" name="Picture 11" hidden="1">
          <a:extLst>
            <a:ext uri="{FF2B5EF4-FFF2-40B4-BE49-F238E27FC236}">
              <a16:creationId xmlns:a16="http://schemas.microsoft.com/office/drawing/2014/main" id="{00000000-0008-0000-0000-0000F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98" name="Picture 11" hidden="1">
          <a:extLst>
            <a:ext uri="{FF2B5EF4-FFF2-40B4-BE49-F238E27FC236}">
              <a16:creationId xmlns:a16="http://schemas.microsoft.com/office/drawing/2014/main" id="{00000000-0008-0000-0000-0000F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00" name="Picture 11" hidden="1">
          <a:extLst>
            <a:ext uri="{FF2B5EF4-FFF2-40B4-BE49-F238E27FC236}">
              <a16:creationId xmlns:a16="http://schemas.microsoft.com/office/drawing/2014/main" id="{00000000-0008-0000-0000-0000F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02" name="Picture 11" hidden="1">
          <a:extLst>
            <a:ext uri="{FF2B5EF4-FFF2-40B4-BE49-F238E27FC236}">
              <a16:creationId xmlns:a16="http://schemas.microsoft.com/office/drawing/2014/main" id="{00000000-0008-0000-0000-0000F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04" name="Picture 11" hidden="1">
          <a:extLst>
            <a:ext uri="{FF2B5EF4-FFF2-40B4-BE49-F238E27FC236}">
              <a16:creationId xmlns:a16="http://schemas.microsoft.com/office/drawing/2014/main" id="{00000000-0008-0000-0000-0000F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06" name="Picture 11" hidden="1">
          <a:extLst>
            <a:ext uri="{FF2B5EF4-FFF2-40B4-BE49-F238E27FC236}">
              <a16:creationId xmlns:a16="http://schemas.microsoft.com/office/drawing/2014/main" id="{00000000-0008-0000-0000-0000F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08" name="Picture 11" hidden="1">
          <a:extLst>
            <a:ext uri="{FF2B5EF4-FFF2-40B4-BE49-F238E27FC236}">
              <a16:creationId xmlns:a16="http://schemas.microsoft.com/office/drawing/2014/main" id="{00000000-0008-0000-0000-00000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10" name="Picture 11" hidden="1">
          <a:extLst>
            <a:ext uri="{FF2B5EF4-FFF2-40B4-BE49-F238E27FC236}">
              <a16:creationId xmlns:a16="http://schemas.microsoft.com/office/drawing/2014/main" id="{00000000-0008-0000-0000-00000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12" name="Picture 11" hidden="1">
          <a:extLst>
            <a:ext uri="{FF2B5EF4-FFF2-40B4-BE49-F238E27FC236}">
              <a16:creationId xmlns:a16="http://schemas.microsoft.com/office/drawing/2014/main" id="{00000000-0008-0000-0000-00000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14" name="Picture 11" hidden="1">
          <a:extLst>
            <a:ext uri="{FF2B5EF4-FFF2-40B4-BE49-F238E27FC236}">
              <a16:creationId xmlns:a16="http://schemas.microsoft.com/office/drawing/2014/main" id="{00000000-0008-0000-0000-00000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16" name="Picture 11" hidden="1">
          <a:extLst>
            <a:ext uri="{FF2B5EF4-FFF2-40B4-BE49-F238E27FC236}">
              <a16:creationId xmlns:a16="http://schemas.microsoft.com/office/drawing/2014/main" id="{00000000-0008-0000-0000-00000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18" name="Picture 11" hidden="1">
          <a:extLst>
            <a:ext uri="{FF2B5EF4-FFF2-40B4-BE49-F238E27FC236}">
              <a16:creationId xmlns:a16="http://schemas.microsoft.com/office/drawing/2014/main" id="{00000000-0008-0000-0000-00000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20" name="Picture 11" hidden="1">
          <a:extLst>
            <a:ext uri="{FF2B5EF4-FFF2-40B4-BE49-F238E27FC236}">
              <a16:creationId xmlns:a16="http://schemas.microsoft.com/office/drawing/2014/main" id="{00000000-0008-0000-0000-00000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11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B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11022" name="Picture 11" hidden="1">
          <a:extLst>
            <a:ext uri="{FF2B5EF4-FFF2-40B4-BE49-F238E27FC236}">
              <a16:creationId xmlns:a16="http://schemas.microsoft.com/office/drawing/2014/main" id="{00000000-0008-0000-0000-00000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24" name="Picture 11" hidden="1">
          <a:extLst>
            <a:ext uri="{FF2B5EF4-FFF2-40B4-BE49-F238E27FC236}">
              <a16:creationId xmlns:a16="http://schemas.microsoft.com/office/drawing/2014/main" id="{00000000-0008-0000-0000-00001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26" name="Picture 11" hidden="1">
          <a:extLst>
            <a:ext uri="{FF2B5EF4-FFF2-40B4-BE49-F238E27FC236}">
              <a16:creationId xmlns:a16="http://schemas.microsoft.com/office/drawing/2014/main" id="{00000000-0008-0000-0000-00001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28" name="Picture 11" hidden="1">
          <a:extLst>
            <a:ext uri="{FF2B5EF4-FFF2-40B4-BE49-F238E27FC236}">
              <a16:creationId xmlns:a16="http://schemas.microsoft.com/office/drawing/2014/main" id="{00000000-0008-0000-0000-00001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30" name="Picture 11029" hidden="1">
          <a:extLst>
            <a:ext uri="{FF2B5EF4-FFF2-40B4-BE49-F238E27FC236}">
              <a16:creationId xmlns:a16="http://schemas.microsoft.com/office/drawing/2014/main" id="{00000000-0008-0000-0000-00001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32" name="Picture 11" hidden="1">
          <a:extLst>
            <a:ext uri="{FF2B5EF4-FFF2-40B4-BE49-F238E27FC236}">
              <a16:creationId xmlns:a16="http://schemas.microsoft.com/office/drawing/2014/main" id="{00000000-0008-0000-0000-00001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34" name="Picture 11" hidden="1">
          <a:extLst>
            <a:ext uri="{FF2B5EF4-FFF2-40B4-BE49-F238E27FC236}">
              <a16:creationId xmlns:a16="http://schemas.microsoft.com/office/drawing/2014/main" id="{00000000-0008-0000-0000-00001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36" name="Picture 11" hidden="1">
          <a:extLst>
            <a:ext uri="{FF2B5EF4-FFF2-40B4-BE49-F238E27FC236}">
              <a16:creationId xmlns:a16="http://schemas.microsoft.com/office/drawing/2014/main" id="{00000000-0008-0000-0000-00001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38" name="Picture 11" hidden="1">
          <a:extLst>
            <a:ext uri="{FF2B5EF4-FFF2-40B4-BE49-F238E27FC236}">
              <a16:creationId xmlns:a16="http://schemas.microsoft.com/office/drawing/2014/main" id="{00000000-0008-0000-0000-00001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40" name="Picture 11" hidden="1">
          <a:extLst>
            <a:ext uri="{FF2B5EF4-FFF2-40B4-BE49-F238E27FC236}">
              <a16:creationId xmlns:a16="http://schemas.microsoft.com/office/drawing/2014/main" id="{00000000-0008-0000-0000-00002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42" name="Picture 11" hidden="1">
          <a:extLst>
            <a:ext uri="{FF2B5EF4-FFF2-40B4-BE49-F238E27FC236}">
              <a16:creationId xmlns:a16="http://schemas.microsoft.com/office/drawing/2014/main" id="{00000000-0008-0000-0000-00002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44" name="Picture 11" hidden="1">
          <a:extLst>
            <a:ext uri="{FF2B5EF4-FFF2-40B4-BE49-F238E27FC236}">
              <a16:creationId xmlns:a16="http://schemas.microsoft.com/office/drawing/2014/main" id="{00000000-0008-0000-0000-00002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46" name="Picture 11" hidden="1">
          <a:extLst>
            <a:ext uri="{FF2B5EF4-FFF2-40B4-BE49-F238E27FC236}">
              <a16:creationId xmlns:a16="http://schemas.microsoft.com/office/drawing/2014/main" id="{00000000-0008-0000-0000-00002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48" name="Picture 11" hidden="1">
          <a:extLst>
            <a:ext uri="{FF2B5EF4-FFF2-40B4-BE49-F238E27FC236}">
              <a16:creationId xmlns:a16="http://schemas.microsoft.com/office/drawing/2014/main" id="{00000000-0008-0000-0000-00002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50" name="Picture 11" hidden="1">
          <a:extLst>
            <a:ext uri="{FF2B5EF4-FFF2-40B4-BE49-F238E27FC236}">
              <a16:creationId xmlns:a16="http://schemas.microsoft.com/office/drawing/2014/main" id="{00000000-0008-0000-0000-00002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52" name="Picture 11" hidden="1">
          <a:extLst>
            <a:ext uri="{FF2B5EF4-FFF2-40B4-BE49-F238E27FC236}">
              <a16:creationId xmlns:a16="http://schemas.microsoft.com/office/drawing/2014/main" id="{00000000-0008-0000-0000-00002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54" name="Picture 11" hidden="1">
          <a:extLst>
            <a:ext uri="{FF2B5EF4-FFF2-40B4-BE49-F238E27FC236}">
              <a16:creationId xmlns:a16="http://schemas.microsoft.com/office/drawing/2014/main" id="{00000000-0008-0000-0000-00002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56" name="Picture 11" hidden="1">
          <a:extLst>
            <a:ext uri="{FF2B5EF4-FFF2-40B4-BE49-F238E27FC236}">
              <a16:creationId xmlns:a16="http://schemas.microsoft.com/office/drawing/2014/main" id="{00000000-0008-0000-0000-00003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58" name="Picture 11" hidden="1">
          <a:extLst>
            <a:ext uri="{FF2B5EF4-FFF2-40B4-BE49-F238E27FC236}">
              <a16:creationId xmlns:a16="http://schemas.microsoft.com/office/drawing/2014/main" id="{00000000-0008-0000-0000-00003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60" name="Picture 11" hidden="1">
          <a:extLst>
            <a:ext uri="{FF2B5EF4-FFF2-40B4-BE49-F238E27FC236}">
              <a16:creationId xmlns:a16="http://schemas.microsoft.com/office/drawing/2014/main" id="{00000000-0008-0000-0000-00003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62" name="Picture 11" hidden="1">
          <a:extLst>
            <a:ext uri="{FF2B5EF4-FFF2-40B4-BE49-F238E27FC236}">
              <a16:creationId xmlns:a16="http://schemas.microsoft.com/office/drawing/2014/main" id="{00000000-0008-0000-0000-00003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64" name="Picture 11" hidden="1">
          <a:extLst>
            <a:ext uri="{FF2B5EF4-FFF2-40B4-BE49-F238E27FC236}">
              <a16:creationId xmlns:a16="http://schemas.microsoft.com/office/drawing/2014/main" id="{00000000-0008-0000-0000-00003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66" name="Picture 11" hidden="1">
          <a:extLst>
            <a:ext uri="{FF2B5EF4-FFF2-40B4-BE49-F238E27FC236}">
              <a16:creationId xmlns:a16="http://schemas.microsoft.com/office/drawing/2014/main" id="{00000000-0008-0000-0000-00003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68" name="Picture 11" hidden="1">
          <a:extLst>
            <a:ext uri="{FF2B5EF4-FFF2-40B4-BE49-F238E27FC236}">
              <a16:creationId xmlns:a16="http://schemas.microsoft.com/office/drawing/2014/main" id="{00000000-0008-0000-0000-00003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70" name="Picture 11" hidden="1">
          <a:extLst>
            <a:ext uri="{FF2B5EF4-FFF2-40B4-BE49-F238E27FC236}">
              <a16:creationId xmlns:a16="http://schemas.microsoft.com/office/drawing/2014/main" id="{00000000-0008-0000-0000-00003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72" name="Picture 11" hidden="1">
          <a:extLst>
            <a:ext uri="{FF2B5EF4-FFF2-40B4-BE49-F238E27FC236}">
              <a16:creationId xmlns:a16="http://schemas.microsoft.com/office/drawing/2014/main" id="{00000000-0008-0000-0000-00004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74" name="Picture 11" hidden="1">
          <a:extLst>
            <a:ext uri="{FF2B5EF4-FFF2-40B4-BE49-F238E27FC236}">
              <a16:creationId xmlns:a16="http://schemas.microsoft.com/office/drawing/2014/main" id="{00000000-0008-0000-0000-00004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76" name="Picture 11" hidden="1">
          <a:extLst>
            <a:ext uri="{FF2B5EF4-FFF2-40B4-BE49-F238E27FC236}">
              <a16:creationId xmlns:a16="http://schemas.microsoft.com/office/drawing/2014/main" id="{00000000-0008-0000-0000-00004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78" name="Picture 11" hidden="1">
          <a:extLst>
            <a:ext uri="{FF2B5EF4-FFF2-40B4-BE49-F238E27FC236}">
              <a16:creationId xmlns:a16="http://schemas.microsoft.com/office/drawing/2014/main" id="{00000000-0008-0000-0000-00004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80" name="Picture 11" hidden="1">
          <a:extLst>
            <a:ext uri="{FF2B5EF4-FFF2-40B4-BE49-F238E27FC236}">
              <a16:creationId xmlns:a16="http://schemas.microsoft.com/office/drawing/2014/main" id="{00000000-0008-0000-0000-00004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82" name="Picture 11" hidden="1">
          <a:extLst>
            <a:ext uri="{FF2B5EF4-FFF2-40B4-BE49-F238E27FC236}">
              <a16:creationId xmlns:a16="http://schemas.microsoft.com/office/drawing/2014/main" id="{00000000-0008-0000-0000-00004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84" name="Picture 11" hidden="1">
          <a:extLst>
            <a:ext uri="{FF2B5EF4-FFF2-40B4-BE49-F238E27FC236}">
              <a16:creationId xmlns:a16="http://schemas.microsoft.com/office/drawing/2014/main" id="{00000000-0008-0000-0000-00004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86" name="Picture 11" hidden="1">
          <a:extLst>
            <a:ext uri="{FF2B5EF4-FFF2-40B4-BE49-F238E27FC236}">
              <a16:creationId xmlns:a16="http://schemas.microsoft.com/office/drawing/2014/main" id="{00000000-0008-0000-0000-00004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88" name="Picture 11" hidden="1">
          <a:extLst>
            <a:ext uri="{FF2B5EF4-FFF2-40B4-BE49-F238E27FC236}">
              <a16:creationId xmlns:a16="http://schemas.microsoft.com/office/drawing/2014/main" id="{00000000-0008-0000-0000-00005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90" name="Picture 11" hidden="1">
          <a:extLst>
            <a:ext uri="{FF2B5EF4-FFF2-40B4-BE49-F238E27FC236}">
              <a16:creationId xmlns:a16="http://schemas.microsoft.com/office/drawing/2014/main" id="{00000000-0008-0000-0000-00005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92" name="Picture 11" hidden="1">
          <a:extLst>
            <a:ext uri="{FF2B5EF4-FFF2-40B4-BE49-F238E27FC236}">
              <a16:creationId xmlns:a16="http://schemas.microsoft.com/office/drawing/2014/main" id="{00000000-0008-0000-0000-00005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94" name="Picture 11" hidden="1">
          <a:extLst>
            <a:ext uri="{FF2B5EF4-FFF2-40B4-BE49-F238E27FC236}">
              <a16:creationId xmlns:a16="http://schemas.microsoft.com/office/drawing/2014/main" id="{00000000-0008-0000-0000-00005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96" name="Picture 11" hidden="1">
          <a:extLst>
            <a:ext uri="{FF2B5EF4-FFF2-40B4-BE49-F238E27FC236}">
              <a16:creationId xmlns:a16="http://schemas.microsoft.com/office/drawing/2014/main" id="{00000000-0008-0000-0000-00005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98" name="Picture 11" hidden="1">
          <a:extLst>
            <a:ext uri="{FF2B5EF4-FFF2-40B4-BE49-F238E27FC236}">
              <a16:creationId xmlns:a16="http://schemas.microsoft.com/office/drawing/2014/main" id="{00000000-0008-0000-0000-00005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00" name="Picture 11" hidden="1">
          <a:extLst>
            <a:ext uri="{FF2B5EF4-FFF2-40B4-BE49-F238E27FC236}">
              <a16:creationId xmlns:a16="http://schemas.microsoft.com/office/drawing/2014/main" id="{00000000-0008-0000-0000-00005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02" name="Picture 11" hidden="1">
          <a:extLst>
            <a:ext uri="{FF2B5EF4-FFF2-40B4-BE49-F238E27FC236}">
              <a16:creationId xmlns:a16="http://schemas.microsoft.com/office/drawing/2014/main" id="{00000000-0008-0000-0000-00005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04" name="Picture 11" hidden="1">
          <a:extLst>
            <a:ext uri="{FF2B5EF4-FFF2-40B4-BE49-F238E27FC236}">
              <a16:creationId xmlns:a16="http://schemas.microsoft.com/office/drawing/2014/main" id="{00000000-0008-0000-0000-00006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06" name="Picture 11" hidden="1">
          <a:extLst>
            <a:ext uri="{FF2B5EF4-FFF2-40B4-BE49-F238E27FC236}">
              <a16:creationId xmlns:a16="http://schemas.microsoft.com/office/drawing/2014/main" id="{00000000-0008-0000-0000-00006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08" name="Picture 11" hidden="1">
          <a:extLst>
            <a:ext uri="{FF2B5EF4-FFF2-40B4-BE49-F238E27FC236}">
              <a16:creationId xmlns:a16="http://schemas.microsoft.com/office/drawing/2014/main" id="{00000000-0008-0000-0000-00006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10" name="Picture 11" hidden="1">
          <a:extLst>
            <a:ext uri="{FF2B5EF4-FFF2-40B4-BE49-F238E27FC236}">
              <a16:creationId xmlns:a16="http://schemas.microsoft.com/office/drawing/2014/main" id="{00000000-0008-0000-0000-00006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12" name="Picture 11" hidden="1">
          <a:extLst>
            <a:ext uri="{FF2B5EF4-FFF2-40B4-BE49-F238E27FC236}">
              <a16:creationId xmlns:a16="http://schemas.microsoft.com/office/drawing/2014/main" id="{00000000-0008-0000-0000-00006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14" name="Picture 11" hidden="1">
          <a:extLst>
            <a:ext uri="{FF2B5EF4-FFF2-40B4-BE49-F238E27FC236}">
              <a16:creationId xmlns:a16="http://schemas.microsoft.com/office/drawing/2014/main" id="{00000000-0008-0000-0000-00006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16" name="Picture 11" hidden="1">
          <a:extLst>
            <a:ext uri="{FF2B5EF4-FFF2-40B4-BE49-F238E27FC236}">
              <a16:creationId xmlns:a16="http://schemas.microsoft.com/office/drawing/2014/main" id="{00000000-0008-0000-0000-00006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18" name="Picture 11" hidden="1">
          <a:extLst>
            <a:ext uri="{FF2B5EF4-FFF2-40B4-BE49-F238E27FC236}">
              <a16:creationId xmlns:a16="http://schemas.microsoft.com/office/drawing/2014/main" id="{00000000-0008-0000-0000-00006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20" name="Picture 11" hidden="1">
          <a:extLst>
            <a:ext uri="{FF2B5EF4-FFF2-40B4-BE49-F238E27FC236}">
              <a16:creationId xmlns:a16="http://schemas.microsoft.com/office/drawing/2014/main" id="{00000000-0008-0000-0000-00007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22" name="Picture 11" hidden="1">
          <a:extLst>
            <a:ext uri="{FF2B5EF4-FFF2-40B4-BE49-F238E27FC236}">
              <a16:creationId xmlns:a16="http://schemas.microsoft.com/office/drawing/2014/main" id="{00000000-0008-0000-0000-00007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24" name="Picture 11" hidden="1">
          <a:extLst>
            <a:ext uri="{FF2B5EF4-FFF2-40B4-BE49-F238E27FC236}">
              <a16:creationId xmlns:a16="http://schemas.microsoft.com/office/drawing/2014/main" id="{00000000-0008-0000-0000-00007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26" name="Picture 11" hidden="1">
          <a:extLst>
            <a:ext uri="{FF2B5EF4-FFF2-40B4-BE49-F238E27FC236}">
              <a16:creationId xmlns:a16="http://schemas.microsoft.com/office/drawing/2014/main" id="{00000000-0008-0000-0000-00007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28" name="Picture 11" hidden="1">
          <a:extLst>
            <a:ext uri="{FF2B5EF4-FFF2-40B4-BE49-F238E27FC236}">
              <a16:creationId xmlns:a16="http://schemas.microsoft.com/office/drawing/2014/main" id="{00000000-0008-0000-0000-00007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30" name="Picture 11" hidden="1">
          <a:extLst>
            <a:ext uri="{FF2B5EF4-FFF2-40B4-BE49-F238E27FC236}">
              <a16:creationId xmlns:a16="http://schemas.microsoft.com/office/drawing/2014/main" id="{00000000-0008-0000-0000-00007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32" name="Picture 11" hidden="1">
          <a:extLst>
            <a:ext uri="{FF2B5EF4-FFF2-40B4-BE49-F238E27FC236}">
              <a16:creationId xmlns:a16="http://schemas.microsoft.com/office/drawing/2014/main" id="{00000000-0008-0000-0000-00007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34" name="Picture 11" hidden="1">
          <a:extLst>
            <a:ext uri="{FF2B5EF4-FFF2-40B4-BE49-F238E27FC236}">
              <a16:creationId xmlns:a16="http://schemas.microsoft.com/office/drawing/2014/main" id="{00000000-0008-0000-0000-00007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36" name="Picture 11" hidden="1">
          <a:extLst>
            <a:ext uri="{FF2B5EF4-FFF2-40B4-BE49-F238E27FC236}">
              <a16:creationId xmlns:a16="http://schemas.microsoft.com/office/drawing/2014/main" id="{00000000-0008-0000-0000-00008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38" name="Picture 11137" hidden="1">
          <a:extLst>
            <a:ext uri="{FF2B5EF4-FFF2-40B4-BE49-F238E27FC236}">
              <a16:creationId xmlns:a16="http://schemas.microsoft.com/office/drawing/2014/main" id="{00000000-0008-0000-0000-00008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40" name="Picture 11" hidden="1">
          <a:extLst>
            <a:ext uri="{FF2B5EF4-FFF2-40B4-BE49-F238E27FC236}">
              <a16:creationId xmlns:a16="http://schemas.microsoft.com/office/drawing/2014/main" id="{00000000-0008-0000-0000-00008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42" name="Picture 11" hidden="1">
          <a:extLst>
            <a:ext uri="{FF2B5EF4-FFF2-40B4-BE49-F238E27FC236}">
              <a16:creationId xmlns:a16="http://schemas.microsoft.com/office/drawing/2014/main" id="{00000000-0008-0000-0000-00008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44" name="Picture 11" hidden="1">
          <a:extLst>
            <a:ext uri="{FF2B5EF4-FFF2-40B4-BE49-F238E27FC236}">
              <a16:creationId xmlns:a16="http://schemas.microsoft.com/office/drawing/2014/main" id="{00000000-0008-0000-0000-00008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46" name="Picture 11" hidden="1">
          <a:extLst>
            <a:ext uri="{FF2B5EF4-FFF2-40B4-BE49-F238E27FC236}">
              <a16:creationId xmlns:a16="http://schemas.microsoft.com/office/drawing/2014/main" id="{00000000-0008-0000-0000-00008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48" name="Picture 11" hidden="1">
          <a:extLst>
            <a:ext uri="{FF2B5EF4-FFF2-40B4-BE49-F238E27FC236}">
              <a16:creationId xmlns:a16="http://schemas.microsoft.com/office/drawing/2014/main" id="{00000000-0008-0000-0000-00008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50" name="Picture 11" hidden="1">
          <a:extLst>
            <a:ext uri="{FF2B5EF4-FFF2-40B4-BE49-F238E27FC236}">
              <a16:creationId xmlns:a16="http://schemas.microsoft.com/office/drawing/2014/main" id="{00000000-0008-0000-0000-00008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52" name="Picture 11" hidden="1">
          <a:extLst>
            <a:ext uri="{FF2B5EF4-FFF2-40B4-BE49-F238E27FC236}">
              <a16:creationId xmlns:a16="http://schemas.microsoft.com/office/drawing/2014/main" id="{00000000-0008-0000-0000-00009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54" name="Picture 11" hidden="1">
          <a:extLst>
            <a:ext uri="{FF2B5EF4-FFF2-40B4-BE49-F238E27FC236}">
              <a16:creationId xmlns:a16="http://schemas.microsoft.com/office/drawing/2014/main" id="{00000000-0008-0000-0000-00009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56" name="Picture 11" hidden="1">
          <a:extLst>
            <a:ext uri="{FF2B5EF4-FFF2-40B4-BE49-F238E27FC236}">
              <a16:creationId xmlns:a16="http://schemas.microsoft.com/office/drawing/2014/main" id="{00000000-0008-0000-0000-00009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58" name="Picture 11" hidden="1">
          <a:extLst>
            <a:ext uri="{FF2B5EF4-FFF2-40B4-BE49-F238E27FC236}">
              <a16:creationId xmlns:a16="http://schemas.microsoft.com/office/drawing/2014/main" id="{00000000-0008-0000-0000-00009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60" name="Picture 11" hidden="1">
          <a:extLst>
            <a:ext uri="{FF2B5EF4-FFF2-40B4-BE49-F238E27FC236}">
              <a16:creationId xmlns:a16="http://schemas.microsoft.com/office/drawing/2014/main" id="{00000000-0008-0000-0000-00009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62" name="Picture 11" hidden="1">
          <a:extLst>
            <a:ext uri="{FF2B5EF4-FFF2-40B4-BE49-F238E27FC236}">
              <a16:creationId xmlns:a16="http://schemas.microsoft.com/office/drawing/2014/main" id="{00000000-0008-0000-0000-00009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64" name="Picture 11" hidden="1">
          <a:extLst>
            <a:ext uri="{FF2B5EF4-FFF2-40B4-BE49-F238E27FC236}">
              <a16:creationId xmlns:a16="http://schemas.microsoft.com/office/drawing/2014/main" id="{00000000-0008-0000-0000-00009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66" name="Picture 11" hidden="1">
          <a:extLst>
            <a:ext uri="{FF2B5EF4-FFF2-40B4-BE49-F238E27FC236}">
              <a16:creationId xmlns:a16="http://schemas.microsoft.com/office/drawing/2014/main" id="{00000000-0008-0000-0000-00009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68" name="Picture 11" hidden="1">
          <a:extLst>
            <a:ext uri="{FF2B5EF4-FFF2-40B4-BE49-F238E27FC236}">
              <a16:creationId xmlns:a16="http://schemas.microsoft.com/office/drawing/2014/main" id="{00000000-0008-0000-0000-0000A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70" name="Picture 11" hidden="1">
          <a:extLst>
            <a:ext uri="{FF2B5EF4-FFF2-40B4-BE49-F238E27FC236}">
              <a16:creationId xmlns:a16="http://schemas.microsoft.com/office/drawing/2014/main" id="{00000000-0008-0000-0000-0000A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72" name="Picture 11" hidden="1">
          <a:extLst>
            <a:ext uri="{FF2B5EF4-FFF2-40B4-BE49-F238E27FC236}">
              <a16:creationId xmlns:a16="http://schemas.microsoft.com/office/drawing/2014/main" id="{00000000-0008-0000-0000-0000A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74" name="Picture 11" hidden="1">
          <a:extLst>
            <a:ext uri="{FF2B5EF4-FFF2-40B4-BE49-F238E27FC236}">
              <a16:creationId xmlns:a16="http://schemas.microsoft.com/office/drawing/2014/main" id="{00000000-0008-0000-0000-0000A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76" name="Picture 11" hidden="1">
          <a:extLst>
            <a:ext uri="{FF2B5EF4-FFF2-40B4-BE49-F238E27FC236}">
              <a16:creationId xmlns:a16="http://schemas.microsoft.com/office/drawing/2014/main" id="{00000000-0008-0000-0000-0000A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78" name="Picture 11" hidden="1">
          <a:extLst>
            <a:ext uri="{FF2B5EF4-FFF2-40B4-BE49-F238E27FC236}">
              <a16:creationId xmlns:a16="http://schemas.microsoft.com/office/drawing/2014/main" id="{00000000-0008-0000-0000-0000A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80" name="Picture 11" hidden="1">
          <a:extLst>
            <a:ext uri="{FF2B5EF4-FFF2-40B4-BE49-F238E27FC236}">
              <a16:creationId xmlns:a16="http://schemas.microsoft.com/office/drawing/2014/main" id="{00000000-0008-0000-0000-0000A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82" name="Picture 11" hidden="1">
          <a:extLst>
            <a:ext uri="{FF2B5EF4-FFF2-40B4-BE49-F238E27FC236}">
              <a16:creationId xmlns:a16="http://schemas.microsoft.com/office/drawing/2014/main" id="{00000000-0008-0000-0000-0000A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84" name="Picture 11" hidden="1">
          <a:extLst>
            <a:ext uri="{FF2B5EF4-FFF2-40B4-BE49-F238E27FC236}">
              <a16:creationId xmlns:a16="http://schemas.microsoft.com/office/drawing/2014/main" id="{00000000-0008-0000-0000-0000B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86" name="Picture 11" hidden="1">
          <a:extLst>
            <a:ext uri="{FF2B5EF4-FFF2-40B4-BE49-F238E27FC236}">
              <a16:creationId xmlns:a16="http://schemas.microsoft.com/office/drawing/2014/main" id="{00000000-0008-0000-0000-0000B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88" name="Picture 11" hidden="1">
          <a:extLst>
            <a:ext uri="{FF2B5EF4-FFF2-40B4-BE49-F238E27FC236}">
              <a16:creationId xmlns:a16="http://schemas.microsoft.com/office/drawing/2014/main" id="{00000000-0008-0000-0000-0000B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90" name="Picture 11" hidden="1">
          <a:extLst>
            <a:ext uri="{FF2B5EF4-FFF2-40B4-BE49-F238E27FC236}">
              <a16:creationId xmlns:a16="http://schemas.microsoft.com/office/drawing/2014/main" id="{00000000-0008-0000-0000-0000B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92" name="Picture 11" hidden="1">
          <a:extLst>
            <a:ext uri="{FF2B5EF4-FFF2-40B4-BE49-F238E27FC236}">
              <a16:creationId xmlns:a16="http://schemas.microsoft.com/office/drawing/2014/main" id="{00000000-0008-0000-0000-0000B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94" name="Picture 11" hidden="1">
          <a:extLst>
            <a:ext uri="{FF2B5EF4-FFF2-40B4-BE49-F238E27FC236}">
              <a16:creationId xmlns:a16="http://schemas.microsoft.com/office/drawing/2014/main" id="{00000000-0008-0000-0000-0000B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96" name="Picture 11" hidden="1">
          <a:extLst>
            <a:ext uri="{FF2B5EF4-FFF2-40B4-BE49-F238E27FC236}">
              <a16:creationId xmlns:a16="http://schemas.microsoft.com/office/drawing/2014/main" id="{00000000-0008-0000-0000-0000B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98" name="Picture 11" hidden="1">
          <a:extLst>
            <a:ext uri="{FF2B5EF4-FFF2-40B4-BE49-F238E27FC236}">
              <a16:creationId xmlns:a16="http://schemas.microsoft.com/office/drawing/2014/main" id="{00000000-0008-0000-0000-0000B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00" name="Picture 11" hidden="1">
          <a:extLst>
            <a:ext uri="{FF2B5EF4-FFF2-40B4-BE49-F238E27FC236}">
              <a16:creationId xmlns:a16="http://schemas.microsoft.com/office/drawing/2014/main" id="{00000000-0008-0000-0000-0000C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02" name="Picture 11" hidden="1">
          <a:extLst>
            <a:ext uri="{FF2B5EF4-FFF2-40B4-BE49-F238E27FC236}">
              <a16:creationId xmlns:a16="http://schemas.microsoft.com/office/drawing/2014/main" id="{00000000-0008-0000-0000-0000C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04" name="Picture 11" hidden="1">
          <a:extLst>
            <a:ext uri="{FF2B5EF4-FFF2-40B4-BE49-F238E27FC236}">
              <a16:creationId xmlns:a16="http://schemas.microsoft.com/office/drawing/2014/main" id="{00000000-0008-0000-0000-0000C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06" name="Picture 11" hidden="1">
          <a:extLst>
            <a:ext uri="{FF2B5EF4-FFF2-40B4-BE49-F238E27FC236}">
              <a16:creationId xmlns:a16="http://schemas.microsoft.com/office/drawing/2014/main" id="{00000000-0008-0000-0000-0000C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08" name="Picture 11" hidden="1">
          <a:extLst>
            <a:ext uri="{FF2B5EF4-FFF2-40B4-BE49-F238E27FC236}">
              <a16:creationId xmlns:a16="http://schemas.microsoft.com/office/drawing/2014/main" id="{00000000-0008-0000-0000-0000C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10" name="Picture 11" hidden="1">
          <a:extLst>
            <a:ext uri="{FF2B5EF4-FFF2-40B4-BE49-F238E27FC236}">
              <a16:creationId xmlns:a16="http://schemas.microsoft.com/office/drawing/2014/main" id="{00000000-0008-0000-0000-0000C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12" name="Picture 11" hidden="1">
          <a:extLst>
            <a:ext uri="{FF2B5EF4-FFF2-40B4-BE49-F238E27FC236}">
              <a16:creationId xmlns:a16="http://schemas.microsoft.com/office/drawing/2014/main" id="{00000000-0008-0000-0000-0000C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14" name="Picture 11" hidden="1">
          <a:extLst>
            <a:ext uri="{FF2B5EF4-FFF2-40B4-BE49-F238E27FC236}">
              <a16:creationId xmlns:a16="http://schemas.microsoft.com/office/drawing/2014/main" id="{00000000-0008-0000-0000-0000C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16" name="Picture 11" hidden="1">
          <a:extLst>
            <a:ext uri="{FF2B5EF4-FFF2-40B4-BE49-F238E27FC236}">
              <a16:creationId xmlns:a16="http://schemas.microsoft.com/office/drawing/2014/main" id="{00000000-0008-0000-0000-0000D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18" name="Picture 11" hidden="1">
          <a:extLst>
            <a:ext uri="{FF2B5EF4-FFF2-40B4-BE49-F238E27FC236}">
              <a16:creationId xmlns:a16="http://schemas.microsoft.com/office/drawing/2014/main" id="{00000000-0008-0000-0000-0000D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20" name="Picture 11" hidden="1">
          <a:extLst>
            <a:ext uri="{FF2B5EF4-FFF2-40B4-BE49-F238E27FC236}">
              <a16:creationId xmlns:a16="http://schemas.microsoft.com/office/drawing/2014/main" id="{00000000-0008-0000-0000-0000D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22" name="Picture 11" hidden="1">
          <a:extLst>
            <a:ext uri="{FF2B5EF4-FFF2-40B4-BE49-F238E27FC236}">
              <a16:creationId xmlns:a16="http://schemas.microsoft.com/office/drawing/2014/main" id="{00000000-0008-0000-0000-0000D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24" name="Picture 11" hidden="1">
          <a:extLst>
            <a:ext uri="{FF2B5EF4-FFF2-40B4-BE49-F238E27FC236}">
              <a16:creationId xmlns:a16="http://schemas.microsoft.com/office/drawing/2014/main" id="{00000000-0008-0000-0000-0000D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26" name="Picture 11" hidden="1">
          <a:extLst>
            <a:ext uri="{FF2B5EF4-FFF2-40B4-BE49-F238E27FC236}">
              <a16:creationId xmlns:a16="http://schemas.microsoft.com/office/drawing/2014/main" id="{00000000-0008-0000-0000-0000D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28" name="Picture 11" hidden="1">
          <a:extLst>
            <a:ext uri="{FF2B5EF4-FFF2-40B4-BE49-F238E27FC236}">
              <a16:creationId xmlns:a16="http://schemas.microsoft.com/office/drawing/2014/main" id="{00000000-0008-0000-0000-0000D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30" name="Picture 11" hidden="1">
          <a:extLst>
            <a:ext uri="{FF2B5EF4-FFF2-40B4-BE49-F238E27FC236}">
              <a16:creationId xmlns:a16="http://schemas.microsoft.com/office/drawing/2014/main" id="{00000000-0008-0000-0000-0000D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32" name="Picture 11" hidden="1">
          <a:extLst>
            <a:ext uri="{FF2B5EF4-FFF2-40B4-BE49-F238E27FC236}">
              <a16:creationId xmlns:a16="http://schemas.microsoft.com/office/drawing/2014/main" id="{00000000-0008-0000-0000-0000E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34" name="Picture 11" hidden="1">
          <a:extLst>
            <a:ext uri="{FF2B5EF4-FFF2-40B4-BE49-F238E27FC236}">
              <a16:creationId xmlns:a16="http://schemas.microsoft.com/office/drawing/2014/main" id="{00000000-0008-0000-0000-0000E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36" name="Picture 11" hidden="1">
          <a:extLst>
            <a:ext uri="{FF2B5EF4-FFF2-40B4-BE49-F238E27FC236}">
              <a16:creationId xmlns:a16="http://schemas.microsoft.com/office/drawing/2014/main" id="{00000000-0008-0000-0000-0000E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38" name="Picture 11" hidden="1">
          <a:extLst>
            <a:ext uri="{FF2B5EF4-FFF2-40B4-BE49-F238E27FC236}">
              <a16:creationId xmlns:a16="http://schemas.microsoft.com/office/drawing/2014/main" id="{00000000-0008-0000-0000-0000E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40" name="Picture 11" hidden="1">
          <a:extLst>
            <a:ext uri="{FF2B5EF4-FFF2-40B4-BE49-F238E27FC236}">
              <a16:creationId xmlns:a16="http://schemas.microsoft.com/office/drawing/2014/main" id="{00000000-0008-0000-0000-0000E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42" name="Picture 11" hidden="1">
          <a:extLst>
            <a:ext uri="{FF2B5EF4-FFF2-40B4-BE49-F238E27FC236}">
              <a16:creationId xmlns:a16="http://schemas.microsoft.com/office/drawing/2014/main" id="{00000000-0008-0000-0000-0000E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44" name="Picture 11" hidden="1">
          <a:extLst>
            <a:ext uri="{FF2B5EF4-FFF2-40B4-BE49-F238E27FC236}">
              <a16:creationId xmlns:a16="http://schemas.microsoft.com/office/drawing/2014/main" id="{00000000-0008-0000-0000-0000E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46" name="Picture 11245" hidden="1">
          <a:extLst>
            <a:ext uri="{FF2B5EF4-FFF2-40B4-BE49-F238E27FC236}">
              <a16:creationId xmlns:a16="http://schemas.microsoft.com/office/drawing/2014/main" id="{00000000-0008-0000-0000-0000E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48" name="Picture 11" hidden="1">
          <a:extLst>
            <a:ext uri="{FF2B5EF4-FFF2-40B4-BE49-F238E27FC236}">
              <a16:creationId xmlns:a16="http://schemas.microsoft.com/office/drawing/2014/main" id="{00000000-0008-0000-0000-0000F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50" name="Picture 11" hidden="1">
          <a:extLst>
            <a:ext uri="{FF2B5EF4-FFF2-40B4-BE49-F238E27FC236}">
              <a16:creationId xmlns:a16="http://schemas.microsoft.com/office/drawing/2014/main" id="{00000000-0008-0000-0000-0000F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52" name="Picture 11" hidden="1">
          <a:extLst>
            <a:ext uri="{FF2B5EF4-FFF2-40B4-BE49-F238E27FC236}">
              <a16:creationId xmlns:a16="http://schemas.microsoft.com/office/drawing/2014/main" id="{00000000-0008-0000-0000-0000F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54" name="Picture 11" hidden="1">
          <a:extLst>
            <a:ext uri="{FF2B5EF4-FFF2-40B4-BE49-F238E27FC236}">
              <a16:creationId xmlns:a16="http://schemas.microsoft.com/office/drawing/2014/main" id="{00000000-0008-0000-0000-0000F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56" name="Picture 11" hidden="1">
          <a:extLst>
            <a:ext uri="{FF2B5EF4-FFF2-40B4-BE49-F238E27FC236}">
              <a16:creationId xmlns:a16="http://schemas.microsoft.com/office/drawing/2014/main" id="{00000000-0008-0000-0000-0000F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58" name="Picture 11" hidden="1">
          <a:extLst>
            <a:ext uri="{FF2B5EF4-FFF2-40B4-BE49-F238E27FC236}">
              <a16:creationId xmlns:a16="http://schemas.microsoft.com/office/drawing/2014/main" id="{00000000-0008-0000-0000-0000F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60" name="Picture 11" hidden="1">
          <a:extLst>
            <a:ext uri="{FF2B5EF4-FFF2-40B4-BE49-F238E27FC236}">
              <a16:creationId xmlns:a16="http://schemas.microsoft.com/office/drawing/2014/main" id="{00000000-0008-0000-0000-0000F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62" name="Picture 11" hidden="1">
          <a:extLst>
            <a:ext uri="{FF2B5EF4-FFF2-40B4-BE49-F238E27FC236}">
              <a16:creationId xmlns:a16="http://schemas.microsoft.com/office/drawing/2014/main" id="{00000000-0008-0000-0000-0000F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64" name="Picture 11" hidden="1">
          <a:extLst>
            <a:ext uri="{FF2B5EF4-FFF2-40B4-BE49-F238E27FC236}">
              <a16:creationId xmlns:a16="http://schemas.microsoft.com/office/drawing/2014/main" id="{00000000-0008-0000-0000-00000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66" name="Picture 11" hidden="1">
          <a:extLst>
            <a:ext uri="{FF2B5EF4-FFF2-40B4-BE49-F238E27FC236}">
              <a16:creationId xmlns:a16="http://schemas.microsoft.com/office/drawing/2014/main" id="{00000000-0008-0000-0000-00000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68" name="Picture 11" hidden="1">
          <a:extLst>
            <a:ext uri="{FF2B5EF4-FFF2-40B4-BE49-F238E27FC236}">
              <a16:creationId xmlns:a16="http://schemas.microsoft.com/office/drawing/2014/main" id="{00000000-0008-0000-0000-00000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70" name="Picture 11" hidden="1">
          <a:extLst>
            <a:ext uri="{FF2B5EF4-FFF2-40B4-BE49-F238E27FC236}">
              <a16:creationId xmlns:a16="http://schemas.microsoft.com/office/drawing/2014/main" id="{00000000-0008-0000-0000-00000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72" name="Picture 11" hidden="1">
          <a:extLst>
            <a:ext uri="{FF2B5EF4-FFF2-40B4-BE49-F238E27FC236}">
              <a16:creationId xmlns:a16="http://schemas.microsoft.com/office/drawing/2014/main" id="{00000000-0008-0000-0000-00000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74" name="Picture 11" hidden="1">
          <a:extLst>
            <a:ext uri="{FF2B5EF4-FFF2-40B4-BE49-F238E27FC236}">
              <a16:creationId xmlns:a16="http://schemas.microsoft.com/office/drawing/2014/main" id="{00000000-0008-0000-0000-00000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76" name="Picture 11" hidden="1">
          <a:extLst>
            <a:ext uri="{FF2B5EF4-FFF2-40B4-BE49-F238E27FC236}">
              <a16:creationId xmlns:a16="http://schemas.microsoft.com/office/drawing/2014/main" id="{00000000-0008-0000-0000-00000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78" name="Picture 11" hidden="1">
          <a:extLst>
            <a:ext uri="{FF2B5EF4-FFF2-40B4-BE49-F238E27FC236}">
              <a16:creationId xmlns:a16="http://schemas.microsoft.com/office/drawing/2014/main" id="{00000000-0008-0000-0000-00000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80" name="Picture 11" hidden="1">
          <a:extLst>
            <a:ext uri="{FF2B5EF4-FFF2-40B4-BE49-F238E27FC236}">
              <a16:creationId xmlns:a16="http://schemas.microsoft.com/office/drawing/2014/main" id="{00000000-0008-0000-0000-00001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82" name="Picture 11" hidden="1">
          <a:extLst>
            <a:ext uri="{FF2B5EF4-FFF2-40B4-BE49-F238E27FC236}">
              <a16:creationId xmlns:a16="http://schemas.microsoft.com/office/drawing/2014/main" id="{00000000-0008-0000-0000-00001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84" name="Picture 11" hidden="1">
          <a:extLst>
            <a:ext uri="{FF2B5EF4-FFF2-40B4-BE49-F238E27FC236}">
              <a16:creationId xmlns:a16="http://schemas.microsoft.com/office/drawing/2014/main" id="{00000000-0008-0000-0000-00001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86" name="Picture 11" hidden="1">
          <a:extLst>
            <a:ext uri="{FF2B5EF4-FFF2-40B4-BE49-F238E27FC236}">
              <a16:creationId xmlns:a16="http://schemas.microsoft.com/office/drawing/2014/main" id="{00000000-0008-0000-0000-00001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88" name="Picture 11" hidden="1">
          <a:extLst>
            <a:ext uri="{FF2B5EF4-FFF2-40B4-BE49-F238E27FC236}">
              <a16:creationId xmlns:a16="http://schemas.microsoft.com/office/drawing/2014/main" id="{00000000-0008-0000-0000-00001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90" name="Picture 11" hidden="1">
          <a:extLst>
            <a:ext uri="{FF2B5EF4-FFF2-40B4-BE49-F238E27FC236}">
              <a16:creationId xmlns:a16="http://schemas.microsoft.com/office/drawing/2014/main" id="{00000000-0008-0000-0000-00001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92" name="Picture 11" hidden="1">
          <a:extLst>
            <a:ext uri="{FF2B5EF4-FFF2-40B4-BE49-F238E27FC236}">
              <a16:creationId xmlns:a16="http://schemas.microsoft.com/office/drawing/2014/main" id="{00000000-0008-0000-0000-00001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94" name="Picture 11" hidden="1">
          <a:extLst>
            <a:ext uri="{FF2B5EF4-FFF2-40B4-BE49-F238E27FC236}">
              <a16:creationId xmlns:a16="http://schemas.microsoft.com/office/drawing/2014/main" id="{00000000-0008-0000-0000-00001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96" name="Picture 11" hidden="1">
          <a:extLst>
            <a:ext uri="{FF2B5EF4-FFF2-40B4-BE49-F238E27FC236}">
              <a16:creationId xmlns:a16="http://schemas.microsoft.com/office/drawing/2014/main" id="{00000000-0008-0000-0000-00002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98" name="Picture 11" hidden="1">
          <a:extLst>
            <a:ext uri="{FF2B5EF4-FFF2-40B4-BE49-F238E27FC236}">
              <a16:creationId xmlns:a16="http://schemas.microsoft.com/office/drawing/2014/main" id="{00000000-0008-0000-0000-00002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00" name="Picture 11" hidden="1">
          <a:extLst>
            <a:ext uri="{FF2B5EF4-FFF2-40B4-BE49-F238E27FC236}">
              <a16:creationId xmlns:a16="http://schemas.microsoft.com/office/drawing/2014/main" id="{00000000-0008-0000-0000-00002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02" name="Picture 11" hidden="1">
          <a:extLst>
            <a:ext uri="{FF2B5EF4-FFF2-40B4-BE49-F238E27FC236}">
              <a16:creationId xmlns:a16="http://schemas.microsoft.com/office/drawing/2014/main" id="{00000000-0008-0000-0000-00002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04" name="Picture 11" hidden="1">
          <a:extLst>
            <a:ext uri="{FF2B5EF4-FFF2-40B4-BE49-F238E27FC236}">
              <a16:creationId xmlns:a16="http://schemas.microsoft.com/office/drawing/2014/main" id="{00000000-0008-0000-0000-00002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06" name="Picture 11" hidden="1">
          <a:extLst>
            <a:ext uri="{FF2B5EF4-FFF2-40B4-BE49-F238E27FC236}">
              <a16:creationId xmlns:a16="http://schemas.microsoft.com/office/drawing/2014/main" id="{00000000-0008-0000-0000-00002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08" name="Picture 11" hidden="1">
          <a:extLst>
            <a:ext uri="{FF2B5EF4-FFF2-40B4-BE49-F238E27FC236}">
              <a16:creationId xmlns:a16="http://schemas.microsoft.com/office/drawing/2014/main" id="{00000000-0008-0000-0000-00002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10" name="Picture 11" hidden="1">
          <a:extLst>
            <a:ext uri="{FF2B5EF4-FFF2-40B4-BE49-F238E27FC236}">
              <a16:creationId xmlns:a16="http://schemas.microsoft.com/office/drawing/2014/main" id="{00000000-0008-0000-0000-00002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12" name="Picture 11" hidden="1">
          <a:extLst>
            <a:ext uri="{FF2B5EF4-FFF2-40B4-BE49-F238E27FC236}">
              <a16:creationId xmlns:a16="http://schemas.microsoft.com/office/drawing/2014/main" id="{00000000-0008-0000-0000-00003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14" name="Picture 11" hidden="1">
          <a:extLst>
            <a:ext uri="{FF2B5EF4-FFF2-40B4-BE49-F238E27FC236}">
              <a16:creationId xmlns:a16="http://schemas.microsoft.com/office/drawing/2014/main" id="{00000000-0008-0000-0000-00003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16" name="Picture 11" hidden="1">
          <a:extLst>
            <a:ext uri="{FF2B5EF4-FFF2-40B4-BE49-F238E27FC236}">
              <a16:creationId xmlns:a16="http://schemas.microsoft.com/office/drawing/2014/main" id="{00000000-0008-0000-0000-00003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18" name="Picture 11" hidden="1">
          <a:extLst>
            <a:ext uri="{FF2B5EF4-FFF2-40B4-BE49-F238E27FC236}">
              <a16:creationId xmlns:a16="http://schemas.microsoft.com/office/drawing/2014/main" id="{00000000-0008-0000-0000-00003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20" name="Picture 11" hidden="1">
          <a:extLst>
            <a:ext uri="{FF2B5EF4-FFF2-40B4-BE49-F238E27FC236}">
              <a16:creationId xmlns:a16="http://schemas.microsoft.com/office/drawing/2014/main" id="{00000000-0008-0000-0000-00003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22" name="Picture 11" hidden="1">
          <a:extLst>
            <a:ext uri="{FF2B5EF4-FFF2-40B4-BE49-F238E27FC236}">
              <a16:creationId xmlns:a16="http://schemas.microsoft.com/office/drawing/2014/main" id="{00000000-0008-0000-0000-00003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24" name="Picture 11" hidden="1">
          <a:extLst>
            <a:ext uri="{FF2B5EF4-FFF2-40B4-BE49-F238E27FC236}">
              <a16:creationId xmlns:a16="http://schemas.microsoft.com/office/drawing/2014/main" id="{00000000-0008-0000-0000-00003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26" name="Picture 11" hidden="1">
          <a:extLst>
            <a:ext uri="{FF2B5EF4-FFF2-40B4-BE49-F238E27FC236}">
              <a16:creationId xmlns:a16="http://schemas.microsoft.com/office/drawing/2014/main" id="{00000000-0008-0000-0000-00003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28" name="Picture 11" hidden="1">
          <a:extLst>
            <a:ext uri="{FF2B5EF4-FFF2-40B4-BE49-F238E27FC236}">
              <a16:creationId xmlns:a16="http://schemas.microsoft.com/office/drawing/2014/main" id="{00000000-0008-0000-0000-00004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30" name="Picture 11" hidden="1">
          <a:extLst>
            <a:ext uri="{FF2B5EF4-FFF2-40B4-BE49-F238E27FC236}">
              <a16:creationId xmlns:a16="http://schemas.microsoft.com/office/drawing/2014/main" id="{00000000-0008-0000-0000-00004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32" name="Picture 11" hidden="1">
          <a:extLst>
            <a:ext uri="{FF2B5EF4-FFF2-40B4-BE49-F238E27FC236}">
              <a16:creationId xmlns:a16="http://schemas.microsoft.com/office/drawing/2014/main" id="{00000000-0008-0000-0000-00004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34" name="Picture 11" hidden="1">
          <a:extLst>
            <a:ext uri="{FF2B5EF4-FFF2-40B4-BE49-F238E27FC236}">
              <a16:creationId xmlns:a16="http://schemas.microsoft.com/office/drawing/2014/main" id="{00000000-0008-0000-0000-00004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36" name="Picture 11" hidden="1">
          <a:extLst>
            <a:ext uri="{FF2B5EF4-FFF2-40B4-BE49-F238E27FC236}">
              <a16:creationId xmlns:a16="http://schemas.microsoft.com/office/drawing/2014/main" id="{00000000-0008-0000-0000-00004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38" name="Picture 11" hidden="1">
          <a:extLst>
            <a:ext uri="{FF2B5EF4-FFF2-40B4-BE49-F238E27FC236}">
              <a16:creationId xmlns:a16="http://schemas.microsoft.com/office/drawing/2014/main" id="{00000000-0008-0000-0000-00004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40" name="Picture 11" hidden="1">
          <a:extLst>
            <a:ext uri="{FF2B5EF4-FFF2-40B4-BE49-F238E27FC236}">
              <a16:creationId xmlns:a16="http://schemas.microsoft.com/office/drawing/2014/main" id="{00000000-0008-0000-0000-00004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42" name="Picture 11" hidden="1">
          <a:extLst>
            <a:ext uri="{FF2B5EF4-FFF2-40B4-BE49-F238E27FC236}">
              <a16:creationId xmlns:a16="http://schemas.microsoft.com/office/drawing/2014/main" id="{00000000-0008-0000-0000-00004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44" name="Picture 11" hidden="1">
          <a:extLst>
            <a:ext uri="{FF2B5EF4-FFF2-40B4-BE49-F238E27FC236}">
              <a16:creationId xmlns:a16="http://schemas.microsoft.com/office/drawing/2014/main" id="{00000000-0008-0000-0000-00005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46" name="Picture 11" hidden="1">
          <a:extLst>
            <a:ext uri="{FF2B5EF4-FFF2-40B4-BE49-F238E27FC236}">
              <a16:creationId xmlns:a16="http://schemas.microsoft.com/office/drawing/2014/main" id="{00000000-0008-0000-0000-00005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48" name="Picture 11" hidden="1">
          <a:extLst>
            <a:ext uri="{FF2B5EF4-FFF2-40B4-BE49-F238E27FC236}">
              <a16:creationId xmlns:a16="http://schemas.microsoft.com/office/drawing/2014/main" id="{00000000-0008-0000-0000-00005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50" name="Picture 11" hidden="1">
          <a:extLst>
            <a:ext uri="{FF2B5EF4-FFF2-40B4-BE49-F238E27FC236}">
              <a16:creationId xmlns:a16="http://schemas.microsoft.com/office/drawing/2014/main" id="{00000000-0008-0000-0000-00005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52" name="Picture 11" hidden="1">
          <a:extLst>
            <a:ext uri="{FF2B5EF4-FFF2-40B4-BE49-F238E27FC236}">
              <a16:creationId xmlns:a16="http://schemas.microsoft.com/office/drawing/2014/main" id="{00000000-0008-0000-0000-00005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54" name="Picture 11353" hidden="1">
          <a:extLst>
            <a:ext uri="{FF2B5EF4-FFF2-40B4-BE49-F238E27FC236}">
              <a16:creationId xmlns:a16="http://schemas.microsoft.com/office/drawing/2014/main" id="{00000000-0008-0000-0000-00005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56" name="Picture 11" hidden="1">
          <a:extLst>
            <a:ext uri="{FF2B5EF4-FFF2-40B4-BE49-F238E27FC236}">
              <a16:creationId xmlns:a16="http://schemas.microsoft.com/office/drawing/2014/main" id="{00000000-0008-0000-0000-00005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58" name="Picture 11" hidden="1">
          <a:extLst>
            <a:ext uri="{FF2B5EF4-FFF2-40B4-BE49-F238E27FC236}">
              <a16:creationId xmlns:a16="http://schemas.microsoft.com/office/drawing/2014/main" id="{00000000-0008-0000-0000-00005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60" name="Picture 11" hidden="1">
          <a:extLst>
            <a:ext uri="{FF2B5EF4-FFF2-40B4-BE49-F238E27FC236}">
              <a16:creationId xmlns:a16="http://schemas.microsoft.com/office/drawing/2014/main" id="{00000000-0008-0000-0000-00006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62" name="Picture 11" hidden="1">
          <a:extLst>
            <a:ext uri="{FF2B5EF4-FFF2-40B4-BE49-F238E27FC236}">
              <a16:creationId xmlns:a16="http://schemas.microsoft.com/office/drawing/2014/main" id="{00000000-0008-0000-0000-00006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64" name="Picture 11" hidden="1">
          <a:extLst>
            <a:ext uri="{FF2B5EF4-FFF2-40B4-BE49-F238E27FC236}">
              <a16:creationId xmlns:a16="http://schemas.microsoft.com/office/drawing/2014/main" id="{00000000-0008-0000-0000-00006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66" name="Picture 11" hidden="1">
          <a:extLst>
            <a:ext uri="{FF2B5EF4-FFF2-40B4-BE49-F238E27FC236}">
              <a16:creationId xmlns:a16="http://schemas.microsoft.com/office/drawing/2014/main" id="{00000000-0008-0000-0000-00006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68" name="Picture 11" hidden="1">
          <a:extLst>
            <a:ext uri="{FF2B5EF4-FFF2-40B4-BE49-F238E27FC236}">
              <a16:creationId xmlns:a16="http://schemas.microsoft.com/office/drawing/2014/main" id="{00000000-0008-0000-0000-00006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70" name="Picture 11" hidden="1">
          <a:extLst>
            <a:ext uri="{FF2B5EF4-FFF2-40B4-BE49-F238E27FC236}">
              <a16:creationId xmlns:a16="http://schemas.microsoft.com/office/drawing/2014/main" id="{00000000-0008-0000-0000-00006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72" name="Picture 11" hidden="1">
          <a:extLst>
            <a:ext uri="{FF2B5EF4-FFF2-40B4-BE49-F238E27FC236}">
              <a16:creationId xmlns:a16="http://schemas.microsoft.com/office/drawing/2014/main" id="{00000000-0008-0000-0000-00006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74" name="Picture 11" hidden="1">
          <a:extLst>
            <a:ext uri="{FF2B5EF4-FFF2-40B4-BE49-F238E27FC236}">
              <a16:creationId xmlns:a16="http://schemas.microsoft.com/office/drawing/2014/main" id="{00000000-0008-0000-0000-00006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76" name="Picture 11" hidden="1">
          <a:extLst>
            <a:ext uri="{FF2B5EF4-FFF2-40B4-BE49-F238E27FC236}">
              <a16:creationId xmlns:a16="http://schemas.microsoft.com/office/drawing/2014/main" id="{00000000-0008-0000-0000-00007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78" name="Picture 11" hidden="1">
          <a:extLst>
            <a:ext uri="{FF2B5EF4-FFF2-40B4-BE49-F238E27FC236}">
              <a16:creationId xmlns:a16="http://schemas.microsoft.com/office/drawing/2014/main" id="{00000000-0008-0000-0000-00007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80" name="Picture 11" hidden="1">
          <a:extLst>
            <a:ext uri="{FF2B5EF4-FFF2-40B4-BE49-F238E27FC236}">
              <a16:creationId xmlns:a16="http://schemas.microsoft.com/office/drawing/2014/main" id="{00000000-0008-0000-0000-00007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82" name="Picture 11" hidden="1">
          <a:extLst>
            <a:ext uri="{FF2B5EF4-FFF2-40B4-BE49-F238E27FC236}">
              <a16:creationId xmlns:a16="http://schemas.microsoft.com/office/drawing/2014/main" id="{00000000-0008-0000-0000-00007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84" name="Picture 11" hidden="1">
          <a:extLst>
            <a:ext uri="{FF2B5EF4-FFF2-40B4-BE49-F238E27FC236}">
              <a16:creationId xmlns:a16="http://schemas.microsoft.com/office/drawing/2014/main" id="{00000000-0008-0000-0000-00007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86" name="Picture 11" hidden="1">
          <a:extLst>
            <a:ext uri="{FF2B5EF4-FFF2-40B4-BE49-F238E27FC236}">
              <a16:creationId xmlns:a16="http://schemas.microsoft.com/office/drawing/2014/main" id="{00000000-0008-0000-0000-00007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88" name="Picture 11" hidden="1">
          <a:extLst>
            <a:ext uri="{FF2B5EF4-FFF2-40B4-BE49-F238E27FC236}">
              <a16:creationId xmlns:a16="http://schemas.microsoft.com/office/drawing/2014/main" id="{00000000-0008-0000-0000-00007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90" name="Picture 11" hidden="1">
          <a:extLst>
            <a:ext uri="{FF2B5EF4-FFF2-40B4-BE49-F238E27FC236}">
              <a16:creationId xmlns:a16="http://schemas.microsoft.com/office/drawing/2014/main" id="{00000000-0008-0000-0000-00007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92" name="Picture 11" hidden="1">
          <a:extLst>
            <a:ext uri="{FF2B5EF4-FFF2-40B4-BE49-F238E27FC236}">
              <a16:creationId xmlns:a16="http://schemas.microsoft.com/office/drawing/2014/main" id="{00000000-0008-0000-0000-00008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94" name="Picture 11" hidden="1">
          <a:extLst>
            <a:ext uri="{FF2B5EF4-FFF2-40B4-BE49-F238E27FC236}">
              <a16:creationId xmlns:a16="http://schemas.microsoft.com/office/drawing/2014/main" id="{00000000-0008-0000-0000-00008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96" name="Picture 11" hidden="1">
          <a:extLst>
            <a:ext uri="{FF2B5EF4-FFF2-40B4-BE49-F238E27FC236}">
              <a16:creationId xmlns:a16="http://schemas.microsoft.com/office/drawing/2014/main" id="{00000000-0008-0000-0000-00008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98" name="Picture 11" hidden="1">
          <a:extLst>
            <a:ext uri="{FF2B5EF4-FFF2-40B4-BE49-F238E27FC236}">
              <a16:creationId xmlns:a16="http://schemas.microsoft.com/office/drawing/2014/main" id="{00000000-0008-0000-0000-00008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00" name="Picture 11" hidden="1">
          <a:extLst>
            <a:ext uri="{FF2B5EF4-FFF2-40B4-BE49-F238E27FC236}">
              <a16:creationId xmlns:a16="http://schemas.microsoft.com/office/drawing/2014/main" id="{00000000-0008-0000-0000-00008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02" name="Picture 11" hidden="1">
          <a:extLst>
            <a:ext uri="{FF2B5EF4-FFF2-40B4-BE49-F238E27FC236}">
              <a16:creationId xmlns:a16="http://schemas.microsoft.com/office/drawing/2014/main" id="{00000000-0008-0000-0000-00008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04" name="Picture 11" hidden="1">
          <a:extLst>
            <a:ext uri="{FF2B5EF4-FFF2-40B4-BE49-F238E27FC236}">
              <a16:creationId xmlns:a16="http://schemas.microsoft.com/office/drawing/2014/main" id="{00000000-0008-0000-0000-00008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06" name="Picture 11" hidden="1">
          <a:extLst>
            <a:ext uri="{FF2B5EF4-FFF2-40B4-BE49-F238E27FC236}">
              <a16:creationId xmlns:a16="http://schemas.microsoft.com/office/drawing/2014/main" id="{00000000-0008-0000-0000-00008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08" name="Picture 11" hidden="1">
          <a:extLst>
            <a:ext uri="{FF2B5EF4-FFF2-40B4-BE49-F238E27FC236}">
              <a16:creationId xmlns:a16="http://schemas.microsoft.com/office/drawing/2014/main" id="{00000000-0008-0000-0000-00009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10" name="Picture 11" hidden="1">
          <a:extLst>
            <a:ext uri="{FF2B5EF4-FFF2-40B4-BE49-F238E27FC236}">
              <a16:creationId xmlns:a16="http://schemas.microsoft.com/office/drawing/2014/main" id="{00000000-0008-0000-0000-00009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12" name="Picture 11" hidden="1">
          <a:extLst>
            <a:ext uri="{FF2B5EF4-FFF2-40B4-BE49-F238E27FC236}">
              <a16:creationId xmlns:a16="http://schemas.microsoft.com/office/drawing/2014/main" id="{00000000-0008-0000-0000-00009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14" name="Picture 11" hidden="1">
          <a:extLst>
            <a:ext uri="{FF2B5EF4-FFF2-40B4-BE49-F238E27FC236}">
              <a16:creationId xmlns:a16="http://schemas.microsoft.com/office/drawing/2014/main" id="{00000000-0008-0000-0000-00009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16" name="Picture 11" hidden="1">
          <a:extLst>
            <a:ext uri="{FF2B5EF4-FFF2-40B4-BE49-F238E27FC236}">
              <a16:creationId xmlns:a16="http://schemas.microsoft.com/office/drawing/2014/main" id="{00000000-0008-0000-0000-00009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18" name="Picture 11" hidden="1">
          <a:extLst>
            <a:ext uri="{FF2B5EF4-FFF2-40B4-BE49-F238E27FC236}">
              <a16:creationId xmlns:a16="http://schemas.microsoft.com/office/drawing/2014/main" id="{00000000-0008-0000-0000-00009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20" name="Picture 11" hidden="1">
          <a:extLst>
            <a:ext uri="{FF2B5EF4-FFF2-40B4-BE49-F238E27FC236}">
              <a16:creationId xmlns:a16="http://schemas.microsoft.com/office/drawing/2014/main" id="{00000000-0008-0000-0000-00009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22" name="Picture 11" hidden="1">
          <a:extLst>
            <a:ext uri="{FF2B5EF4-FFF2-40B4-BE49-F238E27FC236}">
              <a16:creationId xmlns:a16="http://schemas.microsoft.com/office/drawing/2014/main" id="{00000000-0008-0000-0000-00009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24" name="Picture 11" hidden="1">
          <a:extLst>
            <a:ext uri="{FF2B5EF4-FFF2-40B4-BE49-F238E27FC236}">
              <a16:creationId xmlns:a16="http://schemas.microsoft.com/office/drawing/2014/main" id="{00000000-0008-0000-0000-0000A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26" name="Picture 11" hidden="1">
          <a:extLst>
            <a:ext uri="{FF2B5EF4-FFF2-40B4-BE49-F238E27FC236}">
              <a16:creationId xmlns:a16="http://schemas.microsoft.com/office/drawing/2014/main" id="{00000000-0008-0000-0000-0000A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28" name="Picture 11" hidden="1">
          <a:extLst>
            <a:ext uri="{FF2B5EF4-FFF2-40B4-BE49-F238E27FC236}">
              <a16:creationId xmlns:a16="http://schemas.microsoft.com/office/drawing/2014/main" id="{00000000-0008-0000-0000-0000A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30" name="Picture 11" hidden="1">
          <a:extLst>
            <a:ext uri="{FF2B5EF4-FFF2-40B4-BE49-F238E27FC236}">
              <a16:creationId xmlns:a16="http://schemas.microsoft.com/office/drawing/2014/main" id="{00000000-0008-0000-0000-0000A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32" name="Picture 11" hidden="1">
          <a:extLst>
            <a:ext uri="{FF2B5EF4-FFF2-40B4-BE49-F238E27FC236}">
              <a16:creationId xmlns:a16="http://schemas.microsoft.com/office/drawing/2014/main" id="{00000000-0008-0000-0000-0000A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34" name="Picture 11" hidden="1">
          <a:extLst>
            <a:ext uri="{FF2B5EF4-FFF2-40B4-BE49-F238E27FC236}">
              <a16:creationId xmlns:a16="http://schemas.microsoft.com/office/drawing/2014/main" id="{00000000-0008-0000-0000-0000A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36" name="Picture 11" hidden="1">
          <a:extLst>
            <a:ext uri="{FF2B5EF4-FFF2-40B4-BE49-F238E27FC236}">
              <a16:creationId xmlns:a16="http://schemas.microsoft.com/office/drawing/2014/main" id="{00000000-0008-0000-0000-0000A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38" name="Picture 11" hidden="1">
          <a:extLst>
            <a:ext uri="{FF2B5EF4-FFF2-40B4-BE49-F238E27FC236}">
              <a16:creationId xmlns:a16="http://schemas.microsoft.com/office/drawing/2014/main" id="{00000000-0008-0000-0000-0000A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40" name="Picture 11" hidden="1">
          <a:extLst>
            <a:ext uri="{FF2B5EF4-FFF2-40B4-BE49-F238E27FC236}">
              <a16:creationId xmlns:a16="http://schemas.microsoft.com/office/drawing/2014/main" id="{00000000-0008-0000-0000-0000B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42" name="Picture 11" hidden="1">
          <a:extLst>
            <a:ext uri="{FF2B5EF4-FFF2-40B4-BE49-F238E27FC236}">
              <a16:creationId xmlns:a16="http://schemas.microsoft.com/office/drawing/2014/main" id="{00000000-0008-0000-0000-0000B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44" name="Picture 11" hidden="1">
          <a:extLst>
            <a:ext uri="{FF2B5EF4-FFF2-40B4-BE49-F238E27FC236}">
              <a16:creationId xmlns:a16="http://schemas.microsoft.com/office/drawing/2014/main" id="{00000000-0008-0000-0000-0000B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46" name="Picture 11" hidden="1">
          <a:extLst>
            <a:ext uri="{FF2B5EF4-FFF2-40B4-BE49-F238E27FC236}">
              <a16:creationId xmlns:a16="http://schemas.microsoft.com/office/drawing/2014/main" id="{00000000-0008-0000-0000-0000B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48" name="Picture 11" hidden="1">
          <a:extLst>
            <a:ext uri="{FF2B5EF4-FFF2-40B4-BE49-F238E27FC236}">
              <a16:creationId xmlns:a16="http://schemas.microsoft.com/office/drawing/2014/main" id="{00000000-0008-0000-0000-0000B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50" name="Picture 11" hidden="1">
          <a:extLst>
            <a:ext uri="{FF2B5EF4-FFF2-40B4-BE49-F238E27FC236}">
              <a16:creationId xmlns:a16="http://schemas.microsoft.com/office/drawing/2014/main" id="{00000000-0008-0000-0000-0000B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52" name="Picture 11" hidden="1">
          <a:extLst>
            <a:ext uri="{FF2B5EF4-FFF2-40B4-BE49-F238E27FC236}">
              <a16:creationId xmlns:a16="http://schemas.microsoft.com/office/drawing/2014/main" id="{00000000-0008-0000-0000-0000B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11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C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11454" name="Picture 11" hidden="1">
          <a:extLst>
            <a:ext uri="{FF2B5EF4-FFF2-40B4-BE49-F238E27FC236}">
              <a16:creationId xmlns:a16="http://schemas.microsoft.com/office/drawing/2014/main" id="{00000000-0008-0000-0000-0000B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56" name="Picture 11" hidden="1">
          <a:extLst>
            <a:ext uri="{FF2B5EF4-FFF2-40B4-BE49-F238E27FC236}">
              <a16:creationId xmlns:a16="http://schemas.microsoft.com/office/drawing/2014/main" id="{00000000-0008-0000-0000-0000C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58" name="Picture 11" hidden="1">
          <a:extLst>
            <a:ext uri="{FF2B5EF4-FFF2-40B4-BE49-F238E27FC236}">
              <a16:creationId xmlns:a16="http://schemas.microsoft.com/office/drawing/2014/main" id="{00000000-0008-0000-0000-0000C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60" name="Picture 11" hidden="1">
          <a:extLst>
            <a:ext uri="{FF2B5EF4-FFF2-40B4-BE49-F238E27FC236}">
              <a16:creationId xmlns:a16="http://schemas.microsoft.com/office/drawing/2014/main" id="{00000000-0008-0000-0000-0000C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62" name="Picture 11461" hidden="1">
          <a:extLst>
            <a:ext uri="{FF2B5EF4-FFF2-40B4-BE49-F238E27FC236}">
              <a16:creationId xmlns:a16="http://schemas.microsoft.com/office/drawing/2014/main" id="{00000000-0008-0000-0000-0000C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64" name="Picture 11" hidden="1">
          <a:extLst>
            <a:ext uri="{FF2B5EF4-FFF2-40B4-BE49-F238E27FC236}">
              <a16:creationId xmlns:a16="http://schemas.microsoft.com/office/drawing/2014/main" id="{00000000-0008-0000-0000-0000C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66" name="Picture 11" hidden="1">
          <a:extLst>
            <a:ext uri="{FF2B5EF4-FFF2-40B4-BE49-F238E27FC236}">
              <a16:creationId xmlns:a16="http://schemas.microsoft.com/office/drawing/2014/main" id="{00000000-0008-0000-0000-0000C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68" name="Picture 11" hidden="1">
          <a:extLst>
            <a:ext uri="{FF2B5EF4-FFF2-40B4-BE49-F238E27FC236}">
              <a16:creationId xmlns:a16="http://schemas.microsoft.com/office/drawing/2014/main" id="{00000000-0008-0000-0000-0000C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70" name="Picture 11" hidden="1">
          <a:extLst>
            <a:ext uri="{FF2B5EF4-FFF2-40B4-BE49-F238E27FC236}">
              <a16:creationId xmlns:a16="http://schemas.microsoft.com/office/drawing/2014/main" id="{00000000-0008-0000-0000-0000C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72" name="Picture 11" hidden="1">
          <a:extLst>
            <a:ext uri="{FF2B5EF4-FFF2-40B4-BE49-F238E27FC236}">
              <a16:creationId xmlns:a16="http://schemas.microsoft.com/office/drawing/2014/main" id="{00000000-0008-0000-0000-0000D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74" name="Picture 11" hidden="1">
          <a:extLst>
            <a:ext uri="{FF2B5EF4-FFF2-40B4-BE49-F238E27FC236}">
              <a16:creationId xmlns:a16="http://schemas.microsoft.com/office/drawing/2014/main" id="{00000000-0008-0000-0000-0000D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76" name="Picture 11" hidden="1">
          <a:extLst>
            <a:ext uri="{FF2B5EF4-FFF2-40B4-BE49-F238E27FC236}">
              <a16:creationId xmlns:a16="http://schemas.microsoft.com/office/drawing/2014/main" id="{00000000-0008-0000-0000-0000D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78" name="Picture 11" hidden="1">
          <a:extLst>
            <a:ext uri="{FF2B5EF4-FFF2-40B4-BE49-F238E27FC236}">
              <a16:creationId xmlns:a16="http://schemas.microsoft.com/office/drawing/2014/main" id="{00000000-0008-0000-0000-0000D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80" name="Picture 11" hidden="1">
          <a:extLst>
            <a:ext uri="{FF2B5EF4-FFF2-40B4-BE49-F238E27FC236}">
              <a16:creationId xmlns:a16="http://schemas.microsoft.com/office/drawing/2014/main" id="{00000000-0008-0000-0000-0000D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82" name="Picture 11" hidden="1">
          <a:extLst>
            <a:ext uri="{FF2B5EF4-FFF2-40B4-BE49-F238E27FC236}">
              <a16:creationId xmlns:a16="http://schemas.microsoft.com/office/drawing/2014/main" id="{00000000-0008-0000-0000-0000D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84" name="Picture 11" hidden="1">
          <a:extLst>
            <a:ext uri="{FF2B5EF4-FFF2-40B4-BE49-F238E27FC236}">
              <a16:creationId xmlns:a16="http://schemas.microsoft.com/office/drawing/2014/main" id="{00000000-0008-0000-0000-0000D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86" name="Picture 11" hidden="1">
          <a:extLst>
            <a:ext uri="{FF2B5EF4-FFF2-40B4-BE49-F238E27FC236}">
              <a16:creationId xmlns:a16="http://schemas.microsoft.com/office/drawing/2014/main" id="{00000000-0008-0000-0000-0000D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88" name="Picture 11" hidden="1">
          <a:extLst>
            <a:ext uri="{FF2B5EF4-FFF2-40B4-BE49-F238E27FC236}">
              <a16:creationId xmlns:a16="http://schemas.microsoft.com/office/drawing/2014/main" id="{00000000-0008-0000-0000-0000E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90" name="Picture 11" hidden="1">
          <a:extLst>
            <a:ext uri="{FF2B5EF4-FFF2-40B4-BE49-F238E27FC236}">
              <a16:creationId xmlns:a16="http://schemas.microsoft.com/office/drawing/2014/main" id="{00000000-0008-0000-0000-0000E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92" name="Picture 11" hidden="1">
          <a:extLst>
            <a:ext uri="{FF2B5EF4-FFF2-40B4-BE49-F238E27FC236}">
              <a16:creationId xmlns:a16="http://schemas.microsoft.com/office/drawing/2014/main" id="{00000000-0008-0000-0000-0000E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94" name="Picture 11" hidden="1">
          <a:extLst>
            <a:ext uri="{FF2B5EF4-FFF2-40B4-BE49-F238E27FC236}">
              <a16:creationId xmlns:a16="http://schemas.microsoft.com/office/drawing/2014/main" id="{00000000-0008-0000-0000-0000E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96" name="Picture 11" hidden="1">
          <a:extLst>
            <a:ext uri="{FF2B5EF4-FFF2-40B4-BE49-F238E27FC236}">
              <a16:creationId xmlns:a16="http://schemas.microsoft.com/office/drawing/2014/main" id="{00000000-0008-0000-0000-0000E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98" name="Picture 11" hidden="1">
          <a:extLst>
            <a:ext uri="{FF2B5EF4-FFF2-40B4-BE49-F238E27FC236}">
              <a16:creationId xmlns:a16="http://schemas.microsoft.com/office/drawing/2014/main" id="{00000000-0008-0000-0000-0000E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00" name="Picture 11" hidden="1">
          <a:extLst>
            <a:ext uri="{FF2B5EF4-FFF2-40B4-BE49-F238E27FC236}">
              <a16:creationId xmlns:a16="http://schemas.microsoft.com/office/drawing/2014/main" id="{00000000-0008-0000-0000-0000E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02" name="Picture 11" hidden="1">
          <a:extLst>
            <a:ext uri="{FF2B5EF4-FFF2-40B4-BE49-F238E27FC236}">
              <a16:creationId xmlns:a16="http://schemas.microsoft.com/office/drawing/2014/main" id="{00000000-0008-0000-0000-0000E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04" name="Picture 11" hidden="1">
          <a:extLst>
            <a:ext uri="{FF2B5EF4-FFF2-40B4-BE49-F238E27FC236}">
              <a16:creationId xmlns:a16="http://schemas.microsoft.com/office/drawing/2014/main" id="{00000000-0008-0000-0000-0000F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06" name="Picture 11" hidden="1">
          <a:extLst>
            <a:ext uri="{FF2B5EF4-FFF2-40B4-BE49-F238E27FC236}">
              <a16:creationId xmlns:a16="http://schemas.microsoft.com/office/drawing/2014/main" id="{00000000-0008-0000-0000-0000F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08" name="Picture 11" hidden="1">
          <a:extLst>
            <a:ext uri="{FF2B5EF4-FFF2-40B4-BE49-F238E27FC236}">
              <a16:creationId xmlns:a16="http://schemas.microsoft.com/office/drawing/2014/main" id="{00000000-0008-0000-0000-0000F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10" name="Picture 11" hidden="1">
          <a:extLst>
            <a:ext uri="{FF2B5EF4-FFF2-40B4-BE49-F238E27FC236}">
              <a16:creationId xmlns:a16="http://schemas.microsoft.com/office/drawing/2014/main" id="{00000000-0008-0000-0000-0000F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12" name="Picture 11" hidden="1">
          <a:extLst>
            <a:ext uri="{FF2B5EF4-FFF2-40B4-BE49-F238E27FC236}">
              <a16:creationId xmlns:a16="http://schemas.microsoft.com/office/drawing/2014/main" id="{00000000-0008-0000-0000-0000F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14" name="Picture 11" hidden="1">
          <a:extLst>
            <a:ext uri="{FF2B5EF4-FFF2-40B4-BE49-F238E27FC236}">
              <a16:creationId xmlns:a16="http://schemas.microsoft.com/office/drawing/2014/main" id="{00000000-0008-0000-0000-0000F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16" name="Picture 11" hidden="1">
          <a:extLst>
            <a:ext uri="{FF2B5EF4-FFF2-40B4-BE49-F238E27FC236}">
              <a16:creationId xmlns:a16="http://schemas.microsoft.com/office/drawing/2014/main" id="{00000000-0008-0000-0000-0000F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18" name="Picture 11" hidden="1">
          <a:extLst>
            <a:ext uri="{FF2B5EF4-FFF2-40B4-BE49-F238E27FC236}">
              <a16:creationId xmlns:a16="http://schemas.microsoft.com/office/drawing/2014/main" id="{00000000-0008-0000-0000-0000F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20" name="Picture 11" hidden="1">
          <a:extLst>
            <a:ext uri="{FF2B5EF4-FFF2-40B4-BE49-F238E27FC236}">
              <a16:creationId xmlns:a16="http://schemas.microsoft.com/office/drawing/2014/main" id="{00000000-0008-0000-0000-00000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22" name="Picture 11" hidden="1">
          <a:extLst>
            <a:ext uri="{FF2B5EF4-FFF2-40B4-BE49-F238E27FC236}">
              <a16:creationId xmlns:a16="http://schemas.microsoft.com/office/drawing/2014/main" id="{00000000-0008-0000-0000-00000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24" name="Picture 11" hidden="1">
          <a:extLst>
            <a:ext uri="{FF2B5EF4-FFF2-40B4-BE49-F238E27FC236}">
              <a16:creationId xmlns:a16="http://schemas.microsoft.com/office/drawing/2014/main" id="{00000000-0008-0000-0000-00000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26" name="Picture 11" hidden="1">
          <a:extLst>
            <a:ext uri="{FF2B5EF4-FFF2-40B4-BE49-F238E27FC236}">
              <a16:creationId xmlns:a16="http://schemas.microsoft.com/office/drawing/2014/main" id="{00000000-0008-0000-0000-00000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28" name="Picture 11" hidden="1">
          <a:extLst>
            <a:ext uri="{FF2B5EF4-FFF2-40B4-BE49-F238E27FC236}">
              <a16:creationId xmlns:a16="http://schemas.microsoft.com/office/drawing/2014/main" id="{00000000-0008-0000-0000-00000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30" name="Picture 11" hidden="1">
          <a:extLst>
            <a:ext uri="{FF2B5EF4-FFF2-40B4-BE49-F238E27FC236}">
              <a16:creationId xmlns:a16="http://schemas.microsoft.com/office/drawing/2014/main" id="{00000000-0008-0000-0000-00000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32" name="Picture 11" hidden="1">
          <a:extLst>
            <a:ext uri="{FF2B5EF4-FFF2-40B4-BE49-F238E27FC236}">
              <a16:creationId xmlns:a16="http://schemas.microsoft.com/office/drawing/2014/main" id="{00000000-0008-0000-0000-00000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34" name="Picture 11" hidden="1">
          <a:extLst>
            <a:ext uri="{FF2B5EF4-FFF2-40B4-BE49-F238E27FC236}">
              <a16:creationId xmlns:a16="http://schemas.microsoft.com/office/drawing/2014/main" id="{00000000-0008-0000-0000-00000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36" name="Picture 11" hidden="1">
          <a:extLst>
            <a:ext uri="{FF2B5EF4-FFF2-40B4-BE49-F238E27FC236}">
              <a16:creationId xmlns:a16="http://schemas.microsoft.com/office/drawing/2014/main" id="{00000000-0008-0000-0000-00001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38" name="Picture 11" hidden="1">
          <a:extLst>
            <a:ext uri="{FF2B5EF4-FFF2-40B4-BE49-F238E27FC236}">
              <a16:creationId xmlns:a16="http://schemas.microsoft.com/office/drawing/2014/main" id="{00000000-0008-0000-0000-00001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40" name="Picture 11" hidden="1">
          <a:extLst>
            <a:ext uri="{FF2B5EF4-FFF2-40B4-BE49-F238E27FC236}">
              <a16:creationId xmlns:a16="http://schemas.microsoft.com/office/drawing/2014/main" id="{00000000-0008-0000-0000-00001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42" name="Picture 11" hidden="1">
          <a:extLst>
            <a:ext uri="{FF2B5EF4-FFF2-40B4-BE49-F238E27FC236}">
              <a16:creationId xmlns:a16="http://schemas.microsoft.com/office/drawing/2014/main" id="{00000000-0008-0000-0000-00001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44" name="Picture 11" hidden="1">
          <a:extLst>
            <a:ext uri="{FF2B5EF4-FFF2-40B4-BE49-F238E27FC236}">
              <a16:creationId xmlns:a16="http://schemas.microsoft.com/office/drawing/2014/main" id="{00000000-0008-0000-0000-00001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46" name="Picture 11" hidden="1">
          <a:extLst>
            <a:ext uri="{FF2B5EF4-FFF2-40B4-BE49-F238E27FC236}">
              <a16:creationId xmlns:a16="http://schemas.microsoft.com/office/drawing/2014/main" id="{00000000-0008-0000-0000-00001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48" name="Picture 11" hidden="1">
          <a:extLst>
            <a:ext uri="{FF2B5EF4-FFF2-40B4-BE49-F238E27FC236}">
              <a16:creationId xmlns:a16="http://schemas.microsoft.com/office/drawing/2014/main" id="{00000000-0008-0000-0000-00001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50" name="Picture 11" hidden="1">
          <a:extLst>
            <a:ext uri="{FF2B5EF4-FFF2-40B4-BE49-F238E27FC236}">
              <a16:creationId xmlns:a16="http://schemas.microsoft.com/office/drawing/2014/main" id="{00000000-0008-0000-0000-00001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52" name="Picture 11" hidden="1">
          <a:extLst>
            <a:ext uri="{FF2B5EF4-FFF2-40B4-BE49-F238E27FC236}">
              <a16:creationId xmlns:a16="http://schemas.microsoft.com/office/drawing/2014/main" id="{00000000-0008-0000-0000-00002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54" name="Picture 11" hidden="1">
          <a:extLst>
            <a:ext uri="{FF2B5EF4-FFF2-40B4-BE49-F238E27FC236}">
              <a16:creationId xmlns:a16="http://schemas.microsoft.com/office/drawing/2014/main" id="{00000000-0008-0000-0000-00002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56" name="Picture 11" hidden="1">
          <a:extLst>
            <a:ext uri="{FF2B5EF4-FFF2-40B4-BE49-F238E27FC236}">
              <a16:creationId xmlns:a16="http://schemas.microsoft.com/office/drawing/2014/main" id="{00000000-0008-0000-0000-00002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58" name="Picture 11" hidden="1">
          <a:extLst>
            <a:ext uri="{FF2B5EF4-FFF2-40B4-BE49-F238E27FC236}">
              <a16:creationId xmlns:a16="http://schemas.microsoft.com/office/drawing/2014/main" id="{00000000-0008-0000-0000-00002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60" name="Picture 11" hidden="1">
          <a:extLst>
            <a:ext uri="{FF2B5EF4-FFF2-40B4-BE49-F238E27FC236}">
              <a16:creationId xmlns:a16="http://schemas.microsoft.com/office/drawing/2014/main" id="{00000000-0008-0000-0000-00002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62" name="Picture 11" hidden="1">
          <a:extLst>
            <a:ext uri="{FF2B5EF4-FFF2-40B4-BE49-F238E27FC236}">
              <a16:creationId xmlns:a16="http://schemas.microsoft.com/office/drawing/2014/main" id="{00000000-0008-0000-0000-00002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64" name="Picture 11" hidden="1">
          <a:extLst>
            <a:ext uri="{FF2B5EF4-FFF2-40B4-BE49-F238E27FC236}">
              <a16:creationId xmlns:a16="http://schemas.microsoft.com/office/drawing/2014/main" id="{00000000-0008-0000-0000-00002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66" name="Picture 11" hidden="1">
          <a:extLst>
            <a:ext uri="{FF2B5EF4-FFF2-40B4-BE49-F238E27FC236}">
              <a16:creationId xmlns:a16="http://schemas.microsoft.com/office/drawing/2014/main" id="{00000000-0008-0000-0000-00002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68" name="Picture 11" hidden="1">
          <a:extLst>
            <a:ext uri="{FF2B5EF4-FFF2-40B4-BE49-F238E27FC236}">
              <a16:creationId xmlns:a16="http://schemas.microsoft.com/office/drawing/2014/main" id="{00000000-0008-0000-0000-00003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70" name="Picture 11569" hidden="1">
          <a:extLst>
            <a:ext uri="{FF2B5EF4-FFF2-40B4-BE49-F238E27FC236}">
              <a16:creationId xmlns:a16="http://schemas.microsoft.com/office/drawing/2014/main" id="{00000000-0008-0000-0000-00003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72" name="Picture 11" hidden="1">
          <a:extLst>
            <a:ext uri="{FF2B5EF4-FFF2-40B4-BE49-F238E27FC236}">
              <a16:creationId xmlns:a16="http://schemas.microsoft.com/office/drawing/2014/main" id="{00000000-0008-0000-0000-00003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74" name="Picture 11" hidden="1">
          <a:extLst>
            <a:ext uri="{FF2B5EF4-FFF2-40B4-BE49-F238E27FC236}">
              <a16:creationId xmlns:a16="http://schemas.microsoft.com/office/drawing/2014/main" id="{00000000-0008-0000-0000-00003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76" name="Picture 11" hidden="1">
          <a:extLst>
            <a:ext uri="{FF2B5EF4-FFF2-40B4-BE49-F238E27FC236}">
              <a16:creationId xmlns:a16="http://schemas.microsoft.com/office/drawing/2014/main" id="{00000000-0008-0000-0000-00003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78" name="Picture 11" hidden="1">
          <a:extLst>
            <a:ext uri="{FF2B5EF4-FFF2-40B4-BE49-F238E27FC236}">
              <a16:creationId xmlns:a16="http://schemas.microsoft.com/office/drawing/2014/main" id="{00000000-0008-0000-0000-00003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80" name="Picture 11" hidden="1">
          <a:extLst>
            <a:ext uri="{FF2B5EF4-FFF2-40B4-BE49-F238E27FC236}">
              <a16:creationId xmlns:a16="http://schemas.microsoft.com/office/drawing/2014/main" id="{00000000-0008-0000-0000-00003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82" name="Picture 11" hidden="1">
          <a:extLst>
            <a:ext uri="{FF2B5EF4-FFF2-40B4-BE49-F238E27FC236}">
              <a16:creationId xmlns:a16="http://schemas.microsoft.com/office/drawing/2014/main" id="{00000000-0008-0000-0000-00003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84" name="Picture 11" hidden="1">
          <a:extLst>
            <a:ext uri="{FF2B5EF4-FFF2-40B4-BE49-F238E27FC236}">
              <a16:creationId xmlns:a16="http://schemas.microsoft.com/office/drawing/2014/main" id="{00000000-0008-0000-0000-00004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86" name="Picture 11" hidden="1">
          <a:extLst>
            <a:ext uri="{FF2B5EF4-FFF2-40B4-BE49-F238E27FC236}">
              <a16:creationId xmlns:a16="http://schemas.microsoft.com/office/drawing/2014/main" id="{00000000-0008-0000-0000-00004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88" name="Picture 11" hidden="1">
          <a:extLst>
            <a:ext uri="{FF2B5EF4-FFF2-40B4-BE49-F238E27FC236}">
              <a16:creationId xmlns:a16="http://schemas.microsoft.com/office/drawing/2014/main" id="{00000000-0008-0000-0000-00004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90" name="Picture 11" hidden="1">
          <a:extLst>
            <a:ext uri="{FF2B5EF4-FFF2-40B4-BE49-F238E27FC236}">
              <a16:creationId xmlns:a16="http://schemas.microsoft.com/office/drawing/2014/main" id="{00000000-0008-0000-0000-00004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92" name="Picture 11" hidden="1">
          <a:extLst>
            <a:ext uri="{FF2B5EF4-FFF2-40B4-BE49-F238E27FC236}">
              <a16:creationId xmlns:a16="http://schemas.microsoft.com/office/drawing/2014/main" id="{00000000-0008-0000-0000-00004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94" name="Picture 11" hidden="1">
          <a:extLst>
            <a:ext uri="{FF2B5EF4-FFF2-40B4-BE49-F238E27FC236}">
              <a16:creationId xmlns:a16="http://schemas.microsoft.com/office/drawing/2014/main" id="{00000000-0008-0000-0000-00004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96" name="Picture 11" hidden="1">
          <a:extLst>
            <a:ext uri="{FF2B5EF4-FFF2-40B4-BE49-F238E27FC236}">
              <a16:creationId xmlns:a16="http://schemas.microsoft.com/office/drawing/2014/main" id="{00000000-0008-0000-0000-00004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98" name="Picture 11" hidden="1">
          <a:extLst>
            <a:ext uri="{FF2B5EF4-FFF2-40B4-BE49-F238E27FC236}">
              <a16:creationId xmlns:a16="http://schemas.microsoft.com/office/drawing/2014/main" id="{00000000-0008-0000-0000-00004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00" name="Picture 11" hidden="1">
          <a:extLst>
            <a:ext uri="{FF2B5EF4-FFF2-40B4-BE49-F238E27FC236}">
              <a16:creationId xmlns:a16="http://schemas.microsoft.com/office/drawing/2014/main" id="{00000000-0008-0000-0000-00005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02" name="Picture 11" hidden="1">
          <a:extLst>
            <a:ext uri="{FF2B5EF4-FFF2-40B4-BE49-F238E27FC236}">
              <a16:creationId xmlns:a16="http://schemas.microsoft.com/office/drawing/2014/main" id="{00000000-0008-0000-0000-00005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04" name="Picture 11" hidden="1">
          <a:extLst>
            <a:ext uri="{FF2B5EF4-FFF2-40B4-BE49-F238E27FC236}">
              <a16:creationId xmlns:a16="http://schemas.microsoft.com/office/drawing/2014/main" id="{00000000-0008-0000-0000-00005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06" name="Picture 11" hidden="1">
          <a:extLst>
            <a:ext uri="{FF2B5EF4-FFF2-40B4-BE49-F238E27FC236}">
              <a16:creationId xmlns:a16="http://schemas.microsoft.com/office/drawing/2014/main" id="{00000000-0008-0000-0000-00005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08" name="Picture 11" hidden="1">
          <a:extLst>
            <a:ext uri="{FF2B5EF4-FFF2-40B4-BE49-F238E27FC236}">
              <a16:creationId xmlns:a16="http://schemas.microsoft.com/office/drawing/2014/main" id="{00000000-0008-0000-0000-00005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10" name="Picture 11" hidden="1">
          <a:extLst>
            <a:ext uri="{FF2B5EF4-FFF2-40B4-BE49-F238E27FC236}">
              <a16:creationId xmlns:a16="http://schemas.microsoft.com/office/drawing/2014/main" id="{00000000-0008-0000-0000-00005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12" name="Picture 11" hidden="1">
          <a:extLst>
            <a:ext uri="{FF2B5EF4-FFF2-40B4-BE49-F238E27FC236}">
              <a16:creationId xmlns:a16="http://schemas.microsoft.com/office/drawing/2014/main" id="{00000000-0008-0000-0000-00005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14" name="Picture 11" hidden="1">
          <a:extLst>
            <a:ext uri="{FF2B5EF4-FFF2-40B4-BE49-F238E27FC236}">
              <a16:creationId xmlns:a16="http://schemas.microsoft.com/office/drawing/2014/main" id="{00000000-0008-0000-0000-00005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16" name="Picture 11" hidden="1">
          <a:extLst>
            <a:ext uri="{FF2B5EF4-FFF2-40B4-BE49-F238E27FC236}">
              <a16:creationId xmlns:a16="http://schemas.microsoft.com/office/drawing/2014/main" id="{00000000-0008-0000-0000-00006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18" name="Picture 11" hidden="1">
          <a:extLst>
            <a:ext uri="{FF2B5EF4-FFF2-40B4-BE49-F238E27FC236}">
              <a16:creationId xmlns:a16="http://schemas.microsoft.com/office/drawing/2014/main" id="{00000000-0008-0000-0000-00006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20" name="Picture 11" hidden="1">
          <a:extLst>
            <a:ext uri="{FF2B5EF4-FFF2-40B4-BE49-F238E27FC236}">
              <a16:creationId xmlns:a16="http://schemas.microsoft.com/office/drawing/2014/main" id="{00000000-0008-0000-0000-00006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22" name="Picture 11" hidden="1">
          <a:extLst>
            <a:ext uri="{FF2B5EF4-FFF2-40B4-BE49-F238E27FC236}">
              <a16:creationId xmlns:a16="http://schemas.microsoft.com/office/drawing/2014/main" id="{00000000-0008-0000-0000-00006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24" name="Picture 11" hidden="1">
          <a:extLst>
            <a:ext uri="{FF2B5EF4-FFF2-40B4-BE49-F238E27FC236}">
              <a16:creationId xmlns:a16="http://schemas.microsoft.com/office/drawing/2014/main" id="{00000000-0008-0000-0000-00006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26" name="Picture 11" hidden="1">
          <a:extLst>
            <a:ext uri="{FF2B5EF4-FFF2-40B4-BE49-F238E27FC236}">
              <a16:creationId xmlns:a16="http://schemas.microsoft.com/office/drawing/2014/main" id="{00000000-0008-0000-0000-00006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28" name="Picture 11" hidden="1">
          <a:extLst>
            <a:ext uri="{FF2B5EF4-FFF2-40B4-BE49-F238E27FC236}">
              <a16:creationId xmlns:a16="http://schemas.microsoft.com/office/drawing/2014/main" id="{00000000-0008-0000-0000-00006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30" name="Picture 11" hidden="1">
          <a:extLst>
            <a:ext uri="{FF2B5EF4-FFF2-40B4-BE49-F238E27FC236}">
              <a16:creationId xmlns:a16="http://schemas.microsoft.com/office/drawing/2014/main" id="{00000000-0008-0000-0000-00006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32" name="Picture 11" hidden="1">
          <a:extLst>
            <a:ext uri="{FF2B5EF4-FFF2-40B4-BE49-F238E27FC236}">
              <a16:creationId xmlns:a16="http://schemas.microsoft.com/office/drawing/2014/main" id="{00000000-0008-0000-0000-00007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34" name="Picture 11" hidden="1">
          <a:extLst>
            <a:ext uri="{FF2B5EF4-FFF2-40B4-BE49-F238E27FC236}">
              <a16:creationId xmlns:a16="http://schemas.microsoft.com/office/drawing/2014/main" id="{00000000-0008-0000-0000-00007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36" name="Picture 11" hidden="1">
          <a:extLst>
            <a:ext uri="{FF2B5EF4-FFF2-40B4-BE49-F238E27FC236}">
              <a16:creationId xmlns:a16="http://schemas.microsoft.com/office/drawing/2014/main" id="{00000000-0008-0000-0000-00007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38" name="Picture 11" hidden="1">
          <a:extLst>
            <a:ext uri="{FF2B5EF4-FFF2-40B4-BE49-F238E27FC236}">
              <a16:creationId xmlns:a16="http://schemas.microsoft.com/office/drawing/2014/main" id="{00000000-0008-0000-0000-00007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40" name="Picture 11" hidden="1">
          <a:extLst>
            <a:ext uri="{FF2B5EF4-FFF2-40B4-BE49-F238E27FC236}">
              <a16:creationId xmlns:a16="http://schemas.microsoft.com/office/drawing/2014/main" id="{00000000-0008-0000-0000-00007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42" name="Picture 11" hidden="1">
          <a:extLst>
            <a:ext uri="{FF2B5EF4-FFF2-40B4-BE49-F238E27FC236}">
              <a16:creationId xmlns:a16="http://schemas.microsoft.com/office/drawing/2014/main" id="{00000000-0008-0000-0000-00007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44" name="Picture 11" hidden="1">
          <a:extLst>
            <a:ext uri="{FF2B5EF4-FFF2-40B4-BE49-F238E27FC236}">
              <a16:creationId xmlns:a16="http://schemas.microsoft.com/office/drawing/2014/main" id="{00000000-0008-0000-0000-00007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46" name="Picture 11" hidden="1">
          <a:extLst>
            <a:ext uri="{FF2B5EF4-FFF2-40B4-BE49-F238E27FC236}">
              <a16:creationId xmlns:a16="http://schemas.microsoft.com/office/drawing/2014/main" id="{00000000-0008-0000-0000-00007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48" name="Picture 11" hidden="1">
          <a:extLst>
            <a:ext uri="{FF2B5EF4-FFF2-40B4-BE49-F238E27FC236}">
              <a16:creationId xmlns:a16="http://schemas.microsoft.com/office/drawing/2014/main" id="{00000000-0008-0000-0000-00008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50" name="Picture 11" hidden="1">
          <a:extLst>
            <a:ext uri="{FF2B5EF4-FFF2-40B4-BE49-F238E27FC236}">
              <a16:creationId xmlns:a16="http://schemas.microsoft.com/office/drawing/2014/main" id="{00000000-0008-0000-0000-00008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52" name="Picture 11" hidden="1">
          <a:extLst>
            <a:ext uri="{FF2B5EF4-FFF2-40B4-BE49-F238E27FC236}">
              <a16:creationId xmlns:a16="http://schemas.microsoft.com/office/drawing/2014/main" id="{00000000-0008-0000-0000-00008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54" name="Picture 11" hidden="1">
          <a:extLst>
            <a:ext uri="{FF2B5EF4-FFF2-40B4-BE49-F238E27FC236}">
              <a16:creationId xmlns:a16="http://schemas.microsoft.com/office/drawing/2014/main" id="{00000000-0008-0000-0000-00008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56" name="Picture 11" hidden="1">
          <a:extLst>
            <a:ext uri="{FF2B5EF4-FFF2-40B4-BE49-F238E27FC236}">
              <a16:creationId xmlns:a16="http://schemas.microsoft.com/office/drawing/2014/main" id="{00000000-0008-0000-0000-00008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58" name="Picture 11" hidden="1">
          <a:extLst>
            <a:ext uri="{FF2B5EF4-FFF2-40B4-BE49-F238E27FC236}">
              <a16:creationId xmlns:a16="http://schemas.microsoft.com/office/drawing/2014/main" id="{00000000-0008-0000-0000-00008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60" name="Picture 11" hidden="1">
          <a:extLst>
            <a:ext uri="{FF2B5EF4-FFF2-40B4-BE49-F238E27FC236}">
              <a16:creationId xmlns:a16="http://schemas.microsoft.com/office/drawing/2014/main" id="{00000000-0008-0000-0000-00008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62" name="Picture 11" hidden="1">
          <a:extLst>
            <a:ext uri="{FF2B5EF4-FFF2-40B4-BE49-F238E27FC236}">
              <a16:creationId xmlns:a16="http://schemas.microsoft.com/office/drawing/2014/main" id="{00000000-0008-0000-0000-00008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64" name="Picture 11" hidden="1">
          <a:extLst>
            <a:ext uri="{FF2B5EF4-FFF2-40B4-BE49-F238E27FC236}">
              <a16:creationId xmlns:a16="http://schemas.microsoft.com/office/drawing/2014/main" id="{00000000-0008-0000-0000-00009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66" name="Picture 11" hidden="1">
          <a:extLst>
            <a:ext uri="{FF2B5EF4-FFF2-40B4-BE49-F238E27FC236}">
              <a16:creationId xmlns:a16="http://schemas.microsoft.com/office/drawing/2014/main" id="{00000000-0008-0000-0000-00009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68" name="Picture 11" hidden="1">
          <a:extLst>
            <a:ext uri="{FF2B5EF4-FFF2-40B4-BE49-F238E27FC236}">
              <a16:creationId xmlns:a16="http://schemas.microsoft.com/office/drawing/2014/main" id="{00000000-0008-0000-0000-00009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70" name="Picture 11" hidden="1">
          <a:extLst>
            <a:ext uri="{FF2B5EF4-FFF2-40B4-BE49-F238E27FC236}">
              <a16:creationId xmlns:a16="http://schemas.microsoft.com/office/drawing/2014/main" id="{00000000-0008-0000-0000-00009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72" name="Picture 11" hidden="1">
          <a:extLst>
            <a:ext uri="{FF2B5EF4-FFF2-40B4-BE49-F238E27FC236}">
              <a16:creationId xmlns:a16="http://schemas.microsoft.com/office/drawing/2014/main" id="{00000000-0008-0000-0000-00009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74" name="Picture 11" hidden="1">
          <a:extLst>
            <a:ext uri="{FF2B5EF4-FFF2-40B4-BE49-F238E27FC236}">
              <a16:creationId xmlns:a16="http://schemas.microsoft.com/office/drawing/2014/main" id="{00000000-0008-0000-0000-00009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76" name="Picture 11" hidden="1">
          <a:extLst>
            <a:ext uri="{FF2B5EF4-FFF2-40B4-BE49-F238E27FC236}">
              <a16:creationId xmlns:a16="http://schemas.microsoft.com/office/drawing/2014/main" id="{00000000-0008-0000-0000-00009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78" name="Picture 11677" hidden="1">
          <a:extLst>
            <a:ext uri="{FF2B5EF4-FFF2-40B4-BE49-F238E27FC236}">
              <a16:creationId xmlns:a16="http://schemas.microsoft.com/office/drawing/2014/main" id="{00000000-0008-0000-0000-00009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80" name="Picture 11" hidden="1">
          <a:extLst>
            <a:ext uri="{FF2B5EF4-FFF2-40B4-BE49-F238E27FC236}">
              <a16:creationId xmlns:a16="http://schemas.microsoft.com/office/drawing/2014/main" id="{00000000-0008-0000-0000-0000A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82" name="Picture 11" hidden="1">
          <a:extLst>
            <a:ext uri="{FF2B5EF4-FFF2-40B4-BE49-F238E27FC236}">
              <a16:creationId xmlns:a16="http://schemas.microsoft.com/office/drawing/2014/main" id="{00000000-0008-0000-0000-0000A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84" name="Picture 11" hidden="1">
          <a:extLst>
            <a:ext uri="{FF2B5EF4-FFF2-40B4-BE49-F238E27FC236}">
              <a16:creationId xmlns:a16="http://schemas.microsoft.com/office/drawing/2014/main" id="{00000000-0008-0000-0000-0000A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86" name="Picture 11" hidden="1">
          <a:extLst>
            <a:ext uri="{FF2B5EF4-FFF2-40B4-BE49-F238E27FC236}">
              <a16:creationId xmlns:a16="http://schemas.microsoft.com/office/drawing/2014/main" id="{00000000-0008-0000-0000-0000A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88" name="Picture 11" hidden="1">
          <a:extLst>
            <a:ext uri="{FF2B5EF4-FFF2-40B4-BE49-F238E27FC236}">
              <a16:creationId xmlns:a16="http://schemas.microsoft.com/office/drawing/2014/main" id="{00000000-0008-0000-0000-0000A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90" name="Picture 11" hidden="1">
          <a:extLst>
            <a:ext uri="{FF2B5EF4-FFF2-40B4-BE49-F238E27FC236}">
              <a16:creationId xmlns:a16="http://schemas.microsoft.com/office/drawing/2014/main" id="{00000000-0008-0000-0000-0000A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92" name="Picture 11" hidden="1">
          <a:extLst>
            <a:ext uri="{FF2B5EF4-FFF2-40B4-BE49-F238E27FC236}">
              <a16:creationId xmlns:a16="http://schemas.microsoft.com/office/drawing/2014/main" id="{00000000-0008-0000-0000-0000A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94" name="Picture 11" hidden="1">
          <a:extLst>
            <a:ext uri="{FF2B5EF4-FFF2-40B4-BE49-F238E27FC236}">
              <a16:creationId xmlns:a16="http://schemas.microsoft.com/office/drawing/2014/main" id="{00000000-0008-0000-0000-0000A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96" name="Picture 11" hidden="1">
          <a:extLst>
            <a:ext uri="{FF2B5EF4-FFF2-40B4-BE49-F238E27FC236}">
              <a16:creationId xmlns:a16="http://schemas.microsoft.com/office/drawing/2014/main" id="{00000000-0008-0000-0000-0000B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98" name="Picture 11" hidden="1">
          <a:extLst>
            <a:ext uri="{FF2B5EF4-FFF2-40B4-BE49-F238E27FC236}">
              <a16:creationId xmlns:a16="http://schemas.microsoft.com/office/drawing/2014/main" id="{00000000-0008-0000-0000-0000B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00" name="Picture 11" hidden="1">
          <a:extLst>
            <a:ext uri="{FF2B5EF4-FFF2-40B4-BE49-F238E27FC236}">
              <a16:creationId xmlns:a16="http://schemas.microsoft.com/office/drawing/2014/main" id="{00000000-0008-0000-0000-0000B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02" name="Picture 11" hidden="1">
          <a:extLst>
            <a:ext uri="{FF2B5EF4-FFF2-40B4-BE49-F238E27FC236}">
              <a16:creationId xmlns:a16="http://schemas.microsoft.com/office/drawing/2014/main" id="{00000000-0008-0000-0000-0000B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04" name="Picture 11" hidden="1">
          <a:extLst>
            <a:ext uri="{FF2B5EF4-FFF2-40B4-BE49-F238E27FC236}">
              <a16:creationId xmlns:a16="http://schemas.microsoft.com/office/drawing/2014/main" id="{00000000-0008-0000-0000-0000B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06" name="Picture 11" hidden="1">
          <a:extLst>
            <a:ext uri="{FF2B5EF4-FFF2-40B4-BE49-F238E27FC236}">
              <a16:creationId xmlns:a16="http://schemas.microsoft.com/office/drawing/2014/main" id="{00000000-0008-0000-0000-0000B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08" name="Picture 11" hidden="1">
          <a:extLst>
            <a:ext uri="{FF2B5EF4-FFF2-40B4-BE49-F238E27FC236}">
              <a16:creationId xmlns:a16="http://schemas.microsoft.com/office/drawing/2014/main" id="{00000000-0008-0000-0000-0000B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10" name="Picture 11" hidden="1">
          <a:extLst>
            <a:ext uri="{FF2B5EF4-FFF2-40B4-BE49-F238E27FC236}">
              <a16:creationId xmlns:a16="http://schemas.microsoft.com/office/drawing/2014/main" id="{00000000-0008-0000-0000-0000B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12" name="Picture 11" hidden="1">
          <a:extLst>
            <a:ext uri="{FF2B5EF4-FFF2-40B4-BE49-F238E27FC236}">
              <a16:creationId xmlns:a16="http://schemas.microsoft.com/office/drawing/2014/main" id="{00000000-0008-0000-0000-0000C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14" name="Picture 11" hidden="1">
          <a:extLst>
            <a:ext uri="{FF2B5EF4-FFF2-40B4-BE49-F238E27FC236}">
              <a16:creationId xmlns:a16="http://schemas.microsoft.com/office/drawing/2014/main" id="{00000000-0008-0000-0000-0000C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16" name="Picture 11" hidden="1">
          <a:extLst>
            <a:ext uri="{FF2B5EF4-FFF2-40B4-BE49-F238E27FC236}">
              <a16:creationId xmlns:a16="http://schemas.microsoft.com/office/drawing/2014/main" id="{00000000-0008-0000-0000-0000C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18" name="Picture 11" hidden="1">
          <a:extLst>
            <a:ext uri="{FF2B5EF4-FFF2-40B4-BE49-F238E27FC236}">
              <a16:creationId xmlns:a16="http://schemas.microsoft.com/office/drawing/2014/main" id="{00000000-0008-0000-0000-0000C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20" name="Picture 11" hidden="1">
          <a:extLst>
            <a:ext uri="{FF2B5EF4-FFF2-40B4-BE49-F238E27FC236}">
              <a16:creationId xmlns:a16="http://schemas.microsoft.com/office/drawing/2014/main" id="{00000000-0008-0000-0000-0000C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22" name="Picture 11" hidden="1">
          <a:extLst>
            <a:ext uri="{FF2B5EF4-FFF2-40B4-BE49-F238E27FC236}">
              <a16:creationId xmlns:a16="http://schemas.microsoft.com/office/drawing/2014/main" id="{00000000-0008-0000-0000-0000C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24" name="Picture 11" hidden="1">
          <a:extLst>
            <a:ext uri="{FF2B5EF4-FFF2-40B4-BE49-F238E27FC236}">
              <a16:creationId xmlns:a16="http://schemas.microsoft.com/office/drawing/2014/main" id="{00000000-0008-0000-0000-0000C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26" name="Picture 11" hidden="1">
          <a:extLst>
            <a:ext uri="{FF2B5EF4-FFF2-40B4-BE49-F238E27FC236}">
              <a16:creationId xmlns:a16="http://schemas.microsoft.com/office/drawing/2014/main" id="{00000000-0008-0000-0000-0000C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28" name="Picture 11" hidden="1">
          <a:extLst>
            <a:ext uri="{FF2B5EF4-FFF2-40B4-BE49-F238E27FC236}">
              <a16:creationId xmlns:a16="http://schemas.microsoft.com/office/drawing/2014/main" id="{00000000-0008-0000-0000-0000D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30" name="Picture 11" hidden="1">
          <a:extLst>
            <a:ext uri="{FF2B5EF4-FFF2-40B4-BE49-F238E27FC236}">
              <a16:creationId xmlns:a16="http://schemas.microsoft.com/office/drawing/2014/main" id="{00000000-0008-0000-0000-0000D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32" name="Picture 11" hidden="1">
          <a:extLst>
            <a:ext uri="{FF2B5EF4-FFF2-40B4-BE49-F238E27FC236}">
              <a16:creationId xmlns:a16="http://schemas.microsoft.com/office/drawing/2014/main" id="{00000000-0008-0000-0000-0000D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34" name="Picture 11" hidden="1">
          <a:extLst>
            <a:ext uri="{FF2B5EF4-FFF2-40B4-BE49-F238E27FC236}">
              <a16:creationId xmlns:a16="http://schemas.microsoft.com/office/drawing/2014/main" id="{00000000-0008-0000-0000-0000D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36" name="Picture 11" hidden="1">
          <a:extLst>
            <a:ext uri="{FF2B5EF4-FFF2-40B4-BE49-F238E27FC236}">
              <a16:creationId xmlns:a16="http://schemas.microsoft.com/office/drawing/2014/main" id="{00000000-0008-0000-0000-0000D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38" name="Picture 11" hidden="1">
          <a:extLst>
            <a:ext uri="{FF2B5EF4-FFF2-40B4-BE49-F238E27FC236}">
              <a16:creationId xmlns:a16="http://schemas.microsoft.com/office/drawing/2014/main" id="{00000000-0008-0000-0000-0000D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40" name="Picture 11" hidden="1">
          <a:extLst>
            <a:ext uri="{FF2B5EF4-FFF2-40B4-BE49-F238E27FC236}">
              <a16:creationId xmlns:a16="http://schemas.microsoft.com/office/drawing/2014/main" id="{00000000-0008-0000-0000-0000D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42" name="Picture 11" hidden="1">
          <a:extLst>
            <a:ext uri="{FF2B5EF4-FFF2-40B4-BE49-F238E27FC236}">
              <a16:creationId xmlns:a16="http://schemas.microsoft.com/office/drawing/2014/main" id="{00000000-0008-0000-0000-0000D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44" name="Picture 11" hidden="1">
          <a:extLst>
            <a:ext uri="{FF2B5EF4-FFF2-40B4-BE49-F238E27FC236}">
              <a16:creationId xmlns:a16="http://schemas.microsoft.com/office/drawing/2014/main" id="{00000000-0008-0000-0000-0000E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46" name="Picture 11" hidden="1">
          <a:extLst>
            <a:ext uri="{FF2B5EF4-FFF2-40B4-BE49-F238E27FC236}">
              <a16:creationId xmlns:a16="http://schemas.microsoft.com/office/drawing/2014/main" id="{00000000-0008-0000-0000-0000E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48" name="Picture 11" hidden="1">
          <a:extLst>
            <a:ext uri="{FF2B5EF4-FFF2-40B4-BE49-F238E27FC236}">
              <a16:creationId xmlns:a16="http://schemas.microsoft.com/office/drawing/2014/main" id="{00000000-0008-0000-0000-0000E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50" name="Picture 11" hidden="1">
          <a:extLst>
            <a:ext uri="{FF2B5EF4-FFF2-40B4-BE49-F238E27FC236}">
              <a16:creationId xmlns:a16="http://schemas.microsoft.com/office/drawing/2014/main" id="{00000000-0008-0000-0000-0000E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52" name="Picture 11" hidden="1">
          <a:extLst>
            <a:ext uri="{FF2B5EF4-FFF2-40B4-BE49-F238E27FC236}">
              <a16:creationId xmlns:a16="http://schemas.microsoft.com/office/drawing/2014/main" id="{00000000-0008-0000-0000-0000E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54" name="Picture 11" hidden="1">
          <a:extLst>
            <a:ext uri="{FF2B5EF4-FFF2-40B4-BE49-F238E27FC236}">
              <a16:creationId xmlns:a16="http://schemas.microsoft.com/office/drawing/2014/main" id="{00000000-0008-0000-0000-0000E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56" name="Picture 11" hidden="1">
          <a:extLst>
            <a:ext uri="{FF2B5EF4-FFF2-40B4-BE49-F238E27FC236}">
              <a16:creationId xmlns:a16="http://schemas.microsoft.com/office/drawing/2014/main" id="{00000000-0008-0000-0000-0000E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58" name="Picture 11" hidden="1">
          <a:extLst>
            <a:ext uri="{FF2B5EF4-FFF2-40B4-BE49-F238E27FC236}">
              <a16:creationId xmlns:a16="http://schemas.microsoft.com/office/drawing/2014/main" id="{00000000-0008-0000-0000-0000E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60" name="Picture 11" hidden="1">
          <a:extLst>
            <a:ext uri="{FF2B5EF4-FFF2-40B4-BE49-F238E27FC236}">
              <a16:creationId xmlns:a16="http://schemas.microsoft.com/office/drawing/2014/main" id="{00000000-0008-0000-0000-0000F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62" name="Picture 11" hidden="1">
          <a:extLst>
            <a:ext uri="{FF2B5EF4-FFF2-40B4-BE49-F238E27FC236}">
              <a16:creationId xmlns:a16="http://schemas.microsoft.com/office/drawing/2014/main" id="{00000000-0008-0000-0000-0000F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64" name="Picture 11" hidden="1">
          <a:extLst>
            <a:ext uri="{FF2B5EF4-FFF2-40B4-BE49-F238E27FC236}">
              <a16:creationId xmlns:a16="http://schemas.microsoft.com/office/drawing/2014/main" id="{00000000-0008-0000-0000-0000F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66" name="Picture 11" hidden="1">
          <a:extLst>
            <a:ext uri="{FF2B5EF4-FFF2-40B4-BE49-F238E27FC236}">
              <a16:creationId xmlns:a16="http://schemas.microsoft.com/office/drawing/2014/main" id="{00000000-0008-0000-0000-0000F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68" name="Picture 11" hidden="1">
          <a:extLst>
            <a:ext uri="{FF2B5EF4-FFF2-40B4-BE49-F238E27FC236}">
              <a16:creationId xmlns:a16="http://schemas.microsoft.com/office/drawing/2014/main" id="{00000000-0008-0000-0000-0000F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70" name="Picture 11" hidden="1">
          <a:extLst>
            <a:ext uri="{FF2B5EF4-FFF2-40B4-BE49-F238E27FC236}">
              <a16:creationId xmlns:a16="http://schemas.microsoft.com/office/drawing/2014/main" id="{00000000-0008-0000-0000-0000F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72" name="Picture 11" hidden="1">
          <a:extLst>
            <a:ext uri="{FF2B5EF4-FFF2-40B4-BE49-F238E27FC236}">
              <a16:creationId xmlns:a16="http://schemas.microsoft.com/office/drawing/2014/main" id="{00000000-0008-0000-0000-0000F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74" name="Picture 11" hidden="1">
          <a:extLst>
            <a:ext uri="{FF2B5EF4-FFF2-40B4-BE49-F238E27FC236}">
              <a16:creationId xmlns:a16="http://schemas.microsoft.com/office/drawing/2014/main" id="{00000000-0008-0000-0000-0000F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76" name="Picture 11" hidden="1">
          <a:extLst>
            <a:ext uri="{FF2B5EF4-FFF2-40B4-BE49-F238E27FC236}">
              <a16:creationId xmlns:a16="http://schemas.microsoft.com/office/drawing/2014/main" id="{00000000-0008-0000-0000-00000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78" name="Picture 11" hidden="1">
          <a:extLst>
            <a:ext uri="{FF2B5EF4-FFF2-40B4-BE49-F238E27FC236}">
              <a16:creationId xmlns:a16="http://schemas.microsoft.com/office/drawing/2014/main" id="{00000000-0008-0000-0000-00000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80" name="Picture 11" hidden="1">
          <a:extLst>
            <a:ext uri="{FF2B5EF4-FFF2-40B4-BE49-F238E27FC236}">
              <a16:creationId xmlns:a16="http://schemas.microsoft.com/office/drawing/2014/main" id="{00000000-0008-0000-0000-00000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82" name="Picture 11" hidden="1">
          <a:extLst>
            <a:ext uri="{FF2B5EF4-FFF2-40B4-BE49-F238E27FC236}">
              <a16:creationId xmlns:a16="http://schemas.microsoft.com/office/drawing/2014/main" id="{00000000-0008-0000-0000-00000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84" name="Picture 11" hidden="1">
          <a:extLst>
            <a:ext uri="{FF2B5EF4-FFF2-40B4-BE49-F238E27FC236}">
              <a16:creationId xmlns:a16="http://schemas.microsoft.com/office/drawing/2014/main" id="{00000000-0008-0000-0000-00000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86" name="Picture 11785" hidden="1">
          <a:extLst>
            <a:ext uri="{FF2B5EF4-FFF2-40B4-BE49-F238E27FC236}">
              <a16:creationId xmlns:a16="http://schemas.microsoft.com/office/drawing/2014/main" id="{00000000-0008-0000-0000-00000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88" name="Picture 11" hidden="1">
          <a:extLst>
            <a:ext uri="{FF2B5EF4-FFF2-40B4-BE49-F238E27FC236}">
              <a16:creationId xmlns:a16="http://schemas.microsoft.com/office/drawing/2014/main" id="{00000000-0008-0000-0000-00000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90" name="Picture 11" hidden="1">
          <a:extLst>
            <a:ext uri="{FF2B5EF4-FFF2-40B4-BE49-F238E27FC236}">
              <a16:creationId xmlns:a16="http://schemas.microsoft.com/office/drawing/2014/main" id="{00000000-0008-0000-0000-00000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92" name="Picture 11" hidden="1">
          <a:extLst>
            <a:ext uri="{FF2B5EF4-FFF2-40B4-BE49-F238E27FC236}">
              <a16:creationId xmlns:a16="http://schemas.microsoft.com/office/drawing/2014/main" id="{00000000-0008-0000-0000-00001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94" name="Picture 11" hidden="1">
          <a:extLst>
            <a:ext uri="{FF2B5EF4-FFF2-40B4-BE49-F238E27FC236}">
              <a16:creationId xmlns:a16="http://schemas.microsoft.com/office/drawing/2014/main" id="{00000000-0008-0000-0000-00001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96" name="Picture 11" hidden="1">
          <a:extLst>
            <a:ext uri="{FF2B5EF4-FFF2-40B4-BE49-F238E27FC236}">
              <a16:creationId xmlns:a16="http://schemas.microsoft.com/office/drawing/2014/main" id="{00000000-0008-0000-0000-00001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98" name="Picture 11" hidden="1">
          <a:extLst>
            <a:ext uri="{FF2B5EF4-FFF2-40B4-BE49-F238E27FC236}">
              <a16:creationId xmlns:a16="http://schemas.microsoft.com/office/drawing/2014/main" id="{00000000-0008-0000-0000-00001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00" name="Picture 11" hidden="1">
          <a:extLst>
            <a:ext uri="{FF2B5EF4-FFF2-40B4-BE49-F238E27FC236}">
              <a16:creationId xmlns:a16="http://schemas.microsoft.com/office/drawing/2014/main" id="{00000000-0008-0000-0000-00001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02" name="Picture 11" hidden="1">
          <a:extLst>
            <a:ext uri="{FF2B5EF4-FFF2-40B4-BE49-F238E27FC236}">
              <a16:creationId xmlns:a16="http://schemas.microsoft.com/office/drawing/2014/main" id="{00000000-0008-0000-0000-00001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04" name="Picture 11" hidden="1">
          <a:extLst>
            <a:ext uri="{FF2B5EF4-FFF2-40B4-BE49-F238E27FC236}">
              <a16:creationId xmlns:a16="http://schemas.microsoft.com/office/drawing/2014/main" id="{00000000-0008-0000-0000-00001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06" name="Picture 11" hidden="1">
          <a:extLst>
            <a:ext uri="{FF2B5EF4-FFF2-40B4-BE49-F238E27FC236}">
              <a16:creationId xmlns:a16="http://schemas.microsoft.com/office/drawing/2014/main" id="{00000000-0008-0000-0000-00001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08" name="Picture 11" hidden="1">
          <a:extLst>
            <a:ext uri="{FF2B5EF4-FFF2-40B4-BE49-F238E27FC236}">
              <a16:creationId xmlns:a16="http://schemas.microsoft.com/office/drawing/2014/main" id="{00000000-0008-0000-0000-00002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10" name="Picture 11" hidden="1">
          <a:extLst>
            <a:ext uri="{FF2B5EF4-FFF2-40B4-BE49-F238E27FC236}">
              <a16:creationId xmlns:a16="http://schemas.microsoft.com/office/drawing/2014/main" id="{00000000-0008-0000-0000-00002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12" name="Picture 11" hidden="1">
          <a:extLst>
            <a:ext uri="{FF2B5EF4-FFF2-40B4-BE49-F238E27FC236}">
              <a16:creationId xmlns:a16="http://schemas.microsoft.com/office/drawing/2014/main" id="{00000000-0008-0000-0000-00002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14" name="Picture 11" hidden="1">
          <a:extLst>
            <a:ext uri="{FF2B5EF4-FFF2-40B4-BE49-F238E27FC236}">
              <a16:creationId xmlns:a16="http://schemas.microsoft.com/office/drawing/2014/main" id="{00000000-0008-0000-0000-00002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16" name="Picture 11" hidden="1">
          <a:extLst>
            <a:ext uri="{FF2B5EF4-FFF2-40B4-BE49-F238E27FC236}">
              <a16:creationId xmlns:a16="http://schemas.microsoft.com/office/drawing/2014/main" id="{00000000-0008-0000-0000-00002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18" name="Picture 11" hidden="1">
          <a:extLst>
            <a:ext uri="{FF2B5EF4-FFF2-40B4-BE49-F238E27FC236}">
              <a16:creationId xmlns:a16="http://schemas.microsoft.com/office/drawing/2014/main" id="{00000000-0008-0000-0000-00002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20" name="Picture 11" hidden="1">
          <a:extLst>
            <a:ext uri="{FF2B5EF4-FFF2-40B4-BE49-F238E27FC236}">
              <a16:creationId xmlns:a16="http://schemas.microsoft.com/office/drawing/2014/main" id="{00000000-0008-0000-0000-00002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22" name="Picture 11" hidden="1">
          <a:extLst>
            <a:ext uri="{FF2B5EF4-FFF2-40B4-BE49-F238E27FC236}">
              <a16:creationId xmlns:a16="http://schemas.microsoft.com/office/drawing/2014/main" id="{00000000-0008-0000-0000-00002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24" name="Picture 11" hidden="1">
          <a:extLst>
            <a:ext uri="{FF2B5EF4-FFF2-40B4-BE49-F238E27FC236}">
              <a16:creationId xmlns:a16="http://schemas.microsoft.com/office/drawing/2014/main" id="{00000000-0008-0000-0000-00003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26" name="Picture 11" hidden="1">
          <a:extLst>
            <a:ext uri="{FF2B5EF4-FFF2-40B4-BE49-F238E27FC236}">
              <a16:creationId xmlns:a16="http://schemas.microsoft.com/office/drawing/2014/main" id="{00000000-0008-0000-0000-00003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28" name="Picture 11" hidden="1">
          <a:extLst>
            <a:ext uri="{FF2B5EF4-FFF2-40B4-BE49-F238E27FC236}">
              <a16:creationId xmlns:a16="http://schemas.microsoft.com/office/drawing/2014/main" id="{00000000-0008-0000-0000-00003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30" name="Picture 11" hidden="1">
          <a:extLst>
            <a:ext uri="{FF2B5EF4-FFF2-40B4-BE49-F238E27FC236}">
              <a16:creationId xmlns:a16="http://schemas.microsoft.com/office/drawing/2014/main" id="{00000000-0008-0000-0000-00003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32" name="Picture 11" hidden="1">
          <a:extLst>
            <a:ext uri="{FF2B5EF4-FFF2-40B4-BE49-F238E27FC236}">
              <a16:creationId xmlns:a16="http://schemas.microsoft.com/office/drawing/2014/main" id="{00000000-0008-0000-0000-00003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34" name="Picture 11" hidden="1">
          <a:extLst>
            <a:ext uri="{FF2B5EF4-FFF2-40B4-BE49-F238E27FC236}">
              <a16:creationId xmlns:a16="http://schemas.microsoft.com/office/drawing/2014/main" id="{00000000-0008-0000-0000-00003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36" name="Picture 11" hidden="1">
          <a:extLst>
            <a:ext uri="{FF2B5EF4-FFF2-40B4-BE49-F238E27FC236}">
              <a16:creationId xmlns:a16="http://schemas.microsoft.com/office/drawing/2014/main" id="{00000000-0008-0000-0000-00003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38" name="Picture 11" hidden="1">
          <a:extLst>
            <a:ext uri="{FF2B5EF4-FFF2-40B4-BE49-F238E27FC236}">
              <a16:creationId xmlns:a16="http://schemas.microsoft.com/office/drawing/2014/main" id="{00000000-0008-0000-0000-00003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40" name="Picture 11" hidden="1">
          <a:extLst>
            <a:ext uri="{FF2B5EF4-FFF2-40B4-BE49-F238E27FC236}">
              <a16:creationId xmlns:a16="http://schemas.microsoft.com/office/drawing/2014/main" id="{00000000-0008-0000-0000-00004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42" name="Picture 11" hidden="1">
          <a:extLst>
            <a:ext uri="{FF2B5EF4-FFF2-40B4-BE49-F238E27FC236}">
              <a16:creationId xmlns:a16="http://schemas.microsoft.com/office/drawing/2014/main" id="{00000000-0008-0000-0000-00004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44" name="Picture 11" hidden="1">
          <a:extLst>
            <a:ext uri="{FF2B5EF4-FFF2-40B4-BE49-F238E27FC236}">
              <a16:creationId xmlns:a16="http://schemas.microsoft.com/office/drawing/2014/main" id="{00000000-0008-0000-0000-00004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46" name="Picture 11" hidden="1">
          <a:extLst>
            <a:ext uri="{FF2B5EF4-FFF2-40B4-BE49-F238E27FC236}">
              <a16:creationId xmlns:a16="http://schemas.microsoft.com/office/drawing/2014/main" id="{00000000-0008-0000-0000-00004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48" name="Picture 11" hidden="1">
          <a:extLst>
            <a:ext uri="{FF2B5EF4-FFF2-40B4-BE49-F238E27FC236}">
              <a16:creationId xmlns:a16="http://schemas.microsoft.com/office/drawing/2014/main" id="{00000000-0008-0000-0000-00004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50" name="Picture 11" hidden="1">
          <a:extLst>
            <a:ext uri="{FF2B5EF4-FFF2-40B4-BE49-F238E27FC236}">
              <a16:creationId xmlns:a16="http://schemas.microsoft.com/office/drawing/2014/main" id="{00000000-0008-0000-0000-00004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52" name="Picture 11" hidden="1">
          <a:extLst>
            <a:ext uri="{FF2B5EF4-FFF2-40B4-BE49-F238E27FC236}">
              <a16:creationId xmlns:a16="http://schemas.microsoft.com/office/drawing/2014/main" id="{00000000-0008-0000-0000-00004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54" name="Picture 11" hidden="1">
          <a:extLst>
            <a:ext uri="{FF2B5EF4-FFF2-40B4-BE49-F238E27FC236}">
              <a16:creationId xmlns:a16="http://schemas.microsoft.com/office/drawing/2014/main" id="{00000000-0008-0000-0000-00004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56" name="Picture 11" hidden="1">
          <a:extLst>
            <a:ext uri="{FF2B5EF4-FFF2-40B4-BE49-F238E27FC236}">
              <a16:creationId xmlns:a16="http://schemas.microsoft.com/office/drawing/2014/main" id="{00000000-0008-0000-0000-00005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58" name="Picture 11" hidden="1">
          <a:extLst>
            <a:ext uri="{FF2B5EF4-FFF2-40B4-BE49-F238E27FC236}">
              <a16:creationId xmlns:a16="http://schemas.microsoft.com/office/drawing/2014/main" id="{00000000-0008-0000-0000-00005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60" name="Picture 11" hidden="1">
          <a:extLst>
            <a:ext uri="{FF2B5EF4-FFF2-40B4-BE49-F238E27FC236}">
              <a16:creationId xmlns:a16="http://schemas.microsoft.com/office/drawing/2014/main" id="{00000000-0008-0000-0000-00005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62" name="Picture 11" hidden="1">
          <a:extLst>
            <a:ext uri="{FF2B5EF4-FFF2-40B4-BE49-F238E27FC236}">
              <a16:creationId xmlns:a16="http://schemas.microsoft.com/office/drawing/2014/main" id="{00000000-0008-0000-0000-00005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64" name="Picture 11" hidden="1">
          <a:extLst>
            <a:ext uri="{FF2B5EF4-FFF2-40B4-BE49-F238E27FC236}">
              <a16:creationId xmlns:a16="http://schemas.microsoft.com/office/drawing/2014/main" id="{00000000-0008-0000-0000-00005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66" name="Picture 11" hidden="1">
          <a:extLst>
            <a:ext uri="{FF2B5EF4-FFF2-40B4-BE49-F238E27FC236}">
              <a16:creationId xmlns:a16="http://schemas.microsoft.com/office/drawing/2014/main" id="{00000000-0008-0000-0000-00005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68" name="Picture 11" hidden="1">
          <a:extLst>
            <a:ext uri="{FF2B5EF4-FFF2-40B4-BE49-F238E27FC236}">
              <a16:creationId xmlns:a16="http://schemas.microsoft.com/office/drawing/2014/main" id="{00000000-0008-0000-0000-00005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70" name="Picture 11" hidden="1">
          <a:extLst>
            <a:ext uri="{FF2B5EF4-FFF2-40B4-BE49-F238E27FC236}">
              <a16:creationId xmlns:a16="http://schemas.microsoft.com/office/drawing/2014/main" id="{00000000-0008-0000-0000-00005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72" name="Picture 11" hidden="1">
          <a:extLst>
            <a:ext uri="{FF2B5EF4-FFF2-40B4-BE49-F238E27FC236}">
              <a16:creationId xmlns:a16="http://schemas.microsoft.com/office/drawing/2014/main" id="{00000000-0008-0000-0000-00006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74" name="Picture 11" hidden="1">
          <a:extLst>
            <a:ext uri="{FF2B5EF4-FFF2-40B4-BE49-F238E27FC236}">
              <a16:creationId xmlns:a16="http://schemas.microsoft.com/office/drawing/2014/main" id="{00000000-0008-0000-0000-00006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76" name="Picture 11" hidden="1">
          <a:extLst>
            <a:ext uri="{FF2B5EF4-FFF2-40B4-BE49-F238E27FC236}">
              <a16:creationId xmlns:a16="http://schemas.microsoft.com/office/drawing/2014/main" id="{00000000-0008-0000-0000-00006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78" name="Picture 11" hidden="1">
          <a:extLst>
            <a:ext uri="{FF2B5EF4-FFF2-40B4-BE49-F238E27FC236}">
              <a16:creationId xmlns:a16="http://schemas.microsoft.com/office/drawing/2014/main" id="{00000000-0008-0000-0000-00006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80" name="Picture 11" hidden="1">
          <a:extLst>
            <a:ext uri="{FF2B5EF4-FFF2-40B4-BE49-F238E27FC236}">
              <a16:creationId xmlns:a16="http://schemas.microsoft.com/office/drawing/2014/main" id="{00000000-0008-0000-0000-00006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82" name="Picture 11" hidden="1">
          <a:extLst>
            <a:ext uri="{FF2B5EF4-FFF2-40B4-BE49-F238E27FC236}">
              <a16:creationId xmlns:a16="http://schemas.microsoft.com/office/drawing/2014/main" id="{00000000-0008-0000-0000-00006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84" name="Picture 11" hidden="1">
          <a:extLst>
            <a:ext uri="{FF2B5EF4-FFF2-40B4-BE49-F238E27FC236}">
              <a16:creationId xmlns:a16="http://schemas.microsoft.com/office/drawing/2014/main" id="{00000000-0008-0000-0000-00006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11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E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11886" name="Picture 11" hidden="1">
          <a:extLst>
            <a:ext uri="{FF2B5EF4-FFF2-40B4-BE49-F238E27FC236}">
              <a16:creationId xmlns:a16="http://schemas.microsoft.com/office/drawing/2014/main" id="{00000000-0008-0000-0000-00006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88" name="Picture 11" hidden="1">
          <a:extLst>
            <a:ext uri="{FF2B5EF4-FFF2-40B4-BE49-F238E27FC236}">
              <a16:creationId xmlns:a16="http://schemas.microsoft.com/office/drawing/2014/main" id="{00000000-0008-0000-0000-00007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90" name="Picture 11" hidden="1">
          <a:extLst>
            <a:ext uri="{FF2B5EF4-FFF2-40B4-BE49-F238E27FC236}">
              <a16:creationId xmlns:a16="http://schemas.microsoft.com/office/drawing/2014/main" id="{00000000-0008-0000-0000-00007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92" name="Picture 11" hidden="1">
          <a:extLst>
            <a:ext uri="{FF2B5EF4-FFF2-40B4-BE49-F238E27FC236}">
              <a16:creationId xmlns:a16="http://schemas.microsoft.com/office/drawing/2014/main" id="{00000000-0008-0000-0000-00007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94" name="Picture 11893" hidden="1">
          <a:extLst>
            <a:ext uri="{FF2B5EF4-FFF2-40B4-BE49-F238E27FC236}">
              <a16:creationId xmlns:a16="http://schemas.microsoft.com/office/drawing/2014/main" id="{00000000-0008-0000-0000-00007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96" name="Picture 11" hidden="1">
          <a:extLst>
            <a:ext uri="{FF2B5EF4-FFF2-40B4-BE49-F238E27FC236}">
              <a16:creationId xmlns:a16="http://schemas.microsoft.com/office/drawing/2014/main" id="{00000000-0008-0000-0000-00007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98" name="Picture 11" hidden="1">
          <a:extLst>
            <a:ext uri="{FF2B5EF4-FFF2-40B4-BE49-F238E27FC236}">
              <a16:creationId xmlns:a16="http://schemas.microsoft.com/office/drawing/2014/main" id="{00000000-0008-0000-0000-00007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00" name="Picture 11" hidden="1">
          <a:extLst>
            <a:ext uri="{FF2B5EF4-FFF2-40B4-BE49-F238E27FC236}">
              <a16:creationId xmlns:a16="http://schemas.microsoft.com/office/drawing/2014/main" id="{00000000-0008-0000-0000-00007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02" name="Picture 11" hidden="1">
          <a:extLst>
            <a:ext uri="{FF2B5EF4-FFF2-40B4-BE49-F238E27FC236}">
              <a16:creationId xmlns:a16="http://schemas.microsoft.com/office/drawing/2014/main" id="{00000000-0008-0000-0000-00007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04" name="Picture 11" hidden="1">
          <a:extLst>
            <a:ext uri="{FF2B5EF4-FFF2-40B4-BE49-F238E27FC236}">
              <a16:creationId xmlns:a16="http://schemas.microsoft.com/office/drawing/2014/main" id="{00000000-0008-0000-0000-00008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06" name="Picture 11" hidden="1">
          <a:extLst>
            <a:ext uri="{FF2B5EF4-FFF2-40B4-BE49-F238E27FC236}">
              <a16:creationId xmlns:a16="http://schemas.microsoft.com/office/drawing/2014/main" id="{00000000-0008-0000-0000-00008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08" name="Picture 11" hidden="1">
          <a:extLst>
            <a:ext uri="{FF2B5EF4-FFF2-40B4-BE49-F238E27FC236}">
              <a16:creationId xmlns:a16="http://schemas.microsoft.com/office/drawing/2014/main" id="{00000000-0008-0000-0000-00008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10" name="Picture 11" hidden="1">
          <a:extLst>
            <a:ext uri="{FF2B5EF4-FFF2-40B4-BE49-F238E27FC236}">
              <a16:creationId xmlns:a16="http://schemas.microsoft.com/office/drawing/2014/main" id="{00000000-0008-0000-0000-00008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12" name="Picture 11" hidden="1">
          <a:extLst>
            <a:ext uri="{FF2B5EF4-FFF2-40B4-BE49-F238E27FC236}">
              <a16:creationId xmlns:a16="http://schemas.microsoft.com/office/drawing/2014/main" id="{00000000-0008-0000-0000-00008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14" name="Picture 11" hidden="1">
          <a:extLst>
            <a:ext uri="{FF2B5EF4-FFF2-40B4-BE49-F238E27FC236}">
              <a16:creationId xmlns:a16="http://schemas.microsoft.com/office/drawing/2014/main" id="{00000000-0008-0000-0000-00008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16" name="Picture 11" hidden="1">
          <a:extLst>
            <a:ext uri="{FF2B5EF4-FFF2-40B4-BE49-F238E27FC236}">
              <a16:creationId xmlns:a16="http://schemas.microsoft.com/office/drawing/2014/main" id="{00000000-0008-0000-0000-00008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18" name="Picture 11" hidden="1">
          <a:extLst>
            <a:ext uri="{FF2B5EF4-FFF2-40B4-BE49-F238E27FC236}">
              <a16:creationId xmlns:a16="http://schemas.microsoft.com/office/drawing/2014/main" id="{00000000-0008-0000-0000-00008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20" name="Picture 11" hidden="1">
          <a:extLst>
            <a:ext uri="{FF2B5EF4-FFF2-40B4-BE49-F238E27FC236}">
              <a16:creationId xmlns:a16="http://schemas.microsoft.com/office/drawing/2014/main" id="{00000000-0008-0000-0000-00009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22" name="Picture 11" hidden="1">
          <a:extLst>
            <a:ext uri="{FF2B5EF4-FFF2-40B4-BE49-F238E27FC236}">
              <a16:creationId xmlns:a16="http://schemas.microsoft.com/office/drawing/2014/main" id="{00000000-0008-0000-0000-00009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24" name="Picture 11" hidden="1">
          <a:extLst>
            <a:ext uri="{FF2B5EF4-FFF2-40B4-BE49-F238E27FC236}">
              <a16:creationId xmlns:a16="http://schemas.microsoft.com/office/drawing/2014/main" id="{00000000-0008-0000-0000-00009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26" name="Picture 11" hidden="1">
          <a:extLst>
            <a:ext uri="{FF2B5EF4-FFF2-40B4-BE49-F238E27FC236}">
              <a16:creationId xmlns:a16="http://schemas.microsoft.com/office/drawing/2014/main" id="{00000000-0008-0000-0000-00009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28" name="Picture 11" hidden="1">
          <a:extLst>
            <a:ext uri="{FF2B5EF4-FFF2-40B4-BE49-F238E27FC236}">
              <a16:creationId xmlns:a16="http://schemas.microsoft.com/office/drawing/2014/main" id="{00000000-0008-0000-0000-00009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30" name="Picture 11" hidden="1">
          <a:extLst>
            <a:ext uri="{FF2B5EF4-FFF2-40B4-BE49-F238E27FC236}">
              <a16:creationId xmlns:a16="http://schemas.microsoft.com/office/drawing/2014/main" id="{00000000-0008-0000-0000-00009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32" name="Picture 11" hidden="1">
          <a:extLst>
            <a:ext uri="{FF2B5EF4-FFF2-40B4-BE49-F238E27FC236}">
              <a16:creationId xmlns:a16="http://schemas.microsoft.com/office/drawing/2014/main" id="{00000000-0008-0000-0000-00009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34" name="Picture 11" hidden="1">
          <a:extLst>
            <a:ext uri="{FF2B5EF4-FFF2-40B4-BE49-F238E27FC236}">
              <a16:creationId xmlns:a16="http://schemas.microsoft.com/office/drawing/2014/main" id="{00000000-0008-0000-0000-00009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36" name="Picture 11" hidden="1">
          <a:extLst>
            <a:ext uri="{FF2B5EF4-FFF2-40B4-BE49-F238E27FC236}">
              <a16:creationId xmlns:a16="http://schemas.microsoft.com/office/drawing/2014/main" id="{00000000-0008-0000-0000-0000A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38" name="Picture 11" hidden="1">
          <a:extLst>
            <a:ext uri="{FF2B5EF4-FFF2-40B4-BE49-F238E27FC236}">
              <a16:creationId xmlns:a16="http://schemas.microsoft.com/office/drawing/2014/main" id="{00000000-0008-0000-0000-0000A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40" name="Picture 11" hidden="1">
          <a:extLst>
            <a:ext uri="{FF2B5EF4-FFF2-40B4-BE49-F238E27FC236}">
              <a16:creationId xmlns:a16="http://schemas.microsoft.com/office/drawing/2014/main" id="{00000000-0008-0000-0000-0000A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42" name="Picture 11" hidden="1">
          <a:extLst>
            <a:ext uri="{FF2B5EF4-FFF2-40B4-BE49-F238E27FC236}">
              <a16:creationId xmlns:a16="http://schemas.microsoft.com/office/drawing/2014/main" id="{00000000-0008-0000-0000-0000A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44" name="Picture 11" hidden="1">
          <a:extLst>
            <a:ext uri="{FF2B5EF4-FFF2-40B4-BE49-F238E27FC236}">
              <a16:creationId xmlns:a16="http://schemas.microsoft.com/office/drawing/2014/main" id="{00000000-0008-0000-0000-0000A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46" name="Picture 11" hidden="1">
          <a:extLst>
            <a:ext uri="{FF2B5EF4-FFF2-40B4-BE49-F238E27FC236}">
              <a16:creationId xmlns:a16="http://schemas.microsoft.com/office/drawing/2014/main" id="{00000000-0008-0000-0000-0000A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48" name="Picture 11" hidden="1">
          <a:extLst>
            <a:ext uri="{FF2B5EF4-FFF2-40B4-BE49-F238E27FC236}">
              <a16:creationId xmlns:a16="http://schemas.microsoft.com/office/drawing/2014/main" id="{00000000-0008-0000-0000-0000A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50" name="Picture 11" hidden="1">
          <a:extLst>
            <a:ext uri="{FF2B5EF4-FFF2-40B4-BE49-F238E27FC236}">
              <a16:creationId xmlns:a16="http://schemas.microsoft.com/office/drawing/2014/main" id="{00000000-0008-0000-0000-0000A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52" name="Picture 11" hidden="1">
          <a:extLst>
            <a:ext uri="{FF2B5EF4-FFF2-40B4-BE49-F238E27FC236}">
              <a16:creationId xmlns:a16="http://schemas.microsoft.com/office/drawing/2014/main" id="{00000000-0008-0000-0000-0000B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54" name="Picture 11" hidden="1">
          <a:extLst>
            <a:ext uri="{FF2B5EF4-FFF2-40B4-BE49-F238E27FC236}">
              <a16:creationId xmlns:a16="http://schemas.microsoft.com/office/drawing/2014/main" id="{00000000-0008-0000-0000-0000B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56" name="Picture 11" hidden="1">
          <a:extLst>
            <a:ext uri="{FF2B5EF4-FFF2-40B4-BE49-F238E27FC236}">
              <a16:creationId xmlns:a16="http://schemas.microsoft.com/office/drawing/2014/main" id="{00000000-0008-0000-0000-0000B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58" name="Picture 11" hidden="1">
          <a:extLst>
            <a:ext uri="{FF2B5EF4-FFF2-40B4-BE49-F238E27FC236}">
              <a16:creationId xmlns:a16="http://schemas.microsoft.com/office/drawing/2014/main" id="{00000000-0008-0000-0000-0000B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60" name="Picture 11" hidden="1">
          <a:extLst>
            <a:ext uri="{FF2B5EF4-FFF2-40B4-BE49-F238E27FC236}">
              <a16:creationId xmlns:a16="http://schemas.microsoft.com/office/drawing/2014/main" id="{00000000-0008-0000-0000-0000B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62" name="Picture 11" hidden="1">
          <a:extLst>
            <a:ext uri="{FF2B5EF4-FFF2-40B4-BE49-F238E27FC236}">
              <a16:creationId xmlns:a16="http://schemas.microsoft.com/office/drawing/2014/main" id="{00000000-0008-0000-0000-0000B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64" name="Picture 11" hidden="1">
          <a:extLst>
            <a:ext uri="{FF2B5EF4-FFF2-40B4-BE49-F238E27FC236}">
              <a16:creationId xmlns:a16="http://schemas.microsoft.com/office/drawing/2014/main" id="{00000000-0008-0000-0000-0000B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66" name="Picture 11" hidden="1">
          <a:extLst>
            <a:ext uri="{FF2B5EF4-FFF2-40B4-BE49-F238E27FC236}">
              <a16:creationId xmlns:a16="http://schemas.microsoft.com/office/drawing/2014/main" id="{00000000-0008-0000-0000-0000B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68" name="Picture 11" hidden="1">
          <a:extLst>
            <a:ext uri="{FF2B5EF4-FFF2-40B4-BE49-F238E27FC236}">
              <a16:creationId xmlns:a16="http://schemas.microsoft.com/office/drawing/2014/main" id="{00000000-0008-0000-0000-0000C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70" name="Picture 11" hidden="1">
          <a:extLst>
            <a:ext uri="{FF2B5EF4-FFF2-40B4-BE49-F238E27FC236}">
              <a16:creationId xmlns:a16="http://schemas.microsoft.com/office/drawing/2014/main" id="{00000000-0008-0000-0000-0000C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72" name="Picture 11" hidden="1">
          <a:extLst>
            <a:ext uri="{FF2B5EF4-FFF2-40B4-BE49-F238E27FC236}">
              <a16:creationId xmlns:a16="http://schemas.microsoft.com/office/drawing/2014/main" id="{00000000-0008-0000-0000-0000C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74" name="Picture 11" hidden="1">
          <a:extLst>
            <a:ext uri="{FF2B5EF4-FFF2-40B4-BE49-F238E27FC236}">
              <a16:creationId xmlns:a16="http://schemas.microsoft.com/office/drawing/2014/main" id="{00000000-0008-0000-0000-0000C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76" name="Picture 11" hidden="1">
          <a:extLst>
            <a:ext uri="{FF2B5EF4-FFF2-40B4-BE49-F238E27FC236}">
              <a16:creationId xmlns:a16="http://schemas.microsoft.com/office/drawing/2014/main" id="{00000000-0008-0000-0000-0000C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78" name="Picture 11" hidden="1">
          <a:extLst>
            <a:ext uri="{FF2B5EF4-FFF2-40B4-BE49-F238E27FC236}">
              <a16:creationId xmlns:a16="http://schemas.microsoft.com/office/drawing/2014/main" id="{00000000-0008-0000-0000-0000C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80" name="Picture 11" hidden="1">
          <a:extLst>
            <a:ext uri="{FF2B5EF4-FFF2-40B4-BE49-F238E27FC236}">
              <a16:creationId xmlns:a16="http://schemas.microsoft.com/office/drawing/2014/main" id="{00000000-0008-0000-0000-0000C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82" name="Picture 11" hidden="1">
          <a:extLst>
            <a:ext uri="{FF2B5EF4-FFF2-40B4-BE49-F238E27FC236}">
              <a16:creationId xmlns:a16="http://schemas.microsoft.com/office/drawing/2014/main" id="{00000000-0008-0000-0000-0000C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84" name="Picture 11" hidden="1">
          <a:extLst>
            <a:ext uri="{FF2B5EF4-FFF2-40B4-BE49-F238E27FC236}">
              <a16:creationId xmlns:a16="http://schemas.microsoft.com/office/drawing/2014/main" id="{00000000-0008-0000-0000-0000D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86" name="Picture 11" hidden="1">
          <a:extLst>
            <a:ext uri="{FF2B5EF4-FFF2-40B4-BE49-F238E27FC236}">
              <a16:creationId xmlns:a16="http://schemas.microsoft.com/office/drawing/2014/main" id="{00000000-0008-0000-0000-0000D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88" name="Picture 11" hidden="1">
          <a:extLst>
            <a:ext uri="{FF2B5EF4-FFF2-40B4-BE49-F238E27FC236}">
              <a16:creationId xmlns:a16="http://schemas.microsoft.com/office/drawing/2014/main" id="{00000000-0008-0000-0000-0000D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90" name="Picture 11" hidden="1">
          <a:extLst>
            <a:ext uri="{FF2B5EF4-FFF2-40B4-BE49-F238E27FC236}">
              <a16:creationId xmlns:a16="http://schemas.microsoft.com/office/drawing/2014/main" id="{00000000-0008-0000-0000-0000D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92" name="Picture 11" hidden="1">
          <a:extLst>
            <a:ext uri="{FF2B5EF4-FFF2-40B4-BE49-F238E27FC236}">
              <a16:creationId xmlns:a16="http://schemas.microsoft.com/office/drawing/2014/main" id="{00000000-0008-0000-0000-0000D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94" name="Picture 11" hidden="1">
          <a:extLst>
            <a:ext uri="{FF2B5EF4-FFF2-40B4-BE49-F238E27FC236}">
              <a16:creationId xmlns:a16="http://schemas.microsoft.com/office/drawing/2014/main" id="{00000000-0008-0000-0000-0000D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96" name="Picture 11" hidden="1">
          <a:extLst>
            <a:ext uri="{FF2B5EF4-FFF2-40B4-BE49-F238E27FC236}">
              <a16:creationId xmlns:a16="http://schemas.microsoft.com/office/drawing/2014/main" id="{00000000-0008-0000-0000-0000D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98" name="Picture 11" hidden="1">
          <a:extLst>
            <a:ext uri="{FF2B5EF4-FFF2-40B4-BE49-F238E27FC236}">
              <a16:creationId xmlns:a16="http://schemas.microsoft.com/office/drawing/2014/main" id="{00000000-0008-0000-0000-0000D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00" name="Picture 11" hidden="1">
          <a:extLst>
            <a:ext uri="{FF2B5EF4-FFF2-40B4-BE49-F238E27FC236}">
              <a16:creationId xmlns:a16="http://schemas.microsoft.com/office/drawing/2014/main" id="{00000000-0008-0000-0000-0000E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02" name="Picture 12001" hidden="1">
          <a:extLst>
            <a:ext uri="{FF2B5EF4-FFF2-40B4-BE49-F238E27FC236}">
              <a16:creationId xmlns:a16="http://schemas.microsoft.com/office/drawing/2014/main" id="{00000000-0008-0000-0000-0000E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04" name="Picture 11" hidden="1">
          <a:extLst>
            <a:ext uri="{FF2B5EF4-FFF2-40B4-BE49-F238E27FC236}">
              <a16:creationId xmlns:a16="http://schemas.microsoft.com/office/drawing/2014/main" id="{00000000-0008-0000-0000-0000E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06" name="Picture 11" hidden="1">
          <a:extLst>
            <a:ext uri="{FF2B5EF4-FFF2-40B4-BE49-F238E27FC236}">
              <a16:creationId xmlns:a16="http://schemas.microsoft.com/office/drawing/2014/main" id="{00000000-0008-0000-0000-0000E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08" name="Picture 11" hidden="1">
          <a:extLst>
            <a:ext uri="{FF2B5EF4-FFF2-40B4-BE49-F238E27FC236}">
              <a16:creationId xmlns:a16="http://schemas.microsoft.com/office/drawing/2014/main" id="{00000000-0008-0000-0000-0000E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10" name="Picture 11" hidden="1">
          <a:extLst>
            <a:ext uri="{FF2B5EF4-FFF2-40B4-BE49-F238E27FC236}">
              <a16:creationId xmlns:a16="http://schemas.microsoft.com/office/drawing/2014/main" id="{00000000-0008-0000-0000-0000E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12" name="Picture 11" hidden="1">
          <a:extLst>
            <a:ext uri="{FF2B5EF4-FFF2-40B4-BE49-F238E27FC236}">
              <a16:creationId xmlns:a16="http://schemas.microsoft.com/office/drawing/2014/main" id="{00000000-0008-0000-0000-0000E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14" name="Picture 11" hidden="1">
          <a:extLst>
            <a:ext uri="{FF2B5EF4-FFF2-40B4-BE49-F238E27FC236}">
              <a16:creationId xmlns:a16="http://schemas.microsoft.com/office/drawing/2014/main" id="{00000000-0008-0000-0000-0000E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16" name="Picture 11" hidden="1">
          <a:extLst>
            <a:ext uri="{FF2B5EF4-FFF2-40B4-BE49-F238E27FC236}">
              <a16:creationId xmlns:a16="http://schemas.microsoft.com/office/drawing/2014/main" id="{00000000-0008-0000-0000-0000F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18" name="Picture 11" hidden="1">
          <a:extLst>
            <a:ext uri="{FF2B5EF4-FFF2-40B4-BE49-F238E27FC236}">
              <a16:creationId xmlns:a16="http://schemas.microsoft.com/office/drawing/2014/main" id="{00000000-0008-0000-0000-0000F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20" name="Picture 11" hidden="1">
          <a:extLst>
            <a:ext uri="{FF2B5EF4-FFF2-40B4-BE49-F238E27FC236}">
              <a16:creationId xmlns:a16="http://schemas.microsoft.com/office/drawing/2014/main" id="{00000000-0008-0000-0000-0000F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22" name="Picture 11" hidden="1">
          <a:extLst>
            <a:ext uri="{FF2B5EF4-FFF2-40B4-BE49-F238E27FC236}">
              <a16:creationId xmlns:a16="http://schemas.microsoft.com/office/drawing/2014/main" id="{00000000-0008-0000-0000-0000F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24" name="Picture 11" hidden="1">
          <a:extLst>
            <a:ext uri="{FF2B5EF4-FFF2-40B4-BE49-F238E27FC236}">
              <a16:creationId xmlns:a16="http://schemas.microsoft.com/office/drawing/2014/main" id="{00000000-0008-0000-0000-0000F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26" name="Picture 11" hidden="1">
          <a:extLst>
            <a:ext uri="{FF2B5EF4-FFF2-40B4-BE49-F238E27FC236}">
              <a16:creationId xmlns:a16="http://schemas.microsoft.com/office/drawing/2014/main" id="{00000000-0008-0000-0000-0000F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28" name="Picture 11" hidden="1">
          <a:extLst>
            <a:ext uri="{FF2B5EF4-FFF2-40B4-BE49-F238E27FC236}">
              <a16:creationId xmlns:a16="http://schemas.microsoft.com/office/drawing/2014/main" id="{00000000-0008-0000-0000-0000F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30" name="Picture 11" hidden="1">
          <a:extLst>
            <a:ext uri="{FF2B5EF4-FFF2-40B4-BE49-F238E27FC236}">
              <a16:creationId xmlns:a16="http://schemas.microsoft.com/office/drawing/2014/main" id="{00000000-0008-0000-0000-0000F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32" name="Picture 11" hidden="1">
          <a:extLst>
            <a:ext uri="{FF2B5EF4-FFF2-40B4-BE49-F238E27FC236}">
              <a16:creationId xmlns:a16="http://schemas.microsoft.com/office/drawing/2014/main" id="{00000000-0008-0000-0000-00000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34" name="Picture 11" hidden="1">
          <a:extLst>
            <a:ext uri="{FF2B5EF4-FFF2-40B4-BE49-F238E27FC236}">
              <a16:creationId xmlns:a16="http://schemas.microsoft.com/office/drawing/2014/main" id="{00000000-0008-0000-0000-00000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36" name="Picture 11" hidden="1">
          <a:extLst>
            <a:ext uri="{FF2B5EF4-FFF2-40B4-BE49-F238E27FC236}">
              <a16:creationId xmlns:a16="http://schemas.microsoft.com/office/drawing/2014/main" id="{00000000-0008-0000-0000-00000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38" name="Picture 11" hidden="1">
          <a:extLst>
            <a:ext uri="{FF2B5EF4-FFF2-40B4-BE49-F238E27FC236}">
              <a16:creationId xmlns:a16="http://schemas.microsoft.com/office/drawing/2014/main" id="{00000000-0008-0000-0000-00000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40" name="Picture 11" hidden="1">
          <a:extLst>
            <a:ext uri="{FF2B5EF4-FFF2-40B4-BE49-F238E27FC236}">
              <a16:creationId xmlns:a16="http://schemas.microsoft.com/office/drawing/2014/main" id="{00000000-0008-0000-0000-00000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42" name="Picture 11" hidden="1">
          <a:extLst>
            <a:ext uri="{FF2B5EF4-FFF2-40B4-BE49-F238E27FC236}">
              <a16:creationId xmlns:a16="http://schemas.microsoft.com/office/drawing/2014/main" id="{00000000-0008-0000-0000-00000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44" name="Picture 11" hidden="1">
          <a:extLst>
            <a:ext uri="{FF2B5EF4-FFF2-40B4-BE49-F238E27FC236}">
              <a16:creationId xmlns:a16="http://schemas.microsoft.com/office/drawing/2014/main" id="{00000000-0008-0000-0000-00000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46" name="Picture 11" hidden="1">
          <a:extLst>
            <a:ext uri="{FF2B5EF4-FFF2-40B4-BE49-F238E27FC236}">
              <a16:creationId xmlns:a16="http://schemas.microsoft.com/office/drawing/2014/main" id="{00000000-0008-0000-0000-00000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48" name="Picture 11" hidden="1">
          <a:extLst>
            <a:ext uri="{FF2B5EF4-FFF2-40B4-BE49-F238E27FC236}">
              <a16:creationId xmlns:a16="http://schemas.microsoft.com/office/drawing/2014/main" id="{00000000-0008-0000-0000-00001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50" name="Picture 11" hidden="1">
          <a:extLst>
            <a:ext uri="{FF2B5EF4-FFF2-40B4-BE49-F238E27FC236}">
              <a16:creationId xmlns:a16="http://schemas.microsoft.com/office/drawing/2014/main" id="{00000000-0008-0000-0000-00001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52" name="Picture 11" hidden="1">
          <a:extLst>
            <a:ext uri="{FF2B5EF4-FFF2-40B4-BE49-F238E27FC236}">
              <a16:creationId xmlns:a16="http://schemas.microsoft.com/office/drawing/2014/main" id="{00000000-0008-0000-0000-00001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54" name="Picture 11" hidden="1">
          <a:extLst>
            <a:ext uri="{FF2B5EF4-FFF2-40B4-BE49-F238E27FC236}">
              <a16:creationId xmlns:a16="http://schemas.microsoft.com/office/drawing/2014/main" id="{00000000-0008-0000-0000-00001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56" name="Picture 11" hidden="1">
          <a:extLst>
            <a:ext uri="{FF2B5EF4-FFF2-40B4-BE49-F238E27FC236}">
              <a16:creationId xmlns:a16="http://schemas.microsoft.com/office/drawing/2014/main" id="{00000000-0008-0000-0000-00001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58" name="Picture 11" hidden="1">
          <a:extLst>
            <a:ext uri="{FF2B5EF4-FFF2-40B4-BE49-F238E27FC236}">
              <a16:creationId xmlns:a16="http://schemas.microsoft.com/office/drawing/2014/main" id="{00000000-0008-0000-0000-00001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60" name="Picture 11" hidden="1">
          <a:extLst>
            <a:ext uri="{FF2B5EF4-FFF2-40B4-BE49-F238E27FC236}">
              <a16:creationId xmlns:a16="http://schemas.microsoft.com/office/drawing/2014/main" id="{00000000-0008-0000-0000-00001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62" name="Picture 11" hidden="1">
          <a:extLst>
            <a:ext uri="{FF2B5EF4-FFF2-40B4-BE49-F238E27FC236}">
              <a16:creationId xmlns:a16="http://schemas.microsoft.com/office/drawing/2014/main" id="{00000000-0008-0000-0000-00001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64" name="Picture 11" hidden="1">
          <a:extLst>
            <a:ext uri="{FF2B5EF4-FFF2-40B4-BE49-F238E27FC236}">
              <a16:creationId xmlns:a16="http://schemas.microsoft.com/office/drawing/2014/main" id="{00000000-0008-0000-0000-00002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66" name="Picture 11" hidden="1">
          <a:extLst>
            <a:ext uri="{FF2B5EF4-FFF2-40B4-BE49-F238E27FC236}">
              <a16:creationId xmlns:a16="http://schemas.microsoft.com/office/drawing/2014/main" id="{00000000-0008-0000-0000-00002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68" name="Picture 11" hidden="1">
          <a:extLst>
            <a:ext uri="{FF2B5EF4-FFF2-40B4-BE49-F238E27FC236}">
              <a16:creationId xmlns:a16="http://schemas.microsoft.com/office/drawing/2014/main" id="{00000000-0008-0000-0000-00002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70" name="Picture 11" hidden="1">
          <a:extLst>
            <a:ext uri="{FF2B5EF4-FFF2-40B4-BE49-F238E27FC236}">
              <a16:creationId xmlns:a16="http://schemas.microsoft.com/office/drawing/2014/main" id="{00000000-0008-0000-0000-00002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72" name="Picture 11" hidden="1">
          <a:extLst>
            <a:ext uri="{FF2B5EF4-FFF2-40B4-BE49-F238E27FC236}">
              <a16:creationId xmlns:a16="http://schemas.microsoft.com/office/drawing/2014/main" id="{00000000-0008-0000-0000-00002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74" name="Picture 11" hidden="1">
          <a:extLst>
            <a:ext uri="{FF2B5EF4-FFF2-40B4-BE49-F238E27FC236}">
              <a16:creationId xmlns:a16="http://schemas.microsoft.com/office/drawing/2014/main" id="{00000000-0008-0000-0000-00002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76" name="Picture 11" hidden="1">
          <a:extLst>
            <a:ext uri="{FF2B5EF4-FFF2-40B4-BE49-F238E27FC236}">
              <a16:creationId xmlns:a16="http://schemas.microsoft.com/office/drawing/2014/main" id="{00000000-0008-0000-0000-00002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78" name="Picture 11" hidden="1">
          <a:extLst>
            <a:ext uri="{FF2B5EF4-FFF2-40B4-BE49-F238E27FC236}">
              <a16:creationId xmlns:a16="http://schemas.microsoft.com/office/drawing/2014/main" id="{00000000-0008-0000-0000-00002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80" name="Picture 11" hidden="1">
          <a:extLst>
            <a:ext uri="{FF2B5EF4-FFF2-40B4-BE49-F238E27FC236}">
              <a16:creationId xmlns:a16="http://schemas.microsoft.com/office/drawing/2014/main" id="{00000000-0008-0000-0000-00003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82" name="Picture 11" hidden="1">
          <a:extLst>
            <a:ext uri="{FF2B5EF4-FFF2-40B4-BE49-F238E27FC236}">
              <a16:creationId xmlns:a16="http://schemas.microsoft.com/office/drawing/2014/main" id="{00000000-0008-0000-0000-00003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84" name="Picture 11" hidden="1">
          <a:extLst>
            <a:ext uri="{FF2B5EF4-FFF2-40B4-BE49-F238E27FC236}">
              <a16:creationId xmlns:a16="http://schemas.microsoft.com/office/drawing/2014/main" id="{00000000-0008-0000-0000-00003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86" name="Picture 11" hidden="1">
          <a:extLst>
            <a:ext uri="{FF2B5EF4-FFF2-40B4-BE49-F238E27FC236}">
              <a16:creationId xmlns:a16="http://schemas.microsoft.com/office/drawing/2014/main" id="{00000000-0008-0000-0000-00003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88" name="Picture 11" hidden="1">
          <a:extLst>
            <a:ext uri="{FF2B5EF4-FFF2-40B4-BE49-F238E27FC236}">
              <a16:creationId xmlns:a16="http://schemas.microsoft.com/office/drawing/2014/main" id="{00000000-0008-0000-0000-00003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90" name="Picture 11" hidden="1">
          <a:extLst>
            <a:ext uri="{FF2B5EF4-FFF2-40B4-BE49-F238E27FC236}">
              <a16:creationId xmlns:a16="http://schemas.microsoft.com/office/drawing/2014/main" id="{00000000-0008-0000-0000-00003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92" name="Picture 11" hidden="1">
          <a:extLst>
            <a:ext uri="{FF2B5EF4-FFF2-40B4-BE49-F238E27FC236}">
              <a16:creationId xmlns:a16="http://schemas.microsoft.com/office/drawing/2014/main" id="{00000000-0008-0000-0000-00003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94" name="Picture 11" hidden="1">
          <a:extLst>
            <a:ext uri="{FF2B5EF4-FFF2-40B4-BE49-F238E27FC236}">
              <a16:creationId xmlns:a16="http://schemas.microsoft.com/office/drawing/2014/main" id="{00000000-0008-0000-0000-00003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96" name="Picture 11" hidden="1">
          <a:extLst>
            <a:ext uri="{FF2B5EF4-FFF2-40B4-BE49-F238E27FC236}">
              <a16:creationId xmlns:a16="http://schemas.microsoft.com/office/drawing/2014/main" id="{00000000-0008-0000-0000-00004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98" name="Picture 11" hidden="1">
          <a:extLst>
            <a:ext uri="{FF2B5EF4-FFF2-40B4-BE49-F238E27FC236}">
              <a16:creationId xmlns:a16="http://schemas.microsoft.com/office/drawing/2014/main" id="{00000000-0008-0000-0000-00004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00" name="Picture 11" hidden="1">
          <a:extLst>
            <a:ext uri="{FF2B5EF4-FFF2-40B4-BE49-F238E27FC236}">
              <a16:creationId xmlns:a16="http://schemas.microsoft.com/office/drawing/2014/main" id="{00000000-0008-0000-0000-00004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02" name="Picture 11" hidden="1">
          <a:extLst>
            <a:ext uri="{FF2B5EF4-FFF2-40B4-BE49-F238E27FC236}">
              <a16:creationId xmlns:a16="http://schemas.microsoft.com/office/drawing/2014/main" id="{00000000-0008-0000-0000-00004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04" name="Picture 11" hidden="1">
          <a:extLst>
            <a:ext uri="{FF2B5EF4-FFF2-40B4-BE49-F238E27FC236}">
              <a16:creationId xmlns:a16="http://schemas.microsoft.com/office/drawing/2014/main" id="{00000000-0008-0000-0000-00004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06" name="Picture 11" hidden="1">
          <a:extLst>
            <a:ext uri="{FF2B5EF4-FFF2-40B4-BE49-F238E27FC236}">
              <a16:creationId xmlns:a16="http://schemas.microsoft.com/office/drawing/2014/main" id="{00000000-0008-0000-0000-00004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08" name="Picture 11" hidden="1">
          <a:extLst>
            <a:ext uri="{FF2B5EF4-FFF2-40B4-BE49-F238E27FC236}">
              <a16:creationId xmlns:a16="http://schemas.microsoft.com/office/drawing/2014/main" id="{00000000-0008-0000-0000-00004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10" name="Picture 12109" hidden="1">
          <a:extLst>
            <a:ext uri="{FF2B5EF4-FFF2-40B4-BE49-F238E27FC236}">
              <a16:creationId xmlns:a16="http://schemas.microsoft.com/office/drawing/2014/main" id="{00000000-0008-0000-0000-00004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12" name="Picture 11" hidden="1">
          <a:extLst>
            <a:ext uri="{FF2B5EF4-FFF2-40B4-BE49-F238E27FC236}">
              <a16:creationId xmlns:a16="http://schemas.microsoft.com/office/drawing/2014/main" id="{00000000-0008-0000-0000-00005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14" name="Picture 11" hidden="1">
          <a:extLst>
            <a:ext uri="{FF2B5EF4-FFF2-40B4-BE49-F238E27FC236}">
              <a16:creationId xmlns:a16="http://schemas.microsoft.com/office/drawing/2014/main" id="{00000000-0008-0000-0000-00005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16" name="Picture 11" hidden="1">
          <a:extLst>
            <a:ext uri="{FF2B5EF4-FFF2-40B4-BE49-F238E27FC236}">
              <a16:creationId xmlns:a16="http://schemas.microsoft.com/office/drawing/2014/main" id="{00000000-0008-0000-0000-00005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18" name="Picture 11" hidden="1">
          <a:extLst>
            <a:ext uri="{FF2B5EF4-FFF2-40B4-BE49-F238E27FC236}">
              <a16:creationId xmlns:a16="http://schemas.microsoft.com/office/drawing/2014/main" id="{00000000-0008-0000-0000-00005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20" name="Picture 11" hidden="1">
          <a:extLst>
            <a:ext uri="{FF2B5EF4-FFF2-40B4-BE49-F238E27FC236}">
              <a16:creationId xmlns:a16="http://schemas.microsoft.com/office/drawing/2014/main" id="{00000000-0008-0000-0000-00005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22" name="Picture 11" hidden="1">
          <a:extLst>
            <a:ext uri="{FF2B5EF4-FFF2-40B4-BE49-F238E27FC236}">
              <a16:creationId xmlns:a16="http://schemas.microsoft.com/office/drawing/2014/main" id="{00000000-0008-0000-0000-00005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24" name="Picture 11" hidden="1">
          <a:extLst>
            <a:ext uri="{FF2B5EF4-FFF2-40B4-BE49-F238E27FC236}">
              <a16:creationId xmlns:a16="http://schemas.microsoft.com/office/drawing/2014/main" id="{00000000-0008-0000-0000-00005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26" name="Picture 11" hidden="1">
          <a:extLst>
            <a:ext uri="{FF2B5EF4-FFF2-40B4-BE49-F238E27FC236}">
              <a16:creationId xmlns:a16="http://schemas.microsoft.com/office/drawing/2014/main" id="{00000000-0008-0000-0000-00005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28" name="Picture 11" hidden="1">
          <a:extLst>
            <a:ext uri="{FF2B5EF4-FFF2-40B4-BE49-F238E27FC236}">
              <a16:creationId xmlns:a16="http://schemas.microsoft.com/office/drawing/2014/main" id="{00000000-0008-0000-0000-00006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30" name="Picture 11" hidden="1">
          <a:extLst>
            <a:ext uri="{FF2B5EF4-FFF2-40B4-BE49-F238E27FC236}">
              <a16:creationId xmlns:a16="http://schemas.microsoft.com/office/drawing/2014/main" id="{00000000-0008-0000-0000-00006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32" name="Picture 11" hidden="1">
          <a:extLst>
            <a:ext uri="{FF2B5EF4-FFF2-40B4-BE49-F238E27FC236}">
              <a16:creationId xmlns:a16="http://schemas.microsoft.com/office/drawing/2014/main" id="{00000000-0008-0000-0000-00006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34" name="Picture 11" hidden="1">
          <a:extLst>
            <a:ext uri="{FF2B5EF4-FFF2-40B4-BE49-F238E27FC236}">
              <a16:creationId xmlns:a16="http://schemas.microsoft.com/office/drawing/2014/main" id="{00000000-0008-0000-0000-00006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36" name="Picture 11" hidden="1">
          <a:extLst>
            <a:ext uri="{FF2B5EF4-FFF2-40B4-BE49-F238E27FC236}">
              <a16:creationId xmlns:a16="http://schemas.microsoft.com/office/drawing/2014/main" id="{00000000-0008-0000-0000-00006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38" name="Picture 11" hidden="1">
          <a:extLst>
            <a:ext uri="{FF2B5EF4-FFF2-40B4-BE49-F238E27FC236}">
              <a16:creationId xmlns:a16="http://schemas.microsoft.com/office/drawing/2014/main" id="{00000000-0008-0000-0000-00006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40" name="Picture 11" hidden="1">
          <a:extLst>
            <a:ext uri="{FF2B5EF4-FFF2-40B4-BE49-F238E27FC236}">
              <a16:creationId xmlns:a16="http://schemas.microsoft.com/office/drawing/2014/main" id="{00000000-0008-0000-0000-00006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42" name="Picture 11" hidden="1">
          <a:extLst>
            <a:ext uri="{FF2B5EF4-FFF2-40B4-BE49-F238E27FC236}">
              <a16:creationId xmlns:a16="http://schemas.microsoft.com/office/drawing/2014/main" id="{00000000-0008-0000-0000-00006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44" name="Picture 11" hidden="1">
          <a:extLst>
            <a:ext uri="{FF2B5EF4-FFF2-40B4-BE49-F238E27FC236}">
              <a16:creationId xmlns:a16="http://schemas.microsoft.com/office/drawing/2014/main" id="{00000000-0008-0000-0000-00007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46" name="Picture 11" hidden="1">
          <a:extLst>
            <a:ext uri="{FF2B5EF4-FFF2-40B4-BE49-F238E27FC236}">
              <a16:creationId xmlns:a16="http://schemas.microsoft.com/office/drawing/2014/main" id="{00000000-0008-0000-0000-00007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48" name="Picture 11" hidden="1">
          <a:extLst>
            <a:ext uri="{FF2B5EF4-FFF2-40B4-BE49-F238E27FC236}">
              <a16:creationId xmlns:a16="http://schemas.microsoft.com/office/drawing/2014/main" id="{00000000-0008-0000-0000-00007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50" name="Picture 11" hidden="1">
          <a:extLst>
            <a:ext uri="{FF2B5EF4-FFF2-40B4-BE49-F238E27FC236}">
              <a16:creationId xmlns:a16="http://schemas.microsoft.com/office/drawing/2014/main" id="{00000000-0008-0000-0000-00007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52" name="Picture 11" hidden="1">
          <a:extLst>
            <a:ext uri="{FF2B5EF4-FFF2-40B4-BE49-F238E27FC236}">
              <a16:creationId xmlns:a16="http://schemas.microsoft.com/office/drawing/2014/main" id="{00000000-0008-0000-0000-00007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54" name="Picture 11" hidden="1">
          <a:extLst>
            <a:ext uri="{FF2B5EF4-FFF2-40B4-BE49-F238E27FC236}">
              <a16:creationId xmlns:a16="http://schemas.microsoft.com/office/drawing/2014/main" id="{00000000-0008-0000-0000-00007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56" name="Picture 11" hidden="1">
          <a:extLst>
            <a:ext uri="{FF2B5EF4-FFF2-40B4-BE49-F238E27FC236}">
              <a16:creationId xmlns:a16="http://schemas.microsoft.com/office/drawing/2014/main" id="{00000000-0008-0000-0000-00007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58" name="Picture 11" hidden="1">
          <a:extLst>
            <a:ext uri="{FF2B5EF4-FFF2-40B4-BE49-F238E27FC236}">
              <a16:creationId xmlns:a16="http://schemas.microsoft.com/office/drawing/2014/main" id="{00000000-0008-0000-0000-00007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60" name="Picture 11" hidden="1">
          <a:extLst>
            <a:ext uri="{FF2B5EF4-FFF2-40B4-BE49-F238E27FC236}">
              <a16:creationId xmlns:a16="http://schemas.microsoft.com/office/drawing/2014/main" id="{00000000-0008-0000-0000-00008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62" name="Picture 11" hidden="1">
          <a:extLst>
            <a:ext uri="{FF2B5EF4-FFF2-40B4-BE49-F238E27FC236}">
              <a16:creationId xmlns:a16="http://schemas.microsoft.com/office/drawing/2014/main" id="{00000000-0008-0000-0000-00008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64" name="Picture 11" hidden="1">
          <a:extLst>
            <a:ext uri="{FF2B5EF4-FFF2-40B4-BE49-F238E27FC236}">
              <a16:creationId xmlns:a16="http://schemas.microsoft.com/office/drawing/2014/main" id="{00000000-0008-0000-0000-00008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66" name="Picture 11" hidden="1">
          <a:extLst>
            <a:ext uri="{FF2B5EF4-FFF2-40B4-BE49-F238E27FC236}">
              <a16:creationId xmlns:a16="http://schemas.microsoft.com/office/drawing/2014/main" id="{00000000-0008-0000-0000-00008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68" name="Picture 11" hidden="1">
          <a:extLst>
            <a:ext uri="{FF2B5EF4-FFF2-40B4-BE49-F238E27FC236}">
              <a16:creationId xmlns:a16="http://schemas.microsoft.com/office/drawing/2014/main" id="{00000000-0008-0000-0000-00008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70" name="Picture 11" hidden="1">
          <a:extLst>
            <a:ext uri="{FF2B5EF4-FFF2-40B4-BE49-F238E27FC236}">
              <a16:creationId xmlns:a16="http://schemas.microsoft.com/office/drawing/2014/main" id="{00000000-0008-0000-0000-00008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72" name="Picture 11" hidden="1">
          <a:extLst>
            <a:ext uri="{FF2B5EF4-FFF2-40B4-BE49-F238E27FC236}">
              <a16:creationId xmlns:a16="http://schemas.microsoft.com/office/drawing/2014/main" id="{00000000-0008-0000-0000-00008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74" name="Picture 11" hidden="1">
          <a:extLst>
            <a:ext uri="{FF2B5EF4-FFF2-40B4-BE49-F238E27FC236}">
              <a16:creationId xmlns:a16="http://schemas.microsoft.com/office/drawing/2014/main" id="{00000000-0008-0000-0000-00008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76" name="Picture 11" hidden="1">
          <a:extLst>
            <a:ext uri="{FF2B5EF4-FFF2-40B4-BE49-F238E27FC236}">
              <a16:creationId xmlns:a16="http://schemas.microsoft.com/office/drawing/2014/main" id="{00000000-0008-0000-0000-00009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78" name="Picture 11" hidden="1">
          <a:extLst>
            <a:ext uri="{FF2B5EF4-FFF2-40B4-BE49-F238E27FC236}">
              <a16:creationId xmlns:a16="http://schemas.microsoft.com/office/drawing/2014/main" id="{00000000-0008-0000-0000-00009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80" name="Picture 11" hidden="1">
          <a:extLst>
            <a:ext uri="{FF2B5EF4-FFF2-40B4-BE49-F238E27FC236}">
              <a16:creationId xmlns:a16="http://schemas.microsoft.com/office/drawing/2014/main" id="{00000000-0008-0000-0000-00009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82" name="Picture 11" hidden="1">
          <a:extLst>
            <a:ext uri="{FF2B5EF4-FFF2-40B4-BE49-F238E27FC236}">
              <a16:creationId xmlns:a16="http://schemas.microsoft.com/office/drawing/2014/main" id="{00000000-0008-0000-0000-00009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84" name="Picture 11" hidden="1">
          <a:extLst>
            <a:ext uri="{FF2B5EF4-FFF2-40B4-BE49-F238E27FC236}">
              <a16:creationId xmlns:a16="http://schemas.microsoft.com/office/drawing/2014/main" id="{00000000-0008-0000-0000-00009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86" name="Picture 11" hidden="1">
          <a:extLst>
            <a:ext uri="{FF2B5EF4-FFF2-40B4-BE49-F238E27FC236}">
              <a16:creationId xmlns:a16="http://schemas.microsoft.com/office/drawing/2014/main" id="{00000000-0008-0000-0000-00009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88" name="Picture 11" hidden="1">
          <a:extLst>
            <a:ext uri="{FF2B5EF4-FFF2-40B4-BE49-F238E27FC236}">
              <a16:creationId xmlns:a16="http://schemas.microsoft.com/office/drawing/2014/main" id="{00000000-0008-0000-0000-00009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90" name="Picture 11" hidden="1">
          <a:extLst>
            <a:ext uri="{FF2B5EF4-FFF2-40B4-BE49-F238E27FC236}">
              <a16:creationId xmlns:a16="http://schemas.microsoft.com/office/drawing/2014/main" id="{00000000-0008-0000-0000-00009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92" name="Picture 11" hidden="1">
          <a:extLst>
            <a:ext uri="{FF2B5EF4-FFF2-40B4-BE49-F238E27FC236}">
              <a16:creationId xmlns:a16="http://schemas.microsoft.com/office/drawing/2014/main" id="{00000000-0008-0000-0000-0000A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94" name="Picture 11" hidden="1">
          <a:extLst>
            <a:ext uri="{FF2B5EF4-FFF2-40B4-BE49-F238E27FC236}">
              <a16:creationId xmlns:a16="http://schemas.microsoft.com/office/drawing/2014/main" id="{00000000-0008-0000-0000-0000A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96" name="Picture 11" hidden="1">
          <a:extLst>
            <a:ext uri="{FF2B5EF4-FFF2-40B4-BE49-F238E27FC236}">
              <a16:creationId xmlns:a16="http://schemas.microsoft.com/office/drawing/2014/main" id="{00000000-0008-0000-0000-0000A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98" name="Picture 11" hidden="1">
          <a:extLst>
            <a:ext uri="{FF2B5EF4-FFF2-40B4-BE49-F238E27FC236}">
              <a16:creationId xmlns:a16="http://schemas.microsoft.com/office/drawing/2014/main" id="{00000000-0008-0000-0000-0000A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00" name="Picture 11" hidden="1">
          <a:extLst>
            <a:ext uri="{FF2B5EF4-FFF2-40B4-BE49-F238E27FC236}">
              <a16:creationId xmlns:a16="http://schemas.microsoft.com/office/drawing/2014/main" id="{00000000-0008-0000-0000-0000A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02" name="Picture 11" hidden="1">
          <a:extLst>
            <a:ext uri="{FF2B5EF4-FFF2-40B4-BE49-F238E27FC236}">
              <a16:creationId xmlns:a16="http://schemas.microsoft.com/office/drawing/2014/main" id="{00000000-0008-0000-0000-0000A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04" name="Picture 11" hidden="1">
          <a:extLst>
            <a:ext uri="{FF2B5EF4-FFF2-40B4-BE49-F238E27FC236}">
              <a16:creationId xmlns:a16="http://schemas.microsoft.com/office/drawing/2014/main" id="{00000000-0008-0000-0000-0000A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06" name="Picture 11" hidden="1">
          <a:extLst>
            <a:ext uri="{FF2B5EF4-FFF2-40B4-BE49-F238E27FC236}">
              <a16:creationId xmlns:a16="http://schemas.microsoft.com/office/drawing/2014/main" id="{00000000-0008-0000-0000-0000A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08" name="Picture 11" hidden="1">
          <a:extLst>
            <a:ext uri="{FF2B5EF4-FFF2-40B4-BE49-F238E27FC236}">
              <a16:creationId xmlns:a16="http://schemas.microsoft.com/office/drawing/2014/main" id="{00000000-0008-0000-0000-0000B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10" name="Picture 11" hidden="1">
          <a:extLst>
            <a:ext uri="{FF2B5EF4-FFF2-40B4-BE49-F238E27FC236}">
              <a16:creationId xmlns:a16="http://schemas.microsoft.com/office/drawing/2014/main" id="{00000000-0008-0000-0000-0000B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12" name="Picture 11" hidden="1">
          <a:extLst>
            <a:ext uri="{FF2B5EF4-FFF2-40B4-BE49-F238E27FC236}">
              <a16:creationId xmlns:a16="http://schemas.microsoft.com/office/drawing/2014/main" id="{00000000-0008-0000-0000-0000B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14" name="Picture 11" hidden="1">
          <a:extLst>
            <a:ext uri="{FF2B5EF4-FFF2-40B4-BE49-F238E27FC236}">
              <a16:creationId xmlns:a16="http://schemas.microsoft.com/office/drawing/2014/main" id="{00000000-0008-0000-0000-0000B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16" name="Picture 11" hidden="1">
          <a:extLst>
            <a:ext uri="{FF2B5EF4-FFF2-40B4-BE49-F238E27FC236}">
              <a16:creationId xmlns:a16="http://schemas.microsoft.com/office/drawing/2014/main" id="{00000000-0008-0000-0000-0000B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18" name="Picture 12217" hidden="1">
          <a:extLst>
            <a:ext uri="{FF2B5EF4-FFF2-40B4-BE49-F238E27FC236}">
              <a16:creationId xmlns:a16="http://schemas.microsoft.com/office/drawing/2014/main" id="{00000000-0008-0000-0000-0000B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20" name="Picture 11" hidden="1">
          <a:extLst>
            <a:ext uri="{FF2B5EF4-FFF2-40B4-BE49-F238E27FC236}">
              <a16:creationId xmlns:a16="http://schemas.microsoft.com/office/drawing/2014/main" id="{00000000-0008-0000-0000-0000B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22" name="Picture 11" hidden="1">
          <a:extLst>
            <a:ext uri="{FF2B5EF4-FFF2-40B4-BE49-F238E27FC236}">
              <a16:creationId xmlns:a16="http://schemas.microsoft.com/office/drawing/2014/main" id="{00000000-0008-0000-0000-0000B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24" name="Picture 11" hidden="1">
          <a:extLst>
            <a:ext uri="{FF2B5EF4-FFF2-40B4-BE49-F238E27FC236}">
              <a16:creationId xmlns:a16="http://schemas.microsoft.com/office/drawing/2014/main" id="{00000000-0008-0000-0000-0000C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26" name="Picture 11" hidden="1">
          <a:extLst>
            <a:ext uri="{FF2B5EF4-FFF2-40B4-BE49-F238E27FC236}">
              <a16:creationId xmlns:a16="http://schemas.microsoft.com/office/drawing/2014/main" id="{00000000-0008-0000-0000-0000C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28" name="Picture 11" hidden="1">
          <a:extLst>
            <a:ext uri="{FF2B5EF4-FFF2-40B4-BE49-F238E27FC236}">
              <a16:creationId xmlns:a16="http://schemas.microsoft.com/office/drawing/2014/main" id="{00000000-0008-0000-0000-0000C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30" name="Picture 11" hidden="1">
          <a:extLst>
            <a:ext uri="{FF2B5EF4-FFF2-40B4-BE49-F238E27FC236}">
              <a16:creationId xmlns:a16="http://schemas.microsoft.com/office/drawing/2014/main" id="{00000000-0008-0000-0000-0000C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32" name="Picture 11" hidden="1">
          <a:extLst>
            <a:ext uri="{FF2B5EF4-FFF2-40B4-BE49-F238E27FC236}">
              <a16:creationId xmlns:a16="http://schemas.microsoft.com/office/drawing/2014/main" id="{00000000-0008-0000-0000-0000C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34" name="Picture 11" hidden="1">
          <a:extLst>
            <a:ext uri="{FF2B5EF4-FFF2-40B4-BE49-F238E27FC236}">
              <a16:creationId xmlns:a16="http://schemas.microsoft.com/office/drawing/2014/main" id="{00000000-0008-0000-0000-0000C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36" name="Picture 11" hidden="1">
          <a:extLst>
            <a:ext uri="{FF2B5EF4-FFF2-40B4-BE49-F238E27FC236}">
              <a16:creationId xmlns:a16="http://schemas.microsoft.com/office/drawing/2014/main" id="{00000000-0008-0000-0000-0000C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38" name="Picture 11" hidden="1">
          <a:extLst>
            <a:ext uri="{FF2B5EF4-FFF2-40B4-BE49-F238E27FC236}">
              <a16:creationId xmlns:a16="http://schemas.microsoft.com/office/drawing/2014/main" id="{00000000-0008-0000-0000-0000C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40" name="Picture 11" hidden="1">
          <a:extLst>
            <a:ext uri="{FF2B5EF4-FFF2-40B4-BE49-F238E27FC236}">
              <a16:creationId xmlns:a16="http://schemas.microsoft.com/office/drawing/2014/main" id="{00000000-0008-0000-0000-0000D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42" name="Picture 11" hidden="1">
          <a:extLst>
            <a:ext uri="{FF2B5EF4-FFF2-40B4-BE49-F238E27FC236}">
              <a16:creationId xmlns:a16="http://schemas.microsoft.com/office/drawing/2014/main" id="{00000000-0008-0000-0000-0000D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44" name="Picture 11" hidden="1">
          <a:extLst>
            <a:ext uri="{FF2B5EF4-FFF2-40B4-BE49-F238E27FC236}">
              <a16:creationId xmlns:a16="http://schemas.microsoft.com/office/drawing/2014/main" id="{00000000-0008-0000-0000-0000D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46" name="Picture 11" hidden="1">
          <a:extLst>
            <a:ext uri="{FF2B5EF4-FFF2-40B4-BE49-F238E27FC236}">
              <a16:creationId xmlns:a16="http://schemas.microsoft.com/office/drawing/2014/main" id="{00000000-0008-0000-0000-0000D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48" name="Picture 11" hidden="1">
          <a:extLst>
            <a:ext uri="{FF2B5EF4-FFF2-40B4-BE49-F238E27FC236}">
              <a16:creationId xmlns:a16="http://schemas.microsoft.com/office/drawing/2014/main" id="{00000000-0008-0000-0000-0000D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50" name="Picture 11" hidden="1">
          <a:extLst>
            <a:ext uri="{FF2B5EF4-FFF2-40B4-BE49-F238E27FC236}">
              <a16:creationId xmlns:a16="http://schemas.microsoft.com/office/drawing/2014/main" id="{00000000-0008-0000-0000-0000D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52" name="Picture 11" hidden="1">
          <a:extLst>
            <a:ext uri="{FF2B5EF4-FFF2-40B4-BE49-F238E27FC236}">
              <a16:creationId xmlns:a16="http://schemas.microsoft.com/office/drawing/2014/main" id="{00000000-0008-0000-0000-0000D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54" name="Picture 11" hidden="1">
          <a:extLst>
            <a:ext uri="{FF2B5EF4-FFF2-40B4-BE49-F238E27FC236}">
              <a16:creationId xmlns:a16="http://schemas.microsoft.com/office/drawing/2014/main" id="{00000000-0008-0000-0000-0000D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56" name="Picture 11" hidden="1">
          <a:extLst>
            <a:ext uri="{FF2B5EF4-FFF2-40B4-BE49-F238E27FC236}">
              <a16:creationId xmlns:a16="http://schemas.microsoft.com/office/drawing/2014/main" id="{00000000-0008-0000-0000-0000E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58" name="Picture 11" hidden="1">
          <a:extLst>
            <a:ext uri="{FF2B5EF4-FFF2-40B4-BE49-F238E27FC236}">
              <a16:creationId xmlns:a16="http://schemas.microsoft.com/office/drawing/2014/main" id="{00000000-0008-0000-0000-0000E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60" name="Picture 11" hidden="1">
          <a:extLst>
            <a:ext uri="{FF2B5EF4-FFF2-40B4-BE49-F238E27FC236}">
              <a16:creationId xmlns:a16="http://schemas.microsoft.com/office/drawing/2014/main" id="{00000000-0008-0000-0000-0000E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62" name="Picture 11" hidden="1">
          <a:extLst>
            <a:ext uri="{FF2B5EF4-FFF2-40B4-BE49-F238E27FC236}">
              <a16:creationId xmlns:a16="http://schemas.microsoft.com/office/drawing/2014/main" id="{00000000-0008-0000-0000-0000E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64" name="Picture 11" hidden="1">
          <a:extLst>
            <a:ext uri="{FF2B5EF4-FFF2-40B4-BE49-F238E27FC236}">
              <a16:creationId xmlns:a16="http://schemas.microsoft.com/office/drawing/2014/main" id="{00000000-0008-0000-0000-0000E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66" name="Picture 11" hidden="1">
          <a:extLst>
            <a:ext uri="{FF2B5EF4-FFF2-40B4-BE49-F238E27FC236}">
              <a16:creationId xmlns:a16="http://schemas.microsoft.com/office/drawing/2014/main" id="{00000000-0008-0000-0000-0000E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68" name="Picture 11" hidden="1">
          <a:extLst>
            <a:ext uri="{FF2B5EF4-FFF2-40B4-BE49-F238E27FC236}">
              <a16:creationId xmlns:a16="http://schemas.microsoft.com/office/drawing/2014/main" id="{00000000-0008-0000-0000-0000E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70" name="Picture 11" hidden="1">
          <a:extLst>
            <a:ext uri="{FF2B5EF4-FFF2-40B4-BE49-F238E27FC236}">
              <a16:creationId xmlns:a16="http://schemas.microsoft.com/office/drawing/2014/main" id="{00000000-0008-0000-0000-0000E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72" name="Picture 11" hidden="1">
          <a:extLst>
            <a:ext uri="{FF2B5EF4-FFF2-40B4-BE49-F238E27FC236}">
              <a16:creationId xmlns:a16="http://schemas.microsoft.com/office/drawing/2014/main" id="{00000000-0008-0000-0000-0000F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74" name="Picture 11" hidden="1">
          <a:extLst>
            <a:ext uri="{FF2B5EF4-FFF2-40B4-BE49-F238E27FC236}">
              <a16:creationId xmlns:a16="http://schemas.microsoft.com/office/drawing/2014/main" id="{00000000-0008-0000-0000-0000F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76" name="Picture 11" hidden="1">
          <a:extLst>
            <a:ext uri="{FF2B5EF4-FFF2-40B4-BE49-F238E27FC236}">
              <a16:creationId xmlns:a16="http://schemas.microsoft.com/office/drawing/2014/main" id="{00000000-0008-0000-0000-0000F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78" name="Picture 11" hidden="1">
          <a:extLst>
            <a:ext uri="{FF2B5EF4-FFF2-40B4-BE49-F238E27FC236}">
              <a16:creationId xmlns:a16="http://schemas.microsoft.com/office/drawing/2014/main" id="{00000000-0008-0000-0000-0000F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80" name="Picture 11" hidden="1">
          <a:extLst>
            <a:ext uri="{FF2B5EF4-FFF2-40B4-BE49-F238E27FC236}">
              <a16:creationId xmlns:a16="http://schemas.microsoft.com/office/drawing/2014/main" id="{00000000-0008-0000-0000-0000F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82" name="Picture 11" hidden="1">
          <a:extLst>
            <a:ext uri="{FF2B5EF4-FFF2-40B4-BE49-F238E27FC236}">
              <a16:creationId xmlns:a16="http://schemas.microsoft.com/office/drawing/2014/main" id="{00000000-0008-0000-0000-0000F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84" name="Picture 11" hidden="1">
          <a:extLst>
            <a:ext uri="{FF2B5EF4-FFF2-40B4-BE49-F238E27FC236}">
              <a16:creationId xmlns:a16="http://schemas.microsoft.com/office/drawing/2014/main" id="{00000000-0008-0000-0000-0000F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86" name="Picture 11" hidden="1">
          <a:extLst>
            <a:ext uri="{FF2B5EF4-FFF2-40B4-BE49-F238E27FC236}">
              <a16:creationId xmlns:a16="http://schemas.microsoft.com/office/drawing/2014/main" id="{00000000-0008-0000-0000-0000F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88" name="Picture 11" hidden="1">
          <a:extLst>
            <a:ext uri="{FF2B5EF4-FFF2-40B4-BE49-F238E27FC236}">
              <a16:creationId xmlns:a16="http://schemas.microsoft.com/office/drawing/2014/main" id="{00000000-0008-0000-0000-00000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90" name="Picture 11" hidden="1">
          <a:extLst>
            <a:ext uri="{FF2B5EF4-FFF2-40B4-BE49-F238E27FC236}">
              <a16:creationId xmlns:a16="http://schemas.microsoft.com/office/drawing/2014/main" id="{00000000-0008-0000-0000-00000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92" name="Picture 11" hidden="1">
          <a:extLst>
            <a:ext uri="{FF2B5EF4-FFF2-40B4-BE49-F238E27FC236}">
              <a16:creationId xmlns:a16="http://schemas.microsoft.com/office/drawing/2014/main" id="{00000000-0008-0000-0000-00000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94" name="Picture 11" hidden="1">
          <a:extLst>
            <a:ext uri="{FF2B5EF4-FFF2-40B4-BE49-F238E27FC236}">
              <a16:creationId xmlns:a16="http://schemas.microsoft.com/office/drawing/2014/main" id="{00000000-0008-0000-0000-00000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96" name="Picture 11" hidden="1">
          <a:extLst>
            <a:ext uri="{FF2B5EF4-FFF2-40B4-BE49-F238E27FC236}">
              <a16:creationId xmlns:a16="http://schemas.microsoft.com/office/drawing/2014/main" id="{00000000-0008-0000-0000-00000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98" name="Picture 11" hidden="1">
          <a:extLst>
            <a:ext uri="{FF2B5EF4-FFF2-40B4-BE49-F238E27FC236}">
              <a16:creationId xmlns:a16="http://schemas.microsoft.com/office/drawing/2014/main" id="{00000000-0008-0000-0000-00000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00" name="Picture 11" hidden="1">
          <a:extLst>
            <a:ext uri="{FF2B5EF4-FFF2-40B4-BE49-F238E27FC236}">
              <a16:creationId xmlns:a16="http://schemas.microsoft.com/office/drawing/2014/main" id="{00000000-0008-0000-0000-00000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02" name="Picture 11" hidden="1">
          <a:extLst>
            <a:ext uri="{FF2B5EF4-FFF2-40B4-BE49-F238E27FC236}">
              <a16:creationId xmlns:a16="http://schemas.microsoft.com/office/drawing/2014/main" id="{00000000-0008-0000-0000-00000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04" name="Picture 11" hidden="1">
          <a:extLst>
            <a:ext uri="{FF2B5EF4-FFF2-40B4-BE49-F238E27FC236}">
              <a16:creationId xmlns:a16="http://schemas.microsoft.com/office/drawing/2014/main" id="{00000000-0008-0000-0000-00001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06" name="Picture 11" hidden="1">
          <a:extLst>
            <a:ext uri="{FF2B5EF4-FFF2-40B4-BE49-F238E27FC236}">
              <a16:creationId xmlns:a16="http://schemas.microsoft.com/office/drawing/2014/main" id="{00000000-0008-0000-0000-00001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08" name="Picture 11" hidden="1">
          <a:extLst>
            <a:ext uri="{FF2B5EF4-FFF2-40B4-BE49-F238E27FC236}">
              <a16:creationId xmlns:a16="http://schemas.microsoft.com/office/drawing/2014/main" id="{00000000-0008-0000-0000-00001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10" name="Picture 11" hidden="1">
          <a:extLst>
            <a:ext uri="{FF2B5EF4-FFF2-40B4-BE49-F238E27FC236}">
              <a16:creationId xmlns:a16="http://schemas.microsoft.com/office/drawing/2014/main" id="{00000000-0008-0000-0000-00001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12" name="Picture 11" hidden="1">
          <a:extLst>
            <a:ext uri="{FF2B5EF4-FFF2-40B4-BE49-F238E27FC236}">
              <a16:creationId xmlns:a16="http://schemas.microsoft.com/office/drawing/2014/main" id="{00000000-0008-0000-0000-00001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14" name="Picture 11" hidden="1">
          <a:extLst>
            <a:ext uri="{FF2B5EF4-FFF2-40B4-BE49-F238E27FC236}">
              <a16:creationId xmlns:a16="http://schemas.microsoft.com/office/drawing/2014/main" id="{00000000-0008-0000-0000-00001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16" name="Picture 11" hidden="1">
          <a:extLst>
            <a:ext uri="{FF2B5EF4-FFF2-40B4-BE49-F238E27FC236}">
              <a16:creationId xmlns:a16="http://schemas.microsoft.com/office/drawing/2014/main" id="{00000000-0008-0000-0000-00001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12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30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12318" name="Picture 11" hidden="1">
          <a:extLst>
            <a:ext uri="{FF2B5EF4-FFF2-40B4-BE49-F238E27FC236}">
              <a16:creationId xmlns:a16="http://schemas.microsoft.com/office/drawing/2014/main" id="{00000000-0008-0000-0000-00001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20" name="Picture 11" hidden="1">
          <a:extLst>
            <a:ext uri="{FF2B5EF4-FFF2-40B4-BE49-F238E27FC236}">
              <a16:creationId xmlns:a16="http://schemas.microsoft.com/office/drawing/2014/main" id="{00000000-0008-0000-0000-00002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22" name="Picture 11" hidden="1">
          <a:extLst>
            <a:ext uri="{FF2B5EF4-FFF2-40B4-BE49-F238E27FC236}">
              <a16:creationId xmlns:a16="http://schemas.microsoft.com/office/drawing/2014/main" id="{00000000-0008-0000-0000-00002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24" name="Picture 11" hidden="1">
          <a:extLst>
            <a:ext uri="{FF2B5EF4-FFF2-40B4-BE49-F238E27FC236}">
              <a16:creationId xmlns:a16="http://schemas.microsoft.com/office/drawing/2014/main" id="{00000000-0008-0000-0000-00002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26" name="Picture 12325" hidden="1">
          <a:extLst>
            <a:ext uri="{FF2B5EF4-FFF2-40B4-BE49-F238E27FC236}">
              <a16:creationId xmlns:a16="http://schemas.microsoft.com/office/drawing/2014/main" id="{00000000-0008-0000-0000-00002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28" name="Picture 11" hidden="1">
          <a:extLst>
            <a:ext uri="{FF2B5EF4-FFF2-40B4-BE49-F238E27FC236}">
              <a16:creationId xmlns:a16="http://schemas.microsoft.com/office/drawing/2014/main" id="{00000000-0008-0000-0000-00002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30" name="Picture 11" hidden="1">
          <a:extLst>
            <a:ext uri="{FF2B5EF4-FFF2-40B4-BE49-F238E27FC236}">
              <a16:creationId xmlns:a16="http://schemas.microsoft.com/office/drawing/2014/main" id="{00000000-0008-0000-0000-00002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32" name="Picture 11" hidden="1">
          <a:extLst>
            <a:ext uri="{FF2B5EF4-FFF2-40B4-BE49-F238E27FC236}">
              <a16:creationId xmlns:a16="http://schemas.microsoft.com/office/drawing/2014/main" id="{00000000-0008-0000-0000-00002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34" name="Picture 11" hidden="1">
          <a:extLst>
            <a:ext uri="{FF2B5EF4-FFF2-40B4-BE49-F238E27FC236}">
              <a16:creationId xmlns:a16="http://schemas.microsoft.com/office/drawing/2014/main" id="{00000000-0008-0000-0000-00002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36" name="Picture 11" hidden="1">
          <a:extLst>
            <a:ext uri="{FF2B5EF4-FFF2-40B4-BE49-F238E27FC236}">
              <a16:creationId xmlns:a16="http://schemas.microsoft.com/office/drawing/2014/main" id="{00000000-0008-0000-0000-00003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38" name="Picture 11" hidden="1">
          <a:extLst>
            <a:ext uri="{FF2B5EF4-FFF2-40B4-BE49-F238E27FC236}">
              <a16:creationId xmlns:a16="http://schemas.microsoft.com/office/drawing/2014/main" id="{00000000-0008-0000-0000-00003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40" name="Picture 11" hidden="1">
          <a:extLst>
            <a:ext uri="{FF2B5EF4-FFF2-40B4-BE49-F238E27FC236}">
              <a16:creationId xmlns:a16="http://schemas.microsoft.com/office/drawing/2014/main" id="{00000000-0008-0000-0000-00003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42" name="Picture 11" hidden="1">
          <a:extLst>
            <a:ext uri="{FF2B5EF4-FFF2-40B4-BE49-F238E27FC236}">
              <a16:creationId xmlns:a16="http://schemas.microsoft.com/office/drawing/2014/main" id="{00000000-0008-0000-0000-00003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44" name="Picture 11" hidden="1">
          <a:extLst>
            <a:ext uri="{FF2B5EF4-FFF2-40B4-BE49-F238E27FC236}">
              <a16:creationId xmlns:a16="http://schemas.microsoft.com/office/drawing/2014/main" id="{00000000-0008-0000-0000-00003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46" name="Picture 11" hidden="1">
          <a:extLst>
            <a:ext uri="{FF2B5EF4-FFF2-40B4-BE49-F238E27FC236}">
              <a16:creationId xmlns:a16="http://schemas.microsoft.com/office/drawing/2014/main" id="{00000000-0008-0000-0000-00003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48" name="Picture 11" hidden="1">
          <a:extLst>
            <a:ext uri="{FF2B5EF4-FFF2-40B4-BE49-F238E27FC236}">
              <a16:creationId xmlns:a16="http://schemas.microsoft.com/office/drawing/2014/main" id="{00000000-0008-0000-0000-00003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50" name="Picture 11" hidden="1">
          <a:extLst>
            <a:ext uri="{FF2B5EF4-FFF2-40B4-BE49-F238E27FC236}">
              <a16:creationId xmlns:a16="http://schemas.microsoft.com/office/drawing/2014/main" id="{00000000-0008-0000-0000-00003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52" name="Picture 11" hidden="1">
          <a:extLst>
            <a:ext uri="{FF2B5EF4-FFF2-40B4-BE49-F238E27FC236}">
              <a16:creationId xmlns:a16="http://schemas.microsoft.com/office/drawing/2014/main" id="{00000000-0008-0000-0000-00004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54" name="Picture 11" hidden="1">
          <a:extLst>
            <a:ext uri="{FF2B5EF4-FFF2-40B4-BE49-F238E27FC236}">
              <a16:creationId xmlns:a16="http://schemas.microsoft.com/office/drawing/2014/main" id="{00000000-0008-0000-0000-00004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56" name="Picture 11" hidden="1">
          <a:extLst>
            <a:ext uri="{FF2B5EF4-FFF2-40B4-BE49-F238E27FC236}">
              <a16:creationId xmlns:a16="http://schemas.microsoft.com/office/drawing/2014/main" id="{00000000-0008-0000-0000-00004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58" name="Picture 11" hidden="1">
          <a:extLst>
            <a:ext uri="{FF2B5EF4-FFF2-40B4-BE49-F238E27FC236}">
              <a16:creationId xmlns:a16="http://schemas.microsoft.com/office/drawing/2014/main" id="{00000000-0008-0000-0000-00004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60" name="Picture 11" hidden="1">
          <a:extLst>
            <a:ext uri="{FF2B5EF4-FFF2-40B4-BE49-F238E27FC236}">
              <a16:creationId xmlns:a16="http://schemas.microsoft.com/office/drawing/2014/main" id="{00000000-0008-0000-0000-00004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62" name="Picture 11" hidden="1">
          <a:extLst>
            <a:ext uri="{FF2B5EF4-FFF2-40B4-BE49-F238E27FC236}">
              <a16:creationId xmlns:a16="http://schemas.microsoft.com/office/drawing/2014/main" id="{00000000-0008-0000-0000-00004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64" name="Picture 11" hidden="1">
          <a:extLst>
            <a:ext uri="{FF2B5EF4-FFF2-40B4-BE49-F238E27FC236}">
              <a16:creationId xmlns:a16="http://schemas.microsoft.com/office/drawing/2014/main" id="{00000000-0008-0000-0000-00004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66" name="Picture 11" hidden="1">
          <a:extLst>
            <a:ext uri="{FF2B5EF4-FFF2-40B4-BE49-F238E27FC236}">
              <a16:creationId xmlns:a16="http://schemas.microsoft.com/office/drawing/2014/main" id="{00000000-0008-0000-0000-00004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68" name="Picture 11" hidden="1">
          <a:extLst>
            <a:ext uri="{FF2B5EF4-FFF2-40B4-BE49-F238E27FC236}">
              <a16:creationId xmlns:a16="http://schemas.microsoft.com/office/drawing/2014/main" id="{00000000-0008-0000-0000-00005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70" name="Picture 11" hidden="1">
          <a:extLst>
            <a:ext uri="{FF2B5EF4-FFF2-40B4-BE49-F238E27FC236}">
              <a16:creationId xmlns:a16="http://schemas.microsoft.com/office/drawing/2014/main" id="{00000000-0008-0000-0000-00005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72" name="Picture 11" hidden="1">
          <a:extLst>
            <a:ext uri="{FF2B5EF4-FFF2-40B4-BE49-F238E27FC236}">
              <a16:creationId xmlns:a16="http://schemas.microsoft.com/office/drawing/2014/main" id="{00000000-0008-0000-0000-00005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74" name="Picture 11" hidden="1">
          <a:extLst>
            <a:ext uri="{FF2B5EF4-FFF2-40B4-BE49-F238E27FC236}">
              <a16:creationId xmlns:a16="http://schemas.microsoft.com/office/drawing/2014/main" id="{00000000-0008-0000-0000-00005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76" name="Picture 11" hidden="1">
          <a:extLst>
            <a:ext uri="{FF2B5EF4-FFF2-40B4-BE49-F238E27FC236}">
              <a16:creationId xmlns:a16="http://schemas.microsoft.com/office/drawing/2014/main" id="{00000000-0008-0000-0000-00005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78" name="Picture 11" hidden="1">
          <a:extLst>
            <a:ext uri="{FF2B5EF4-FFF2-40B4-BE49-F238E27FC236}">
              <a16:creationId xmlns:a16="http://schemas.microsoft.com/office/drawing/2014/main" id="{00000000-0008-0000-0000-00005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80" name="Picture 11" hidden="1">
          <a:extLst>
            <a:ext uri="{FF2B5EF4-FFF2-40B4-BE49-F238E27FC236}">
              <a16:creationId xmlns:a16="http://schemas.microsoft.com/office/drawing/2014/main" id="{00000000-0008-0000-0000-00005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82" name="Picture 11" hidden="1">
          <a:extLst>
            <a:ext uri="{FF2B5EF4-FFF2-40B4-BE49-F238E27FC236}">
              <a16:creationId xmlns:a16="http://schemas.microsoft.com/office/drawing/2014/main" id="{00000000-0008-0000-0000-00005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84" name="Picture 11" hidden="1">
          <a:extLst>
            <a:ext uri="{FF2B5EF4-FFF2-40B4-BE49-F238E27FC236}">
              <a16:creationId xmlns:a16="http://schemas.microsoft.com/office/drawing/2014/main" id="{00000000-0008-0000-0000-00006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86" name="Picture 11" hidden="1">
          <a:extLst>
            <a:ext uri="{FF2B5EF4-FFF2-40B4-BE49-F238E27FC236}">
              <a16:creationId xmlns:a16="http://schemas.microsoft.com/office/drawing/2014/main" id="{00000000-0008-0000-0000-00006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88" name="Picture 11" hidden="1">
          <a:extLst>
            <a:ext uri="{FF2B5EF4-FFF2-40B4-BE49-F238E27FC236}">
              <a16:creationId xmlns:a16="http://schemas.microsoft.com/office/drawing/2014/main" id="{00000000-0008-0000-0000-00006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90" name="Picture 11" hidden="1">
          <a:extLst>
            <a:ext uri="{FF2B5EF4-FFF2-40B4-BE49-F238E27FC236}">
              <a16:creationId xmlns:a16="http://schemas.microsoft.com/office/drawing/2014/main" id="{00000000-0008-0000-0000-00006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92" name="Picture 11" hidden="1">
          <a:extLst>
            <a:ext uri="{FF2B5EF4-FFF2-40B4-BE49-F238E27FC236}">
              <a16:creationId xmlns:a16="http://schemas.microsoft.com/office/drawing/2014/main" id="{00000000-0008-0000-0000-00006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94" name="Picture 11" hidden="1">
          <a:extLst>
            <a:ext uri="{FF2B5EF4-FFF2-40B4-BE49-F238E27FC236}">
              <a16:creationId xmlns:a16="http://schemas.microsoft.com/office/drawing/2014/main" id="{00000000-0008-0000-0000-00006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96" name="Picture 11" hidden="1">
          <a:extLst>
            <a:ext uri="{FF2B5EF4-FFF2-40B4-BE49-F238E27FC236}">
              <a16:creationId xmlns:a16="http://schemas.microsoft.com/office/drawing/2014/main" id="{00000000-0008-0000-0000-00006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98" name="Picture 11" hidden="1">
          <a:extLst>
            <a:ext uri="{FF2B5EF4-FFF2-40B4-BE49-F238E27FC236}">
              <a16:creationId xmlns:a16="http://schemas.microsoft.com/office/drawing/2014/main" id="{00000000-0008-0000-0000-00006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00" name="Picture 11" hidden="1">
          <a:extLst>
            <a:ext uri="{FF2B5EF4-FFF2-40B4-BE49-F238E27FC236}">
              <a16:creationId xmlns:a16="http://schemas.microsoft.com/office/drawing/2014/main" id="{00000000-0008-0000-0000-00007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02" name="Picture 11" hidden="1">
          <a:extLst>
            <a:ext uri="{FF2B5EF4-FFF2-40B4-BE49-F238E27FC236}">
              <a16:creationId xmlns:a16="http://schemas.microsoft.com/office/drawing/2014/main" id="{00000000-0008-0000-0000-00007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04" name="Picture 11" hidden="1">
          <a:extLst>
            <a:ext uri="{FF2B5EF4-FFF2-40B4-BE49-F238E27FC236}">
              <a16:creationId xmlns:a16="http://schemas.microsoft.com/office/drawing/2014/main" id="{00000000-0008-0000-0000-00007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06" name="Picture 11" hidden="1">
          <a:extLst>
            <a:ext uri="{FF2B5EF4-FFF2-40B4-BE49-F238E27FC236}">
              <a16:creationId xmlns:a16="http://schemas.microsoft.com/office/drawing/2014/main" id="{00000000-0008-0000-0000-00007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08" name="Picture 11" hidden="1">
          <a:extLst>
            <a:ext uri="{FF2B5EF4-FFF2-40B4-BE49-F238E27FC236}">
              <a16:creationId xmlns:a16="http://schemas.microsoft.com/office/drawing/2014/main" id="{00000000-0008-0000-0000-00007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10" name="Picture 11" hidden="1">
          <a:extLst>
            <a:ext uri="{FF2B5EF4-FFF2-40B4-BE49-F238E27FC236}">
              <a16:creationId xmlns:a16="http://schemas.microsoft.com/office/drawing/2014/main" id="{00000000-0008-0000-0000-00007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12" name="Picture 11" hidden="1">
          <a:extLst>
            <a:ext uri="{FF2B5EF4-FFF2-40B4-BE49-F238E27FC236}">
              <a16:creationId xmlns:a16="http://schemas.microsoft.com/office/drawing/2014/main" id="{00000000-0008-0000-0000-00007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14" name="Picture 11" hidden="1">
          <a:extLst>
            <a:ext uri="{FF2B5EF4-FFF2-40B4-BE49-F238E27FC236}">
              <a16:creationId xmlns:a16="http://schemas.microsoft.com/office/drawing/2014/main" id="{00000000-0008-0000-0000-00007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16" name="Picture 11" hidden="1">
          <a:extLst>
            <a:ext uri="{FF2B5EF4-FFF2-40B4-BE49-F238E27FC236}">
              <a16:creationId xmlns:a16="http://schemas.microsoft.com/office/drawing/2014/main" id="{00000000-0008-0000-0000-00008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18" name="Picture 11" hidden="1">
          <a:extLst>
            <a:ext uri="{FF2B5EF4-FFF2-40B4-BE49-F238E27FC236}">
              <a16:creationId xmlns:a16="http://schemas.microsoft.com/office/drawing/2014/main" id="{00000000-0008-0000-0000-00008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20" name="Picture 11" hidden="1">
          <a:extLst>
            <a:ext uri="{FF2B5EF4-FFF2-40B4-BE49-F238E27FC236}">
              <a16:creationId xmlns:a16="http://schemas.microsoft.com/office/drawing/2014/main" id="{00000000-0008-0000-0000-00008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22" name="Picture 11" hidden="1">
          <a:extLst>
            <a:ext uri="{FF2B5EF4-FFF2-40B4-BE49-F238E27FC236}">
              <a16:creationId xmlns:a16="http://schemas.microsoft.com/office/drawing/2014/main" id="{00000000-0008-0000-0000-00008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24" name="Picture 11" hidden="1">
          <a:extLst>
            <a:ext uri="{FF2B5EF4-FFF2-40B4-BE49-F238E27FC236}">
              <a16:creationId xmlns:a16="http://schemas.microsoft.com/office/drawing/2014/main" id="{00000000-0008-0000-0000-00008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26" name="Picture 11" hidden="1">
          <a:extLst>
            <a:ext uri="{FF2B5EF4-FFF2-40B4-BE49-F238E27FC236}">
              <a16:creationId xmlns:a16="http://schemas.microsoft.com/office/drawing/2014/main" id="{00000000-0008-0000-0000-00008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28" name="Picture 11" hidden="1">
          <a:extLst>
            <a:ext uri="{FF2B5EF4-FFF2-40B4-BE49-F238E27FC236}">
              <a16:creationId xmlns:a16="http://schemas.microsoft.com/office/drawing/2014/main" id="{00000000-0008-0000-0000-00008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30" name="Picture 11" hidden="1">
          <a:extLst>
            <a:ext uri="{FF2B5EF4-FFF2-40B4-BE49-F238E27FC236}">
              <a16:creationId xmlns:a16="http://schemas.microsoft.com/office/drawing/2014/main" id="{00000000-0008-0000-0000-00008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32" name="Picture 11" hidden="1">
          <a:extLst>
            <a:ext uri="{FF2B5EF4-FFF2-40B4-BE49-F238E27FC236}">
              <a16:creationId xmlns:a16="http://schemas.microsoft.com/office/drawing/2014/main" id="{00000000-0008-0000-0000-00009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34" name="Picture 12433" hidden="1">
          <a:extLst>
            <a:ext uri="{FF2B5EF4-FFF2-40B4-BE49-F238E27FC236}">
              <a16:creationId xmlns:a16="http://schemas.microsoft.com/office/drawing/2014/main" id="{00000000-0008-0000-0000-00009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36" name="Picture 11" hidden="1">
          <a:extLst>
            <a:ext uri="{FF2B5EF4-FFF2-40B4-BE49-F238E27FC236}">
              <a16:creationId xmlns:a16="http://schemas.microsoft.com/office/drawing/2014/main" id="{00000000-0008-0000-0000-00009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38" name="Picture 11" hidden="1">
          <a:extLst>
            <a:ext uri="{FF2B5EF4-FFF2-40B4-BE49-F238E27FC236}">
              <a16:creationId xmlns:a16="http://schemas.microsoft.com/office/drawing/2014/main" id="{00000000-0008-0000-0000-00009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40" name="Picture 11" hidden="1">
          <a:extLst>
            <a:ext uri="{FF2B5EF4-FFF2-40B4-BE49-F238E27FC236}">
              <a16:creationId xmlns:a16="http://schemas.microsoft.com/office/drawing/2014/main" id="{00000000-0008-0000-0000-00009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42" name="Picture 11" hidden="1">
          <a:extLst>
            <a:ext uri="{FF2B5EF4-FFF2-40B4-BE49-F238E27FC236}">
              <a16:creationId xmlns:a16="http://schemas.microsoft.com/office/drawing/2014/main" id="{00000000-0008-0000-0000-00009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44" name="Picture 11" hidden="1">
          <a:extLst>
            <a:ext uri="{FF2B5EF4-FFF2-40B4-BE49-F238E27FC236}">
              <a16:creationId xmlns:a16="http://schemas.microsoft.com/office/drawing/2014/main" id="{00000000-0008-0000-0000-00009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46" name="Picture 11" hidden="1">
          <a:extLst>
            <a:ext uri="{FF2B5EF4-FFF2-40B4-BE49-F238E27FC236}">
              <a16:creationId xmlns:a16="http://schemas.microsoft.com/office/drawing/2014/main" id="{00000000-0008-0000-0000-00009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48" name="Picture 11" hidden="1">
          <a:extLst>
            <a:ext uri="{FF2B5EF4-FFF2-40B4-BE49-F238E27FC236}">
              <a16:creationId xmlns:a16="http://schemas.microsoft.com/office/drawing/2014/main" id="{00000000-0008-0000-0000-0000A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50" name="Picture 11" hidden="1">
          <a:extLst>
            <a:ext uri="{FF2B5EF4-FFF2-40B4-BE49-F238E27FC236}">
              <a16:creationId xmlns:a16="http://schemas.microsoft.com/office/drawing/2014/main" id="{00000000-0008-0000-0000-0000A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52" name="Picture 11" hidden="1">
          <a:extLst>
            <a:ext uri="{FF2B5EF4-FFF2-40B4-BE49-F238E27FC236}">
              <a16:creationId xmlns:a16="http://schemas.microsoft.com/office/drawing/2014/main" id="{00000000-0008-0000-0000-0000A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54" name="Picture 11" hidden="1">
          <a:extLst>
            <a:ext uri="{FF2B5EF4-FFF2-40B4-BE49-F238E27FC236}">
              <a16:creationId xmlns:a16="http://schemas.microsoft.com/office/drawing/2014/main" id="{00000000-0008-0000-0000-0000A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56" name="Picture 11" hidden="1">
          <a:extLst>
            <a:ext uri="{FF2B5EF4-FFF2-40B4-BE49-F238E27FC236}">
              <a16:creationId xmlns:a16="http://schemas.microsoft.com/office/drawing/2014/main" id="{00000000-0008-0000-0000-0000A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58" name="Picture 11" hidden="1">
          <a:extLst>
            <a:ext uri="{FF2B5EF4-FFF2-40B4-BE49-F238E27FC236}">
              <a16:creationId xmlns:a16="http://schemas.microsoft.com/office/drawing/2014/main" id="{00000000-0008-0000-0000-0000A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60" name="Picture 11" hidden="1">
          <a:extLst>
            <a:ext uri="{FF2B5EF4-FFF2-40B4-BE49-F238E27FC236}">
              <a16:creationId xmlns:a16="http://schemas.microsoft.com/office/drawing/2014/main" id="{00000000-0008-0000-0000-0000A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62" name="Picture 11" hidden="1">
          <a:extLst>
            <a:ext uri="{FF2B5EF4-FFF2-40B4-BE49-F238E27FC236}">
              <a16:creationId xmlns:a16="http://schemas.microsoft.com/office/drawing/2014/main" id="{00000000-0008-0000-0000-0000A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64" name="Picture 11" hidden="1">
          <a:extLst>
            <a:ext uri="{FF2B5EF4-FFF2-40B4-BE49-F238E27FC236}">
              <a16:creationId xmlns:a16="http://schemas.microsoft.com/office/drawing/2014/main" id="{00000000-0008-0000-0000-0000B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66" name="Picture 11" hidden="1">
          <a:extLst>
            <a:ext uri="{FF2B5EF4-FFF2-40B4-BE49-F238E27FC236}">
              <a16:creationId xmlns:a16="http://schemas.microsoft.com/office/drawing/2014/main" id="{00000000-0008-0000-0000-0000B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68" name="Picture 11" hidden="1">
          <a:extLst>
            <a:ext uri="{FF2B5EF4-FFF2-40B4-BE49-F238E27FC236}">
              <a16:creationId xmlns:a16="http://schemas.microsoft.com/office/drawing/2014/main" id="{00000000-0008-0000-0000-0000B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70" name="Picture 11" hidden="1">
          <a:extLst>
            <a:ext uri="{FF2B5EF4-FFF2-40B4-BE49-F238E27FC236}">
              <a16:creationId xmlns:a16="http://schemas.microsoft.com/office/drawing/2014/main" id="{00000000-0008-0000-0000-0000B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72" name="Picture 11" hidden="1">
          <a:extLst>
            <a:ext uri="{FF2B5EF4-FFF2-40B4-BE49-F238E27FC236}">
              <a16:creationId xmlns:a16="http://schemas.microsoft.com/office/drawing/2014/main" id="{00000000-0008-0000-0000-0000B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74" name="Picture 11" hidden="1">
          <a:extLst>
            <a:ext uri="{FF2B5EF4-FFF2-40B4-BE49-F238E27FC236}">
              <a16:creationId xmlns:a16="http://schemas.microsoft.com/office/drawing/2014/main" id="{00000000-0008-0000-0000-0000B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76" name="Picture 11" hidden="1">
          <a:extLst>
            <a:ext uri="{FF2B5EF4-FFF2-40B4-BE49-F238E27FC236}">
              <a16:creationId xmlns:a16="http://schemas.microsoft.com/office/drawing/2014/main" id="{00000000-0008-0000-0000-0000B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78" name="Picture 11" hidden="1">
          <a:extLst>
            <a:ext uri="{FF2B5EF4-FFF2-40B4-BE49-F238E27FC236}">
              <a16:creationId xmlns:a16="http://schemas.microsoft.com/office/drawing/2014/main" id="{00000000-0008-0000-0000-0000B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80" name="Picture 11" hidden="1">
          <a:extLst>
            <a:ext uri="{FF2B5EF4-FFF2-40B4-BE49-F238E27FC236}">
              <a16:creationId xmlns:a16="http://schemas.microsoft.com/office/drawing/2014/main" id="{00000000-0008-0000-0000-0000C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82" name="Picture 11" hidden="1">
          <a:extLst>
            <a:ext uri="{FF2B5EF4-FFF2-40B4-BE49-F238E27FC236}">
              <a16:creationId xmlns:a16="http://schemas.microsoft.com/office/drawing/2014/main" id="{00000000-0008-0000-0000-0000C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84" name="Picture 11" hidden="1">
          <a:extLst>
            <a:ext uri="{FF2B5EF4-FFF2-40B4-BE49-F238E27FC236}">
              <a16:creationId xmlns:a16="http://schemas.microsoft.com/office/drawing/2014/main" id="{00000000-0008-0000-0000-0000C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86" name="Picture 11" hidden="1">
          <a:extLst>
            <a:ext uri="{FF2B5EF4-FFF2-40B4-BE49-F238E27FC236}">
              <a16:creationId xmlns:a16="http://schemas.microsoft.com/office/drawing/2014/main" id="{00000000-0008-0000-0000-0000C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88" name="Picture 11" hidden="1">
          <a:extLst>
            <a:ext uri="{FF2B5EF4-FFF2-40B4-BE49-F238E27FC236}">
              <a16:creationId xmlns:a16="http://schemas.microsoft.com/office/drawing/2014/main" id="{00000000-0008-0000-0000-0000C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90" name="Picture 11" hidden="1">
          <a:extLst>
            <a:ext uri="{FF2B5EF4-FFF2-40B4-BE49-F238E27FC236}">
              <a16:creationId xmlns:a16="http://schemas.microsoft.com/office/drawing/2014/main" id="{00000000-0008-0000-0000-0000C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92" name="Picture 11" hidden="1">
          <a:extLst>
            <a:ext uri="{FF2B5EF4-FFF2-40B4-BE49-F238E27FC236}">
              <a16:creationId xmlns:a16="http://schemas.microsoft.com/office/drawing/2014/main" id="{00000000-0008-0000-0000-0000C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94" name="Picture 11" hidden="1">
          <a:extLst>
            <a:ext uri="{FF2B5EF4-FFF2-40B4-BE49-F238E27FC236}">
              <a16:creationId xmlns:a16="http://schemas.microsoft.com/office/drawing/2014/main" id="{00000000-0008-0000-0000-0000C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96" name="Picture 11" hidden="1">
          <a:extLst>
            <a:ext uri="{FF2B5EF4-FFF2-40B4-BE49-F238E27FC236}">
              <a16:creationId xmlns:a16="http://schemas.microsoft.com/office/drawing/2014/main" id="{00000000-0008-0000-0000-0000D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98" name="Picture 11" hidden="1">
          <a:extLst>
            <a:ext uri="{FF2B5EF4-FFF2-40B4-BE49-F238E27FC236}">
              <a16:creationId xmlns:a16="http://schemas.microsoft.com/office/drawing/2014/main" id="{00000000-0008-0000-0000-0000D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00" name="Picture 11" hidden="1">
          <a:extLst>
            <a:ext uri="{FF2B5EF4-FFF2-40B4-BE49-F238E27FC236}">
              <a16:creationId xmlns:a16="http://schemas.microsoft.com/office/drawing/2014/main" id="{00000000-0008-0000-0000-0000D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02" name="Picture 11" hidden="1">
          <a:extLst>
            <a:ext uri="{FF2B5EF4-FFF2-40B4-BE49-F238E27FC236}">
              <a16:creationId xmlns:a16="http://schemas.microsoft.com/office/drawing/2014/main" id="{00000000-0008-0000-0000-0000D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04" name="Picture 11" hidden="1">
          <a:extLst>
            <a:ext uri="{FF2B5EF4-FFF2-40B4-BE49-F238E27FC236}">
              <a16:creationId xmlns:a16="http://schemas.microsoft.com/office/drawing/2014/main" id="{00000000-0008-0000-0000-0000D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06" name="Picture 11" hidden="1">
          <a:extLst>
            <a:ext uri="{FF2B5EF4-FFF2-40B4-BE49-F238E27FC236}">
              <a16:creationId xmlns:a16="http://schemas.microsoft.com/office/drawing/2014/main" id="{00000000-0008-0000-0000-0000D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08" name="Picture 11" hidden="1">
          <a:extLst>
            <a:ext uri="{FF2B5EF4-FFF2-40B4-BE49-F238E27FC236}">
              <a16:creationId xmlns:a16="http://schemas.microsoft.com/office/drawing/2014/main" id="{00000000-0008-0000-0000-0000D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10" name="Picture 11" hidden="1">
          <a:extLst>
            <a:ext uri="{FF2B5EF4-FFF2-40B4-BE49-F238E27FC236}">
              <a16:creationId xmlns:a16="http://schemas.microsoft.com/office/drawing/2014/main" id="{00000000-0008-0000-0000-0000D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12" name="Picture 11" hidden="1">
          <a:extLst>
            <a:ext uri="{FF2B5EF4-FFF2-40B4-BE49-F238E27FC236}">
              <a16:creationId xmlns:a16="http://schemas.microsoft.com/office/drawing/2014/main" id="{00000000-0008-0000-0000-0000E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14" name="Picture 11" hidden="1">
          <a:extLst>
            <a:ext uri="{FF2B5EF4-FFF2-40B4-BE49-F238E27FC236}">
              <a16:creationId xmlns:a16="http://schemas.microsoft.com/office/drawing/2014/main" id="{00000000-0008-0000-0000-0000E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16" name="Picture 11" hidden="1">
          <a:extLst>
            <a:ext uri="{FF2B5EF4-FFF2-40B4-BE49-F238E27FC236}">
              <a16:creationId xmlns:a16="http://schemas.microsoft.com/office/drawing/2014/main" id="{00000000-0008-0000-0000-0000E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18" name="Picture 11" hidden="1">
          <a:extLst>
            <a:ext uri="{FF2B5EF4-FFF2-40B4-BE49-F238E27FC236}">
              <a16:creationId xmlns:a16="http://schemas.microsoft.com/office/drawing/2014/main" id="{00000000-0008-0000-0000-0000E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20" name="Picture 11" hidden="1">
          <a:extLst>
            <a:ext uri="{FF2B5EF4-FFF2-40B4-BE49-F238E27FC236}">
              <a16:creationId xmlns:a16="http://schemas.microsoft.com/office/drawing/2014/main" id="{00000000-0008-0000-0000-0000E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22" name="Picture 11" hidden="1">
          <a:extLst>
            <a:ext uri="{FF2B5EF4-FFF2-40B4-BE49-F238E27FC236}">
              <a16:creationId xmlns:a16="http://schemas.microsoft.com/office/drawing/2014/main" id="{00000000-0008-0000-0000-0000E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24" name="Picture 11" hidden="1">
          <a:extLst>
            <a:ext uri="{FF2B5EF4-FFF2-40B4-BE49-F238E27FC236}">
              <a16:creationId xmlns:a16="http://schemas.microsoft.com/office/drawing/2014/main" id="{00000000-0008-0000-0000-0000E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26" name="Picture 11" hidden="1">
          <a:extLst>
            <a:ext uri="{FF2B5EF4-FFF2-40B4-BE49-F238E27FC236}">
              <a16:creationId xmlns:a16="http://schemas.microsoft.com/office/drawing/2014/main" id="{00000000-0008-0000-0000-0000E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28" name="Picture 11" hidden="1">
          <a:extLst>
            <a:ext uri="{FF2B5EF4-FFF2-40B4-BE49-F238E27FC236}">
              <a16:creationId xmlns:a16="http://schemas.microsoft.com/office/drawing/2014/main" id="{00000000-0008-0000-0000-0000F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30" name="Picture 11" hidden="1">
          <a:extLst>
            <a:ext uri="{FF2B5EF4-FFF2-40B4-BE49-F238E27FC236}">
              <a16:creationId xmlns:a16="http://schemas.microsoft.com/office/drawing/2014/main" id="{00000000-0008-0000-0000-0000F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32" name="Picture 11" hidden="1">
          <a:extLst>
            <a:ext uri="{FF2B5EF4-FFF2-40B4-BE49-F238E27FC236}">
              <a16:creationId xmlns:a16="http://schemas.microsoft.com/office/drawing/2014/main" id="{00000000-0008-0000-0000-0000F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34" name="Picture 11" hidden="1">
          <a:extLst>
            <a:ext uri="{FF2B5EF4-FFF2-40B4-BE49-F238E27FC236}">
              <a16:creationId xmlns:a16="http://schemas.microsoft.com/office/drawing/2014/main" id="{00000000-0008-0000-0000-0000F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36" name="Picture 11" hidden="1">
          <a:extLst>
            <a:ext uri="{FF2B5EF4-FFF2-40B4-BE49-F238E27FC236}">
              <a16:creationId xmlns:a16="http://schemas.microsoft.com/office/drawing/2014/main" id="{00000000-0008-0000-0000-0000F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38" name="Picture 11" hidden="1">
          <a:extLst>
            <a:ext uri="{FF2B5EF4-FFF2-40B4-BE49-F238E27FC236}">
              <a16:creationId xmlns:a16="http://schemas.microsoft.com/office/drawing/2014/main" id="{00000000-0008-0000-0000-0000F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40" name="Picture 11" hidden="1">
          <a:extLst>
            <a:ext uri="{FF2B5EF4-FFF2-40B4-BE49-F238E27FC236}">
              <a16:creationId xmlns:a16="http://schemas.microsoft.com/office/drawing/2014/main" id="{00000000-0008-0000-0000-0000F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42" name="Picture 12541" hidden="1">
          <a:extLst>
            <a:ext uri="{FF2B5EF4-FFF2-40B4-BE49-F238E27FC236}">
              <a16:creationId xmlns:a16="http://schemas.microsoft.com/office/drawing/2014/main" id="{00000000-0008-0000-0000-0000F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44" name="Picture 11" hidden="1">
          <a:extLst>
            <a:ext uri="{FF2B5EF4-FFF2-40B4-BE49-F238E27FC236}">
              <a16:creationId xmlns:a16="http://schemas.microsoft.com/office/drawing/2014/main" id="{00000000-0008-0000-0000-00000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46" name="Picture 11" hidden="1">
          <a:extLst>
            <a:ext uri="{FF2B5EF4-FFF2-40B4-BE49-F238E27FC236}">
              <a16:creationId xmlns:a16="http://schemas.microsoft.com/office/drawing/2014/main" id="{00000000-0008-0000-0000-00000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48" name="Picture 11" hidden="1">
          <a:extLst>
            <a:ext uri="{FF2B5EF4-FFF2-40B4-BE49-F238E27FC236}">
              <a16:creationId xmlns:a16="http://schemas.microsoft.com/office/drawing/2014/main" id="{00000000-0008-0000-0000-00000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50" name="Picture 11" hidden="1">
          <a:extLst>
            <a:ext uri="{FF2B5EF4-FFF2-40B4-BE49-F238E27FC236}">
              <a16:creationId xmlns:a16="http://schemas.microsoft.com/office/drawing/2014/main" id="{00000000-0008-0000-0000-00000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52" name="Picture 11" hidden="1">
          <a:extLst>
            <a:ext uri="{FF2B5EF4-FFF2-40B4-BE49-F238E27FC236}">
              <a16:creationId xmlns:a16="http://schemas.microsoft.com/office/drawing/2014/main" id="{00000000-0008-0000-0000-00000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54" name="Picture 11" hidden="1">
          <a:extLst>
            <a:ext uri="{FF2B5EF4-FFF2-40B4-BE49-F238E27FC236}">
              <a16:creationId xmlns:a16="http://schemas.microsoft.com/office/drawing/2014/main" id="{00000000-0008-0000-0000-00000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56" name="Picture 11" hidden="1">
          <a:extLst>
            <a:ext uri="{FF2B5EF4-FFF2-40B4-BE49-F238E27FC236}">
              <a16:creationId xmlns:a16="http://schemas.microsoft.com/office/drawing/2014/main" id="{00000000-0008-0000-0000-00000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58" name="Picture 11" hidden="1">
          <a:extLst>
            <a:ext uri="{FF2B5EF4-FFF2-40B4-BE49-F238E27FC236}">
              <a16:creationId xmlns:a16="http://schemas.microsoft.com/office/drawing/2014/main" id="{00000000-0008-0000-0000-00000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60" name="Picture 11" hidden="1">
          <a:extLst>
            <a:ext uri="{FF2B5EF4-FFF2-40B4-BE49-F238E27FC236}">
              <a16:creationId xmlns:a16="http://schemas.microsoft.com/office/drawing/2014/main" id="{00000000-0008-0000-0000-00001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62" name="Picture 11" hidden="1">
          <a:extLst>
            <a:ext uri="{FF2B5EF4-FFF2-40B4-BE49-F238E27FC236}">
              <a16:creationId xmlns:a16="http://schemas.microsoft.com/office/drawing/2014/main" id="{00000000-0008-0000-0000-00001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64" name="Picture 11" hidden="1">
          <a:extLst>
            <a:ext uri="{FF2B5EF4-FFF2-40B4-BE49-F238E27FC236}">
              <a16:creationId xmlns:a16="http://schemas.microsoft.com/office/drawing/2014/main" id="{00000000-0008-0000-0000-00001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66" name="Picture 11" hidden="1">
          <a:extLst>
            <a:ext uri="{FF2B5EF4-FFF2-40B4-BE49-F238E27FC236}">
              <a16:creationId xmlns:a16="http://schemas.microsoft.com/office/drawing/2014/main" id="{00000000-0008-0000-0000-00001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68" name="Picture 11" hidden="1">
          <a:extLst>
            <a:ext uri="{FF2B5EF4-FFF2-40B4-BE49-F238E27FC236}">
              <a16:creationId xmlns:a16="http://schemas.microsoft.com/office/drawing/2014/main" id="{00000000-0008-0000-0000-00001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70" name="Picture 11" hidden="1">
          <a:extLst>
            <a:ext uri="{FF2B5EF4-FFF2-40B4-BE49-F238E27FC236}">
              <a16:creationId xmlns:a16="http://schemas.microsoft.com/office/drawing/2014/main" id="{00000000-0008-0000-0000-00001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72" name="Picture 11" hidden="1">
          <a:extLst>
            <a:ext uri="{FF2B5EF4-FFF2-40B4-BE49-F238E27FC236}">
              <a16:creationId xmlns:a16="http://schemas.microsoft.com/office/drawing/2014/main" id="{00000000-0008-0000-0000-00001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74" name="Picture 11" hidden="1">
          <a:extLst>
            <a:ext uri="{FF2B5EF4-FFF2-40B4-BE49-F238E27FC236}">
              <a16:creationId xmlns:a16="http://schemas.microsoft.com/office/drawing/2014/main" id="{00000000-0008-0000-0000-00001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76" name="Picture 11" hidden="1">
          <a:extLst>
            <a:ext uri="{FF2B5EF4-FFF2-40B4-BE49-F238E27FC236}">
              <a16:creationId xmlns:a16="http://schemas.microsoft.com/office/drawing/2014/main" id="{00000000-0008-0000-0000-00002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78" name="Picture 11" hidden="1">
          <a:extLst>
            <a:ext uri="{FF2B5EF4-FFF2-40B4-BE49-F238E27FC236}">
              <a16:creationId xmlns:a16="http://schemas.microsoft.com/office/drawing/2014/main" id="{00000000-0008-0000-0000-00002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80" name="Picture 11" hidden="1">
          <a:extLst>
            <a:ext uri="{FF2B5EF4-FFF2-40B4-BE49-F238E27FC236}">
              <a16:creationId xmlns:a16="http://schemas.microsoft.com/office/drawing/2014/main" id="{00000000-0008-0000-0000-00002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82" name="Picture 11" hidden="1">
          <a:extLst>
            <a:ext uri="{FF2B5EF4-FFF2-40B4-BE49-F238E27FC236}">
              <a16:creationId xmlns:a16="http://schemas.microsoft.com/office/drawing/2014/main" id="{00000000-0008-0000-0000-00002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84" name="Picture 11" hidden="1">
          <a:extLst>
            <a:ext uri="{FF2B5EF4-FFF2-40B4-BE49-F238E27FC236}">
              <a16:creationId xmlns:a16="http://schemas.microsoft.com/office/drawing/2014/main" id="{00000000-0008-0000-0000-00002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86" name="Picture 11" hidden="1">
          <a:extLst>
            <a:ext uri="{FF2B5EF4-FFF2-40B4-BE49-F238E27FC236}">
              <a16:creationId xmlns:a16="http://schemas.microsoft.com/office/drawing/2014/main" id="{00000000-0008-0000-0000-00002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88" name="Picture 11" hidden="1">
          <a:extLst>
            <a:ext uri="{FF2B5EF4-FFF2-40B4-BE49-F238E27FC236}">
              <a16:creationId xmlns:a16="http://schemas.microsoft.com/office/drawing/2014/main" id="{00000000-0008-0000-0000-00002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90" name="Picture 11" hidden="1">
          <a:extLst>
            <a:ext uri="{FF2B5EF4-FFF2-40B4-BE49-F238E27FC236}">
              <a16:creationId xmlns:a16="http://schemas.microsoft.com/office/drawing/2014/main" id="{00000000-0008-0000-0000-00002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92" name="Picture 11" hidden="1">
          <a:extLst>
            <a:ext uri="{FF2B5EF4-FFF2-40B4-BE49-F238E27FC236}">
              <a16:creationId xmlns:a16="http://schemas.microsoft.com/office/drawing/2014/main" id="{00000000-0008-0000-0000-00003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94" name="Picture 11" hidden="1">
          <a:extLst>
            <a:ext uri="{FF2B5EF4-FFF2-40B4-BE49-F238E27FC236}">
              <a16:creationId xmlns:a16="http://schemas.microsoft.com/office/drawing/2014/main" id="{00000000-0008-0000-0000-00003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96" name="Picture 11" hidden="1">
          <a:extLst>
            <a:ext uri="{FF2B5EF4-FFF2-40B4-BE49-F238E27FC236}">
              <a16:creationId xmlns:a16="http://schemas.microsoft.com/office/drawing/2014/main" id="{00000000-0008-0000-0000-00003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98" name="Picture 11" hidden="1">
          <a:extLst>
            <a:ext uri="{FF2B5EF4-FFF2-40B4-BE49-F238E27FC236}">
              <a16:creationId xmlns:a16="http://schemas.microsoft.com/office/drawing/2014/main" id="{00000000-0008-0000-0000-00003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00" name="Picture 11" hidden="1">
          <a:extLst>
            <a:ext uri="{FF2B5EF4-FFF2-40B4-BE49-F238E27FC236}">
              <a16:creationId xmlns:a16="http://schemas.microsoft.com/office/drawing/2014/main" id="{00000000-0008-0000-0000-00003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02" name="Picture 11" hidden="1">
          <a:extLst>
            <a:ext uri="{FF2B5EF4-FFF2-40B4-BE49-F238E27FC236}">
              <a16:creationId xmlns:a16="http://schemas.microsoft.com/office/drawing/2014/main" id="{00000000-0008-0000-0000-00003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04" name="Picture 11" hidden="1">
          <a:extLst>
            <a:ext uri="{FF2B5EF4-FFF2-40B4-BE49-F238E27FC236}">
              <a16:creationId xmlns:a16="http://schemas.microsoft.com/office/drawing/2014/main" id="{00000000-0008-0000-0000-00003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06" name="Picture 11" hidden="1">
          <a:extLst>
            <a:ext uri="{FF2B5EF4-FFF2-40B4-BE49-F238E27FC236}">
              <a16:creationId xmlns:a16="http://schemas.microsoft.com/office/drawing/2014/main" id="{00000000-0008-0000-0000-00003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08" name="Picture 11" hidden="1">
          <a:extLst>
            <a:ext uri="{FF2B5EF4-FFF2-40B4-BE49-F238E27FC236}">
              <a16:creationId xmlns:a16="http://schemas.microsoft.com/office/drawing/2014/main" id="{00000000-0008-0000-0000-00004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10" name="Picture 11" hidden="1">
          <a:extLst>
            <a:ext uri="{FF2B5EF4-FFF2-40B4-BE49-F238E27FC236}">
              <a16:creationId xmlns:a16="http://schemas.microsoft.com/office/drawing/2014/main" id="{00000000-0008-0000-0000-00004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12" name="Picture 11" hidden="1">
          <a:extLst>
            <a:ext uri="{FF2B5EF4-FFF2-40B4-BE49-F238E27FC236}">
              <a16:creationId xmlns:a16="http://schemas.microsoft.com/office/drawing/2014/main" id="{00000000-0008-0000-0000-00004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14" name="Picture 11" hidden="1">
          <a:extLst>
            <a:ext uri="{FF2B5EF4-FFF2-40B4-BE49-F238E27FC236}">
              <a16:creationId xmlns:a16="http://schemas.microsoft.com/office/drawing/2014/main" id="{00000000-0008-0000-0000-00004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16" name="Picture 11" hidden="1">
          <a:extLst>
            <a:ext uri="{FF2B5EF4-FFF2-40B4-BE49-F238E27FC236}">
              <a16:creationId xmlns:a16="http://schemas.microsoft.com/office/drawing/2014/main" id="{00000000-0008-0000-0000-00004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18" name="Picture 11" hidden="1">
          <a:extLst>
            <a:ext uri="{FF2B5EF4-FFF2-40B4-BE49-F238E27FC236}">
              <a16:creationId xmlns:a16="http://schemas.microsoft.com/office/drawing/2014/main" id="{00000000-0008-0000-0000-00004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20" name="Picture 11" hidden="1">
          <a:extLst>
            <a:ext uri="{FF2B5EF4-FFF2-40B4-BE49-F238E27FC236}">
              <a16:creationId xmlns:a16="http://schemas.microsoft.com/office/drawing/2014/main" id="{00000000-0008-0000-0000-00004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22" name="Picture 11" hidden="1">
          <a:extLst>
            <a:ext uri="{FF2B5EF4-FFF2-40B4-BE49-F238E27FC236}">
              <a16:creationId xmlns:a16="http://schemas.microsoft.com/office/drawing/2014/main" id="{00000000-0008-0000-0000-00004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24" name="Picture 11" hidden="1">
          <a:extLst>
            <a:ext uri="{FF2B5EF4-FFF2-40B4-BE49-F238E27FC236}">
              <a16:creationId xmlns:a16="http://schemas.microsoft.com/office/drawing/2014/main" id="{00000000-0008-0000-0000-00005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26" name="Picture 11" hidden="1">
          <a:extLst>
            <a:ext uri="{FF2B5EF4-FFF2-40B4-BE49-F238E27FC236}">
              <a16:creationId xmlns:a16="http://schemas.microsoft.com/office/drawing/2014/main" id="{00000000-0008-0000-0000-00005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28" name="Picture 11" hidden="1">
          <a:extLst>
            <a:ext uri="{FF2B5EF4-FFF2-40B4-BE49-F238E27FC236}">
              <a16:creationId xmlns:a16="http://schemas.microsoft.com/office/drawing/2014/main" id="{00000000-0008-0000-0000-00005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30" name="Picture 11" hidden="1">
          <a:extLst>
            <a:ext uri="{FF2B5EF4-FFF2-40B4-BE49-F238E27FC236}">
              <a16:creationId xmlns:a16="http://schemas.microsoft.com/office/drawing/2014/main" id="{00000000-0008-0000-0000-00005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32" name="Picture 11" hidden="1">
          <a:extLst>
            <a:ext uri="{FF2B5EF4-FFF2-40B4-BE49-F238E27FC236}">
              <a16:creationId xmlns:a16="http://schemas.microsoft.com/office/drawing/2014/main" id="{00000000-0008-0000-0000-00005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34" name="Picture 11" hidden="1">
          <a:extLst>
            <a:ext uri="{FF2B5EF4-FFF2-40B4-BE49-F238E27FC236}">
              <a16:creationId xmlns:a16="http://schemas.microsoft.com/office/drawing/2014/main" id="{00000000-0008-0000-0000-00005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36" name="Picture 11" hidden="1">
          <a:extLst>
            <a:ext uri="{FF2B5EF4-FFF2-40B4-BE49-F238E27FC236}">
              <a16:creationId xmlns:a16="http://schemas.microsoft.com/office/drawing/2014/main" id="{00000000-0008-0000-0000-00005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38" name="Picture 11" hidden="1">
          <a:extLst>
            <a:ext uri="{FF2B5EF4-FFF2-40B4-BE49-F238E27FC236}">
              <a16:creationId xmlns:a16="http://schemas.microsoft.com/office/drawing/2014/main" id="{00000000-0008-0000-0000-00005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40" name="Picture 11" hidden="1">
          <a:extLst>
            <a:ext uri="{FF2B5EF4-FFF2-40B4-BE49-F238E27FC236}">
              <a16:creationId xmlns:a16="http://schemas.microsoft.com/office/drawing/2014/main" id="{00000000-0008-0000-0000-00006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42" name="Picture 11" hidden="1">
          <a:extLst>
            <a:ext uri="{FF2B5EF4-FFF2-40B4-BE49-F238E27FC236}">
              <a16:creationId xmlns:a16="http://schemas.microsoft.com/office/drawing/2014/main" id="{00000000-0008-0000-0000-00006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44" name="Picture 11" hidden="1">
          <a:extLst>
            <a:ext uri="{FF2B5EF4-FFF2-40B4-BE49-F238E27FC236}">
              <a16:creationId xmlns:a16="http://schemas.microsoft.com/office/drawing/2014/main" id="{00000000-0008-0000-0000-00006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46" name="Picture 11" hidden="1">
          <a:extLst>
            <a:ext uri="{FF2B5EF4-FFF2-40B4-BE49-F238E27FC236}">
              <a16:creationId xmlns:a16="http://schemas.microsoft.com/office/drawing/2014/main" id="{00000000-0008-0000-0000-00006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48" name="Picture 11" hidden="1">
          <a:extLst>
            <a:ext uri="{FF2B5EF4-FFF2-40B4-BE49-F238E27FC236}">
              <a16:creationId xmlns:a16="http://schemas.microsoft.com/office/drawing/2014/main" id="{00000000-0008-0000-0000-00006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50" name="Picture 12649" hidden="1">
          <a:extLst>
            <a:ext uri="{FF2B5EF4-FFF2-40B4-BE49-F238E27FC236}">
              <a16:creationId xmlns:a16="http://schemas.microsoft.com/office/drawing/2014/main" id="{00000000-0008-0000-0000-00006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52" name="Picture 11" hidden="1">
          <a:extLst>
            <a:ext uri="{FF2B5EF4-FFF2-40B4-BE49-F238E27FC236}">
              <a16:creationId xmlns:a16="http://schemas.microsoft.com/office/drawing/2014/main" id="{00000000-0008-0000-0000-00006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54" name="Picture 11" hidden="1">
          <a:extLst>
            <a:ext uri="{FF2B5EF4-FFF2-40B4-BE49-F238E27FC236}">
              <a16:creationId xmlns:a16="http://schemas.microsoft.com/office/drawing/2014/main" id="{00000000-0008-0000-0000-00006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56" name="Picture 11" hidden="1">
          <a:extLst>
            <a:ext uri="{FF2B5EF4-FFF2-40B4-BE49-F238E27FC236}">
              <a16:creationId xmlns:a16="http://schemas.microsoft.com/office/drawing/2014/main" id="{00000000-0008-0000-0000-00007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58" name="Picture 11" hidden="1">
          <a:extLst>
            <a:ext uri="{FF2B5EF4-FFF2-40B4-BE49-F238E27FC236}">
              <a16:creationId xmlns:a16="http://schemas.microsoft.com/office/drawing/2014/main" id="{00000000-0008-0000-0000-00007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60" name="Picture 11" hidden="1">
          <a:extLst>
            <a:ext uri="{FF2B5EF4-FFF2-40B4-BE49-F238E27FC236}">
              <a16:creationId xmlns:a16="http://schemas.microsoft.com/office/drawing/2014/main" id="{00000000-0008-0000-0000-00007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62" name="Picture 11" hidden="1">
          <a:extLst>
            <a:ext uri="{FF2B5EF4-FFF2-40B4-BE49-F238E27FC236}">
              <a16:creationId xmlns:a16="http://schemas.microsoft.com/office/drawing/2014/main" id="{00000000-0008-0000-0000-00007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64" name="Picture 11" hidden="1">
          <a:extLst>
            <a:ext uri="{FF2B5EF4-FFF2-40B4-BE49-F238E27FC236}">
              <a16:creationId xmlns:a16="http://schemas.microsoft.com/office/drawing/2014/main" id="{00000000-0008-0000-0000-00007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66" name="Picture 11" hidden="1">
          <a:extLst>
            <a:ext uri="{FF2B5EF4-FFF2-40B4-BE49-F238E27FC236}">
              <a16:creationId xmlns:a16="http://schemas.microsoft.com/office/drawing/2014/main" id="{00000000-0008-0000-0000-00007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68" name="Picture 11" hidden="1">
          <a:extLst>
            <a:ext uri="{FF2B5EF4-FFF2-40B4-BE49-F238E27FC236}">
              <a16:creationId xmlns:a16="http://schemas.microsoft.com/office/drawing/2014/main" id="{00000000-0008-0000-0000-00007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70" name="Picture 11" hidden="1">
          <a:extLst>
            <a:ext uri="{FF2B5EF4-FFF2-40B4-BE49-F238E27FC236}">
              <a16:creationId xmlns:a16="http://schemas.microsoft.com/office/drawing/2014/main" id="{00000000-0008-0000-0000-00007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72" name="Picture 11" hidden="1">
          <a:extLst>
            <a:ext uri="{FF2B5EF4-FFF2-40B4-BE49-F238E27FC236}">
              <a16:creationId xmlns:a16="http://schemas.microsoft.com/office/drawing/2014/main" id="{00000000-0008-0000-0000-00008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74" name="Picture 11" hidden="1">
          <a:extLst>
            <a:ext uri="{FF2B5EF4-FFF2-40B4-BE49-F238E27FC236}">
              <a16:creationId xmlns:a16="http://schemas.microsoft.com/office/drawing/2014/main" id="{00000000-0008-0000-0000-00008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76" name="Picture 11" hidden="1">
          <a:extLst>
            <a:ext uri="{FF2B5EF4-FFF2-40B4-BE49-F238E27FC236}">
              <a16:creationId xmlns:a16="http://schemas.microsoft.com/office/drawing/2014/main" id="{00000000-0008-0000-0000-00008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78" name="Picture 11" hidden="1">
          <a:extLst>
            <a:ext uri="{FF2B5EF4-FFF2-40B4-BE49-F238E27FC236}">
              <a16:creationId xmlns:a16="http://schemas.microsoft.com/office/drawing/2014/main" id="{00000000-0008-0000-0000-00008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80" name="Picture 11" hidden="1">
          <a:extLst>
            <a:ext uri="{FF2B5EF4-FFF2-40B4-BE49-F238E27FC236}">
              <a16:creationId xmlns:a16="http://schemas.microsoft.com/office/drawing/2014/main" id="{00000000-0008-0000-0000-00008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82" name="Picture 11" hidden="1">
          <a:extLst>
            <a:ext uri="{FF2B5EF4-FFF2-40B4-BE49-F238E27FC236}">
              <a16:creationId xmlns:a16="http://schemas.microsoft.com/office/drawing/2014/main" id="{00000000-0008-0000-0000-00008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84" name="Picture 11" hidden="1">
          <a:extLst>
            <a:ext uri="{FF2B5EF4-FFF2-40B4-BE49-F238E27FC236}">
              <a16:creationId xmlns:a16="http://schemas.microsoft.com/office/drawing/2014/main" id="{00000000-0008-0000-0000-00008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86" name="Picture 11" hidden="1">
          <a:extLst>
            <a:ext uri="{FF2B5EF4-FFF2-40B4-BE49-F238E27FC236}">
              <a16:creationId xmlns:a16="http://schemas.microsoft.com/office/drawing/2014/main" id="{00000000-0008-0000-0000-00008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88" name="Picture 11" hidden="1">
          <a:extLst>
            <a:ext uri="{FF2B5EF4-FFF2-40B4-BE49-F238E27FC236}">
              <a16:creationId xmlns:a16="http://schemas.microsoft.com/office/drawing/2014/main" id="{00000000-0008-0000-0000-00009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90" name="Picture 11" hidden="1">
          <a:extLst>
            <a:ext uri="{FF2B5EF4-FFF2-40B4-BE49-F238E27FC236}">
              <a16:creationId xmlns:a16="http://schemas.microsoft.com/office/drawing/2014/main" id="{00000000-0008-0000-0000-00009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92" name="Picture 11" hidden="1">
          <a:extLst>
            <a:ext uri="{FF2B5EF4-FFF2-40B4-BE49-F238E27FC236}">
              <a16:creationId xmlns:a16="http://schemas.microsoft.com/office/drawing/2014/main" id="{00000000-0008-0000-0000-00009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94" name="Picture 11" hidden="1">
          <a:extLst>
            <a:ext uri="{FF2B5EF4-FFF2-40B4-BE49-F238E27FC236}">
              <a16:creationId xmlns:a16="http://schemas.microsoft.com/office/drawing/2014/main" id="{00000000-0008-0000-0000-00009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96" name="Picture 11" hidden="1">
          <a:extLst>
            <a:ext uri="{FF2B5EF4-FFF2-40B4-BE49-F238E27FC236}">
              <a16:creationId xmlns:a16="http://schemas.microsoft.com/office/drawing/2014/main" id="{00000000-0008-0000-0000-00009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98" name="Picture 11" hidden="1">
          <a:extLst>
            <a:ext uri="{FF2B5EF4-FFF2-40B4-BE49-F238E27FC236}">
              <a16:creationId xmlns:a16="http://schemas.microsoft.com/office/drawing/2014/main" id="{00000000-0008-0000-0000-00009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00" name="Picture 11" hidden="1">
          <a:extLst>
            <a:ext uri="{FF2B5EF4-FFF2-40B4-BE49-F238E27FC236}">
              <a16:creationId xmlns:a16="http://schemas.microsoft.com/office/drawing/2014/main" id="{00000000-0008-0000-0000-00009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02" name="Picture 11" hidden="1">
          <a:extLst>
            <a:ext uri="{FF2B5EF4-FFF2-40B4-BE49-F238E27FC236}">
              <a16:creationId xmlns:a16="http://schemas.microsoft.com/office/drawing/2014/main" id="{00000000-0008-0000-0000-00009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04" name="Picture 11" hidden="1">
          <a:extLst>
            <a:ext uri="{FF2B5EF4-FFF2-40B4-BE49-F238E27FC236}">
              <a16:creationId xmlns:a16="http://schemas.microsoft.com/office/drawing/2014/main" id="{00000000-0008-0000-0000-0000A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06" name="Picture 11" hidden="1">
          <a:extLst>
            <a:ext uri="{FF2B5EF4-FFF2-40B4-BE49-F238E27FC236}">
              <a16:creationId xmlns:a16="http://schemas.microsoft.com/office/drawing/2014/main" id="{00000000-0008-0000-0000-0000A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08" name="Picture 11" hidden="1">
          <a:extLst>
            <a:ext uri="{FF2B5EF4-FFF2-40B4-BE49-F238E27FC236}">
              <a16:creationId xmlns:a16="http://schemas.microsoft.com/office/drawing/2014/main" id="{00000000-0008-0000-0000-0000A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10" name="Picture 11" hidden="1">
          <a:extLst>
            <a:ext uri="{FF2B5EF4-FFF2-40B4-BE49-F238E27FC236}">
              <a16:creationId xmlns:a16="http://schemas.microsoft.com/office/drawing/2014/main" id="{00000000-0008-0000-0000-0000A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12" name="Picture 11" hidden="1">
          <a:extLst>
            <a:ext uri="{FF2B5EF4-FFF2-40B4-BE49-F238E27FC236}">
              <a16:creationId xmlns:a16="http://schemas.microsoft.com/office/drawing/2014/main" id="{00000000-0008-0000-0000-0000A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14" name="Picture 11" hidden="1">
          <a:extLst>
            <a:ext uri="{FF2B5EF4-FFF2-40B4-BE49-F238E27FC236}">
              <a16:creationId xmlns:a16="http://schemas.microsoft.com/office/drawing/2014/main" id="{00000000-0008-0000-0000-0000A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16" name="Picture 11" hidden="1">
          <a:extLst>
            <a:ext uri="{FF2B5EF4-FFF2-40B4-BE49-F238E27FC236}">
              <a16:creationId xmlns:a16="http://schemas.microsoft.com/office/drawing/2014/main" id="{00000000-0008-0000-0000-0000A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18" name="Picture 11" hidden="1">
          <a:extLst>
            <a:ext uri="{FF2B5EF4-FFF2-40B4-BE49-F238E27FC236}">
              <a16:creationId xmlns:a16="http://schemas.microsoft.com/office/drawing/2014/main" id="{00000000-0008-0000-0000-0000A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20" name="Picture 11" hidden="1">
          <a:extLst>
            <a:ext uri="{FF2B5EF4-FFF2-40B4-BE49-F238E27FC236}">
              <a16:creationId xmlns:a16="http://schemas.microsoft.com/office/drawing/2014/main" id="{00000000-0008-0000-0000-0000B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22" name="Picture 11" hidden="1">
          <a:extLst>
            <a:ext uri="{FF2B5EF4-FFF2-40B4-BE49-F238E27FC236}">
              <a16:creationId xmlns:a16="http://schemas.microsoft.com/office/drawing/2014/main" id="{00000000-0008-0000-0000-0000B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24" name="Picture 11" hidden="1">
          <a:extLst>
            <a:ext uri="{FF2B5EF4-FFF2-40B4-BE49-F238E27FC236}">
              <a16:creationId xmlns:a16="http://schemas.microsoft.com/office/drawing/2014/main" id="{00000000-0008-0000-0000-0000B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26" name="Picture 11" hidden="1">
          <a:extLst>
            <a:ext uri="{FF2B5EF4-FFF2-40B4-BE49-F238E27FC236}">
              <a16:creationId xmlns:a16="http://schemas.microsoft.com/office/drawing/2014/main" id="{00000000-0008-0000-0000-0000B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28" name="Picture 11" hidden="1">
          <a:extLst>
            <a:ext uri="{FF2B5EF4-FFF2-40B4-BE49-F238E27FC236}">
              <a16:creationId xmlns:a16="http://schemas.microsoft.com/office/drawing/2014/main" id="{00000000-0008-0000-0000-0000B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30" name="Picture 11" hidden="1">
          <a:extLst>
            <a:ext uri="{FF2B5EF4-FFF2-40B4-BE49-F238E27FC236}">
              <a16:creationId xmlns:a16="http://schemas.microsoft.com/office/drawing/2014/main" id="{00000000-0008-0000-0000-0000B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32" name="Picture 11" hidden="1">
          <a:extLst>
            <a:ext uri="{FF2B5EF4-FFF2-40B4-BE49-F238E27FC236}">
              <a16:creationId xmlns:a16="http://schemas.microsoft.com/office/drawing/2014/main" id="{00000000-0008-0000-0000-0000B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34" name="Picture 11" hidden="1">
          <a:extLst>
            <a:ext uri="{FF2B5EF4-FFF2-40B4-BE49-F238E27FC236}">
              <a16:creationId xmlns:a16="http://schemas.microsoft.com/office/drawing/2014/main" id="{00000000-0008-0000-0000-0000B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36" name="Picture 11" hidden="1">
          <a:extLst>
            <a:ext uri="{FF2B5EF4-FFF2-40B4-BE49-F238E27FC236}">
              <a16:creationId xmlns:a16="http://schemas.microsoft.com/office/drawing/2014/main" id="{00000000-0008-0000-0000-0000C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38" name="Picture 11" hidden="1">
          <a:extLst>
            <a:ext uri="{FF2B5EF4-FFF2-40B4-BE49-F238E27FC236}">
              <a16:creationId xmlns:a16="http://schemas.microsoft.com/office/drawing/2014/main" id="{00000000-0008-0000-0000-0000C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40" name="Picture 11" hidden="1">
          <a:extLst>
            <a:ext uri="{FF2B5EF4-FFF2-40B4-BE49-F238E27FC236}">
              <a16:creationId xmlns:a16="http://schemas.microsoft.com/office/drawing/2014/main" id="{00000000-0008-0000-0000-0000C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42" name="Picture 11" hidden="1">
          <a:extLst>
            <a:ext uri="{FF2B5EF4-FFF2-40B4-BE49-F238E27FC236}">
              <a16:creationId xmlns:a16="http://schemas.microsoft.com/office/drawing/2014/main" id="{00000000-0008-0000-0000-0000C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44" name="Picture 11" hidden="1">
          <a:extLst>
            <a:ext uri="{FF2B5EF4-FFF2-40B4-BE49-F238E27FC236}">
              <a16:creationId xmlns:a16="http://schemas.microsoft.com/office/drawing/2014/main" id="{00000000-0008-0000-0000-0000C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46" name="Picture 11" hidden="1">
          <a:extLst>
            <a:ext uri="{FF2B5EF4-FFF2-40B4-BE49-F238E27FC236}">
              <a16:creationId xmlns:a16="http://schemas.microsoft.com/office/drawing/2014/main" id="{00000000-0008-0000-0000-0000C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48" name="Picture 11" hidden="1">
          <a:extLst>
            <a:ext uri="{FF2B5EF4-FFF2-40B4-BE49-F238E27FC236}">
              <a16:creationId xmlns:a16="http://schemas.microsoft.com/office/drawing/2014/main" id="{00000000-0008-0000-0000-0000C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0</xdr:row>
          <xdr:rowOff>38100</xdr:rowOff>
        </xdr:from>
        <xdr:to>
          <xdr:col>6</xdr:col>
          <xdr:colOff>584200</xdr:colOff>
          <xdr:row>0</xdr:row>
          <xdr:rowOff>533400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FBS Scan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xdr:colOff>
      <xdr:row>32</xdr:row>
      <xdr:rowOff>0</xdr:rowOff>
    </xdr:from>
    <xdr:to>
      <xdr:col>3</xdr:col>
      <xdr:colOff>15814</xdr:colOff>
      <xdr:row>50</xdr:row>
      <xdr:rowOff>95250</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stretch>
          <a:fillRect/>
        </a:stretch>
      </xdr:blipFill>
      <xdr:spPr>
        <a:xfrm>
          <a:off x="285751" y="9610725"/>
          <a:ext cx="4006788" cy="3524250"/>
        </a:xfrm>
        <a:prstGeom prst="rect">
          <a:avLst/>
        </a:prstGeom>
      </xdr:spPr>
    </xdr:pic>
    <xdr:clientData/>
  </xdr:twoCellAnchor>
  <xdr:twoCellAnchor editAs="oneCell">
    <xdr:from>
      <xdr:col>0</xdr:col>
      <xdr:colOff>247651</xdr:colOff>
      <xdr:row>52</xdr:row>
      <xdr:rowOff>66675</xdr:rowOff>
    </xdr:from>
    <xdr:to>
      <xdr:col>3</xdr:col>
      <xdr:colOff>123826</xdr:colOff>
      <xdr:row>76</xdr:row>
      <xdr:rowOff>66675</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stretch>
          <a:fillRect/>
        </a:stretch>
      </xdr:blipFill>
      <xdr:spPr>
        <a:xfrm>
          <a:off x="247651" y="13487400"/>
          <a:ext cx="4152900" cy="4572000"/>
        </a:xfrm>
        <a:prstGeom prst="rect">
          <a:avLst/>
        </a:prstGeom>
      </xdr:spPr>
    </xdr:pic>
    <xdr:clientData/>
  </xdr:twoCellAnchor>
  <xdr:twoCellAnchor editAs="oneCell">
    <xdr:from>
      <xdr:col>1</xdr:col>
      <xdr:colOff>0</xdr:colOff>
      <xdr:row>79</xdr:row>
      <xdr:rowOff>0</xdr:rowOff>
    </xdr:from>
    <xdr:to>
      <xdr:col>5</xdr:col>
      <xdr:colOff>199349</xdr:colOff>
      <xdr:row>104</xdr:row>
      <xdr:rowOff>66071</xdr:rowOff>
    </xdr:to>
    <xdr:pic>
      <xdr:nvPicPr>
        <xdr:cNvPr id="5" name="Pictur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3"/>
        <a:stretch>
          <a:fillRect/>
        </a:stretch>
      </xdr:blipFill>
      <xdr:spPr>
        <a:xfrm>
          <a:off x="609600" y="19583400"/>
          <a:ext cx="5409524" cy="4828571"/>
        </a:xfrm>
        <a:prstGeom prst="rect">
          <a:avLst/>
        </a:prstGeom>
      </xdr:spPr>
    </xdr:pic>
    <xdr:clientData/>
  </xdr:twoCellAnchor>
  <xdr:twoCellAnchor editAs="oneCell">
    <xdr:from>
      <xdr:col>0</xdr:col>
      <xdr:colOff>228600</xdr:colOff>
      <xdr:row>112</xdr:row>
      <xdr:rowOff>28575</xdr:rowOff>
    </xdr:from>
    <xdr:to>
      <xdr:col>6</xdr:col>
      <xdr:colOff>141993</xdr:colOff>
      <xdr:row>126</xdr:row>
      <xdr:rowOff>19050</xdr:rowOff>
    </xdr:to>
    <xdr:pic>
      <xdr:nvPicPr>
        <xdr:cNvPr id="6" name="Picture 5">
          <a:extLst>
            <a:ext uri="{FF2B5EF4-FFF2-40B4-BE49-F238E27FC236}">
              <a16:creationId xmlns:a16="http://schemas.microsoft.com/office/drawing/2014/main" id="{00000000-0008-0000-0700-000006000000}"/>
            </a:ext>
          </a:extLst>
        </xdr:cNvPr>
        <xdr:cNvPicPr>
          <a:picLocks noChangeAspect="1"/>
        </xdr:cNvPicPr>
      </xdr:nvPicPr>
      <xdr:blipFill>
        <a:blip xmlns:r="http://schemas.openxmlformats.org/officeDocument/2006/relationships" r:embed="rId4"/>
        <a:stretch>
          <a:fillRect/>
        </a:stretch>
      </xdr:blipFill>
      <xdr:spPr>
        <a:xfrm>
          <a:off x="228600" y="28022550"/>
          <a:ext cx="6018918" cy="2657475"/>
        </a:xfrm>
        <a:prstGeom prst="rect">
          <a:avLst/>
        </a:prstGeom>
      </xdr:spPr>
    </xdr:pic>
    <xdr:clientData/>
  </xdr:twoCellAnchor>
  <xdr:twoCellAnchor editAs="oneCell">
    <xdr:from>
      <xdr:col>0</xdr:col>
      <xdr:colOff>257175</xdr:colOff>
      <xdr:row>14</xdr:row>
      <xdr:rowOff>76200</xdr:rowOff>
    </xdr:from>
    <xdr:to>
      <xdr:col>6</xdr:col>
      <xdr:colOff>66675</xdr:colOff>
      <xdr:row>24</xdr:row>
      <xdr:rowOff>133105</xdr:rowOff>
    </xdr:to>
    <xdr:pic>
      <xdr:nvPicPr>
        <xdr:cNvPr id="7" name="Picture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5"/>
        <a:stretch>
          <a:fillRect/>
        </a:stretch>
      </xdr:blipFill>
      <xdr:spPr>
        <a:xfrm>
          <a:off x="257175" y="3867150"/>
          <a:ext cx="5915025" cy="196190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emp1_6" connectionId="7" xr16:uid="{00000000-0016-0000-0200-000003000000}" autoFormatId="16" applyNumberFormats="0" applyBorderFormats="0" applyFontFormats="0" applyPatternFormats="0"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temp1_8" connectionId="2" xr16:uid="{00000000-0016-0000-0200-000005000000}" autoFormatId="16" applyNumberFormats="0" applyBorderFormats="0" applyFontFormats="0" applyPatternFormats="0"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temp1_11" connectionId="1" xr16:uid="{00000000-0016-0000-0200-000007000000}" autoFormatId="16" applyNumberFormats="0" applyBorderFormats="0" applyFontFormats="0" applyPatternFormats="0"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temp1_2" connectionId="4" xr16:uid="{00000000-0016-0000-0200-000001000000}" autoFormatId="16" applyNumberFormats="0" applyBorderFormats="0" applyFontFormats="0" applyPatternFormats="0"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emp1_12" connectionId="3" xr16:uid="{00000000-0016-0000-0200-000002000000}" autoFormatId="16" applyNumberFormats="0" applyBorderFormats="0" applyFontFormats="0" applyPatternFormats="0"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temp1_9" connectionId="6" xr16:uid="{00000000-0016-0000-0200-000004000000}" autoFormatId="16" applyNumberFormats="0" applyBorderFormats="0" applyFontFormats="0" applyPatternFormats="0"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temp1_7" connectionId="8" xr16:uid="{00000000-0016-0000-0200-000006000000}" autoFormatId="16" applyNumberFormats="0" applyBorderFormats="0" applyFontFormats="0" applyPatternFormats="0"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temp1_10" connectionId="5" xr16:uid="{00000000-0016-0000-0200-000000000000}"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3.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V3"/>
  <sheetViews>
    <sheetView zoomScaleNormal="100" workbookViewId="0">
      <selection activeCell="D3" sqref="D3"/>
    </sheetView>
  </sheetViews>
  <sheetFormatPr defaultColWidth="29.1796875" defaultRowHeight="14.5" x14ac:dyDescent="0.35"/>
  <cols>
    <col min="1" max="1" width="17.26953125" style="24" bestFit="1" customWidth="1"/>
    <col min="2" max="2" width="17.7265625" style="24" bestFit="1" customWidth="1"/>
    <col min="3" max="3" width="24.1796875" style="24" customWidth="1"/>
    <col min="4" max="4" width="26.7265625" style="24" customWidth="1"/>
    <col min="5" max="6" width="23.26953125" style="24" bestFit="1" customWidth="1"/>
    <col min="7" max="7" width="20.81640625" style="24" customWidth="1"/>
    <col min="8" max="8" width="20.81640625" style="24" bestFit="1" customWidth="1"/>
    <col min="9" max="9" width="27.1796875" style="24" customWidth="1"/>
    <col min="10" max="10" width="24.453125" style="24" customWidth="1"/>
    <col min="11" max="11" width="23.54296875" style="24" bestFit="1" customWidth="1"/>
    <col min="12" max="12" width="24.1796875" style="24" bestFit="1" customWidth="1"/>
    <col min="13" max="13" width="17.453125" style="24" bestFit="1" customWidth="1"/>
    <col min="14" max="14" width="26.81640625" style="24" customWidth="1"/>
    <col min="15" max="15" width="24.26953125" style="24" bestFit="1" customWidth="1"/>
    <col min="16" max="16" width="14.453125" style="24" bestFit="1" customWidth="1"/>
    <col min="17" max="16384" width="29.1796875" style="25"/>
  </cols>
  <sheetData>
    <row r="1" spans="1:22" x14ac:dyDescent="0.35">
      <c r="A1" s="28" t="s">
        <v>539</v>
      </c>
      <c r="B1" s="28" t="s">
        <v>281</v>
      </c>
      <c r="C1" s="28" t="s">
        <v>140</v>
      </c>
      <c r="D1" s="28" t="s">
        <v>141</v>
      </c>
      <c r="E1" s="28" t="s">
        <v>6</v>
      </c>
      <c r="F1" s="28" t="s">
        <v>4</v>
      </c>
      <c r="G1" s="28" t="s">
        <v>5</v>
      </c>
      <c r="H1" s="28" t="s">
        <v>134</v>
      </c>
      <c r="I1" s="28" t="s">
        <v>286</v>
      </c>
      <c r="J1" s="28" t="s">
        <v>208</v>
      </c>
      <c r="K1" s="28" t="s">
        <v>283</v>
      </c>
      <c r="L1" s="28" t="s">
        <v>366</v>
      </c>
      <c r="M1" s="28" t="s">
        <v>9</v>
      </c>
      <c r="N1" s="28" t="s">
        <v>8</v>
      </c>
      <c r="O1" s="28" t="s">
        <v>209</v>
      </c>
      <c r="P1" s="28" t="s">
        <v>7</v>
      </c>
      <c r="Q1" s="27" t="s">
        <v>142</v>
      </c>
      <c r="R1" s="27" t="s">
        <v>382</v>
      </c>
      <c r="S1" s="27" t="s">
        <v>383</v>
      </c>
      <c r="T1" s="27" t="s">
        <v>143</v>
      </c>
      <c r="U1" s="27" t="s">
        <v>144</v>
      </c>
      <c r="V1" s="25" t="s">
        <v>145</v>
      </c>
    </row>
    <row r="2" spans="1:22" x14ac:dyDescent="0.35">
      <c r="A2" s="28" t="s">
        <v>545</v>
      </c>
      <c r="B2" s="53"/>
      <c r="C2" s="53"/>
      <c r="D2" s="53"/>
      <c r="E2" s="53"/>
      <c r="F2" s="53"/>
      <c r="G2" s="53"/>
      <c r="H2" s="53"/>
      <c r="I2" s="53"/>
      <c r="J2" s="53"/>
      <c r="K2" s="53"/>
      <c r="L2" s="53"/>
      <c r="M2" s="53"/>
      <c r="N2" s="53"/>
      <c r="O2" s="28"/>
      <c r="P2" s="53"/>
      <c r="Q2" s="42"/>
      <c r="R2" s="42"/>
      <c r="S2" s="42"/>
      <c r="T2" s="42"/>
      <c r="U2" s="42"/>
      <c r="V2" s="42"/>
    </row>
    <row r="3" spans="1:22" x14ac:dyDescent="0.35">
      <c r="A3" s="28" t="s">
        <v>546</v>
      </c>
      <c r="B3" s="53"/>
      <c r="C3" s="53"/>
      <c r="D3" s="53"/>
      <c r="E3" s="53"/>
      <c r="F3" s="53"/>
      <c r="G3" s="53"/>
      <c r="H3" s="53"/>
      <c r="I3" s="53"/>
      <c r="J3" s="53"/>
      <c r="K3" s="53"/>
      <c r="L3" s="53"/>
      <c r="M3" s="53"/>
      <c r="N3" s="53"/>
      <c r="O3" s="28"/>
      <c r="P3" s="53"/>
      <c r="Q3" s="42"/>
      <c r="R3" s="42"/>
      <c r="S3" s="42"/>
      <c r="T3" s="42"/>
      <c r="U3" s="42"/>
      <c r="V3" s="42"/>
    </row>
  </sheetData>
  <pageMargins left="0.7" right="0.7" top="0.75" bottom="0.75" header="0.3" footer="0.3"/>
  <pageSetup orientation="portrait" r:id="rId1"/>
  <drawing r:id="rId2"/>
  <legacyDrawing r:id="rId3"/>
  <controls>
    <mc:AlternateContent xmlns:mc="http://schemas.openxmlformats.org/markup-compatibility/2006">
      <mc:Choice Requires="x14">
        <control shapeId="1033" r:id="rId4" name="TempCombo">
          <controlPr defaultSize="0" autoLine="0" r:id="rId5">
            <anchor moveWithCells="1">
              <from>
                <xdr:col>0</xdr:col>
                <xdr:colOff>0</xdr:colOff>
                <xdr:row>1</xdr:row>
                <xdr:rowOff>0</xdr:rowOff>
              </from>
              <to>
                <xdr:col>1</xdr:col>
                <xdr:colOff>0</xdr:colOff>
                <xdr:row>2</xdr:row>
                <xdr:rowOff>76200</xdr:rowOff>
              </to>
            </anchor>
          </controlPr>
        </control>
      </mc:Choice>
      <mc:Fallback>
        <control shapeId="1033" r:id="rId4" name="TempCombo"/>
      </mc:Fallback>
    </mc:AlternateContent>
  </controls>
  <extLst>
    <ext xmlns:x14="http://schemas.microsoft.com/office/spreadsheetml/2009/9/main" uri="{CCE6A557-97BC-4b89-ADB6-D9C93CAAB3DF}">
      <x14:dataValidations xmlns:xm="http://schemas.microsoft.com/office/excel/2006/main" count="13">
        <x14:dataValidation type="list" errorStyle="information" allowBlank="1" showInputMessage="1" showErrorMessage="1" xr:uid="{00000000-0002-0000-0000-000000000000}">
          <x14:formula1>
            <xm:f>Dictionary!$Y$3:$Y$8</xm:f>
          </x14:formula1>
          <xm:sqref>AT2:AT1048576 N2:N1048576</xm:sqref>
        </x14:dataValidation>
        <x14:dataValidation type="list" errorStyle="information" allowBlank="1" showInputMessage="1" showErrorMessage="1" xr:uid="{00000000-0002-0000-0000-000002000000}">
          <x14:formula1>
            <xm:f>Dictionary!$Q$3:$Q$6</xm:f>
          </x14:formula1>
          <xm:sqref>AI2:AI1048576 E2:E1048576</xm:sqref>
        </x14:dataValidation>
        <x14:dataValidation type="list" errorStyle="information" allowBlank="1" showInputMessage="1" showErrorMessage="1" xr:uid="{00000000-0002-0000-0000-000003000000}">
          <x14:formula1>
            <xm:f>Dictionary!$AC$3:$AC$4</xm:f>
          </x14:formula1>
          <xm:sqref>AS2:AS1048576</xm:sqref>
        </x14:dataValidation>
        <x14:dataValidation type="list" errorStyle="information" allowBlank="1" showInputMessage="1" showErrorMessage="1" xr:uid="{00000000-0002-0000-0000-000004000000}">
          <x14:formula1>
            <xm:f>Dictionary!$AK$3:$AK$6</xm:f>
          </x14:formula1>
          <xm:sqref>AV2:AV1048576</xm:sqref>
        </x14:dataValidation>
        <x14:dataValidation type="list" errorStyle="information" allowBlank="1" showInputMessage="1" showErrorMessage="1" xr:uid="{00000000-0002-0000-0000-000005000000}">
          <x14:formula1>
            <xm:f>Dictionary!$AS$3:$AS$10</xm:f>
          </x14:formula1>
          <xm:sqref>AW2:AW1048576</xm:sqref>
        </x14:dataValidation>
        <x14:dataValidation type="list" errorStyle="information" allowBlank="1" showInputMessage="1" showErrorMessage="1" xr:uid="{00000000-0002-0000-0000-000008000000}">
          <x14:formula1>
            <xm:f>Dictionary!$M$3:$M$27</xm:f>
          </x14:formula1>
          <xm:sqref>AL2:AL1048576</xm:sqref>
        </x14:dataValidation>
        <x14:dataValidation type="list" errorStyle="information" allowBlank="1" showInputMessage="1" showErrorMessage="1" xr:uid="{00000000-0002-0000-0000-000009000000}">
          <x14:formula1>
            <xm:f>Dictionary!$A$3:$A$54</xm:f>
          </x14:formula1>
          <xm:sqref>AK2:AK1048576</xm:sqref>
        </x14:dataValidation>
        <x14:dataValidation type="list" errorStyle="information" allowBlank="1" showInputMessage="1" showErrorMessage="1" xr:uid="{EDB0D635-D684-486B-8FF1-611CBAF20688}">
          <x14:formula1>
            <xm:f>Dictionary!$M$3:$M$31</xm:f>
          </x14:formula1>
          <xm:sqref>J2:J1048576</xm:sqref>
        </x14:dataValidation>
        <x14:dataValidation type="list" errorStyle="information" allowBlank="1" showInputMessage="1" showErrorMessage="1" xr:uid="{F86664E5-C5C2-42E0-8D05-1E6F13A19ADF}">
          <x14:formula1>
            <xm:f>Dictionary!$I$3:$I$95</xm:f>
          </x14:formula1>
          <xm:sqref>H2:H1048576</xm:sqref>
        </x14:dataValidation>
        <x14:dataValidation type="list" errorStyle="information" allowBlank="1" showInputMessage="1" showErrorMessage="1" xr:uid="{9C9A1CFB-CC2A-46A2-B5A9-FA58DBAB7636}">
          <x14:formula1>
            <xm:f>Dictionary!$BE$3:$BE$57</xm:f>
          </x14:formula1>
          <xm:sqref>I2:I1048576</xm:sqref>
        </x14:dataValidation>
        <x14:dataValidation type="list" errorStyle="information" allowBlank="1" showInputMessage="1" showErrorMessage="1" xr:uid="{87B500F4-2A9D-42DD-8BCE-267C7151486D}">
          <x14:formula1>
            <xm:f>Dictionary!$AS$3:$AS$11</xm:f>
          </x14:formula1>
          <xm:sqref>Q2:Q1048576</xm:sqref>
        </x14:dataValidation>
        <x14:dataValidation type="list" errorStyle="information" allowBlank="1" showInputMessage="1" showErrorMessage="1" xr:uid="{D19DAEB5-37B9-45C2-9A57-4CACAE6DDE81}">
          <x14:formula1>
            <xm:f>Dictionary!$A$3:$A$47</xm:f>
          </x14:formula1>
          <xm:sqref>P2:P1048576</xm:sqref>
        </x14:dataValidation>
        <x14:dataValidation type="list" errorStyle="information" allowBlank="1" showInputMessage="1" showErrorMessage="1" xr:uid="{9ADC79A3-F8BD-4D93-B26C-311DF9E4636A}">
          <x14:formula1>
            <xm:f>Dictionary!$AK$3:$AK$7</xm:f>
          </x14:formula1>
          <xm:sqref>M2:M1048576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V3"/>
  <sheetViews>
    <sheetView workbookViewId="0"/>
  </sheetViews>
  <sheetFormatPr defaultColWidth="24.81640625" defaultRowHeight="14.5" x14ac:dyDescent="0.35"/>
  <cols>
    <col min="1" max="16" width="24.81640625" style="24"/>
    <col min="17" max="16384" width="24.81640625" style="25"/>
  </cols>
  <sheetData>
    <row r="1" spans="1:22" x14ac:dyDescent="0.35">
      <c r="A1" s="24" t="s">
        <v>539</v>
      </c>
      <c r="B1" s="24" t="s">
        <v>281</v>
      </c>
      <c r="C1" s="24" t="s">
        <v>140</v>
      </c>
      <c r="D1" s="24" t="s">
        <v>141</v>
      </c>
      <c r="E1" s="24" t="s">
        <v>6</v>
      </c>
      <c r="F1" s="24" t="s">
        <v>4</v>
      </c>
      <c r="G1" s="24" t="s">
        <v>5</v>
      </c>
      <c r="H1" s="24" t="s">
        <v>134</v>
      </c>
      <c r="I1" s="24" t="s">
        <v>286</v>
      </c>
      <c r="J1" s="24" t="s">
        <v>208</v>
      </c>
      <c r="K1" s="24" t="s">
        <v>283</v>
      </c>
      <c r="L1" s="24" t="s">
        <v>366</v>
      </c>
      <c r="M1" s="24" t="s">
        <v>9</v>
      </c>
      <c r="N1" s="24" t="s">
        <v>8</v>
      </c>
      <c r="O1" s="24" t="s">
        <v>209</v>
      </c>
      <c r="P1" s="24" t="s">
        <v>7</v>
      </c>
      <c r="Q1" s="25" t="s">
        <v>142</v>
      </c>
      <c r="R1" s="25" t="s">
        <v>382</v>
      </c>
      <c r="S1" s="25" t="s">
        <v>383</v>
      </c>
      <c r="T1" s="25" t="s">
        <v>143</v>
      </c>
      <c r="U1" s="25" t="s">
        <v>144</v>
      </c>
      <c r="V1" s="25" t="s">
        <v>145</v>
      </c>
    </row>
    <row r="2" spans="1:22" x14ac:dyDescent="0.35">
      <c r="A2" s="28" t="s">
        <v>545</v>
      </c>
      <c r="B2" s="53" t="s">
        <v>545</v>
      </c>
      <c r="C2" s="53" t="s">
        <v>545</v>
      </c>
      <c r="D2" s="53" t="s">
        <v>545</v>
      </c>
      <c r="E2" s="53" t="s">
        <v>69</v>
      </c>
      <c r="F2" s="53" t="s">
        <v>541</v>
      </c>
      <c r="G2" s="53" t="s">
        <v>542</v>
      </c>
      <c r="H2" s="53" t="s">
        <v>291</v>
      </c>
      <c r="I2" s="53" t="s">
        <v>354</v>
      </c>
      <c r="J2" s="53" t="s">
        <v>45</v>
      </c>
      <c r="K2" s="53" t="s">
        <v>93</v>
      </c>
      <c r="L2" s="53" t="s">
        <v>93</v>
      </c>
      <c r="M2" s="53" t="s">
        <v>543</v>
      </c>
      <c r="N2" s="53" t="s">
        <v>152</v>
      </c>
      <c r="O2" s="28" t="s">
        <v>237</v>
      </c>
      <c r="P2" s="53" t="s">
        <v>544</v>
      </c>
      <c r="Q2" s="42"/>
      <c r="R2" s="42"/>
      <c r="S2" s="42"/>
      <c r="T2" s="42"/>
      <c r="U2" s="42"/>
      <c r="V2" s="42"/>
    </row>
    <row r="3" spans="1:22" x14ac:dyDescent="0.35">
      <c r="A3" s="28" t="s">
        <v>546</v>
      </c>
      <c r="B3" s="53" t="s">
        <v>546</v>
      </c>
      <c r="C3" s="53" t="s">
        <v>546</v>
      </c>
      <c r="D3" s="53" t="s">
        <v>546</v>
      </c>
      <c r="E3" s="53" t="s">
        <v>69</v>
      </c>
      <c r="F3" s="53" t="s">
        <v>541</v>
      </c>
      <c r="G3" s="53" t="s">
        <v>542</v>
      </c>
      <c r="H3" s="53" t="s">
        <v>291</v>
      </c>
      <c r="I3" s="53" t="s">
        <v>354</v>
      </c>
      <c r="J3" s="53" t="s">
        <v>45</v>
      </c>
      <c r="K3" s="53" t="s">
        <v>93</v>
      </c>
      <c r="L3" s="53" t="s">
        <v>93</v>
      </c>
      <c r="M3" s="53" t="s">
        <v>543</v>
      </c>
      <c r="N3" s="53" t="s">
        <v>152</v>
      </c>
      <c r="O3" s="28" t="s">
        <v>237</v>
      </c>
      <c r="P3" s="53" t="s">
        <v>544</v>
      </c>
      <c r="Q3" s="42"/>
      <c r="R3" s="42"/>
      <c r="S3" s="42"/>
      <c r="T3" s="42"/>
      <c r="U3" s="42"/>
      <c r="V3" s="42"/>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G95"/>
  <sheetViews>
    <sheetView topLeftCell="AA1" workbookViewId="0">
      <selection activeCell="AK8" sqref="AK8"/>
    </sheetView>
  </sheetViews>
  <sheetFormatPr defaultColWidth="13.81640625" defaultRowHeight="14.5" x14ac:dyDescent="0.35"/>
  <cols>
    <col min="1" max="1" width="16.54296875" style="5" customWidth="1"/>
    <col min="2" max="2" width="7.54296875" style="29" customWidth="1"/>
    <col min="3" max="3" width="12.7265625" style="5" bestFit="1" customWidth="1"/>
    <col min="4" max="4" width="16.7265625" style="5" customWidth="1"/>
    <col min="5" max="5" width="16.1796875" style="5" bestFit="1" customWidth="1"/>
    <col min="6" max="6" width="8.453125" style="29" customWidth="1"/>
    <col min="7" max="7" width="16.1796875" style="5" bestFit="1" customWidth="1"/>
    <col min="8" max="8" width="13.81640625" style="5"/>
    <col min="9" max="9" width="22.81640625" style="5" bestFit="1" customWidth="1"/>
    <col min="10" max="10" width="13.81640625" style="5"/>
    <col min="11" max="11" width="22.81640625" style="5" bestFit="1" customWidth="1"/>
    <col min="12" max="12" width="17.1796875" style="5" customWidth="1"/>
    <col min="13" max="13" width="21" style="5" bestFit="1" customWidth="1"/>
    <col min="14" max="14" width="13.81640625" style="5"/>
    <col min="15" max="15" width="21" style="5" bestFit="1" customWidth="1"/>
    <col min="16" max="20" width="13.81640625" style="5"/>
    <col min="21" max="21" width="22.54296875" style="5" bestFit="1" customWidth="1"/>
    <col min="22" max="22" width="13.81640625" style="5"/>
    <col min="23" max="23" width="22.54296875" style="5" bestFit="1" customWidth="1"/>
    <col min="24" max="35" width="13.81640625" style="5"/>
    <col min="41" max="41" width="17.453125" customWidth="1"/>
    <col min="47" max="47" width="21.1796875" bestFit="1" customWidth="1"/>
    <col min="49" max="55" width="13.81640625" style="5"/>
  </cols>
  <sheetData>
    <row r="1" spans="1:59" ht="49.5" customHeight="1" x14ac:dyDescent="0.35">
      <c r="A1" s="44" t="s">
        <v>7</v>
      </c>
      <c r="B1" s="44"/>
      <c r="C1" s="44"/>
      <c r="D1" s="29"/>
      <c r="E1" s="43" t="s">
        <v>4</v>
      </c>
      <c r="F1" s="43"/>
      <c r="G1" s="43"/>
      <c r="I1" s="43" t="s">
        <v>134</v>
      </c>
      <c r="J1" s="43"/>
      <c r="K1" s="43"/>
      <c r="L1" s="29"/>
      <c r="M1" s="43" t="s">
        <v>68</v>
      </c>
      <c r="N1" s="43"/>
      <c r="O1" s="43"/>
      <c r="Q1" s="43" t="s">
        <v>6</v>
      </c>
      <c r="R1" s="43"/>
      <c r="S1" s="43"/>
      <c r="U1" s="43" t="s">
        <v>5</v>
      </c>
      <c r="V1" s="43"/>
      <c r="W1" s="43"/>
      <c r="X1" s="29"/>
      <c r="Y1" s="43" t="s">
        <v>8</v>
      </c>
      <c r="Z1" s="43"/>
      <c r="AA1" s="43"/>
      <c r="AB1" s="29"/>
      <c r="AC1" s="43" t="s">
        <v>210</v>
      </c>
      <c r="AD1" s="43"/>
      <c r="AE1" s="43"/>
      <c r="AG1" s="43" t="s">
        <v>94</v>
      </c>
      <c r="AH1" s="43"/>
      <c r="AI1" s="43"/>
      <c r="AJ1" s="26"/>
      <c r="AK1" s="43" t="s">
        <v>9</v>
      </c>
      <c r="AL1" s="43"/>
      <c r="AM1" s="43"/>
      <c r="AN1" s="26"/>
      <c r="AO1" s="43" t="s">
        <v>135</v>
      </c>
      <c r="AP1" s="43"/>
      <c r="AQ1" s="43"/>
      <c r="AR1" s="26"/>
      <c r="AS1" s="43" t="s">
        <v>142</v>
      </c>
      <c r="AT1" s="43"/>
      <c r="AU1" s="43"/>
      <c r="AV1" s="26"/>
      <c r="AW1" s="43" t="s">
        <v>141</v>
      </c>
      <c r="AX1" s="43"/>
      <c r="AY1" s="43"/>
      <c r="BA1" s="43" t="s">
        <v>209</v>
      </c>
      <c r="BB1" s="43"/>
      <c r="BC1" s="43"/>
      <c r="BE1" s="43" t="s">
        <v>286</v>
      </c>
      <c r="BF1" s="43"/>
      <c r="BG1" s="43"/>
    </row>
    <row r="2" spans="1:59" ht="29" x14ac:dyDescent="0.35">
      <c r="A2" s="31" t="s">
        <v>14</v>
      </c>
      <c r="B2" s="30" t="s">
        <v>16</v>
      </c>
      <c r="C2" s="31" t="s">
        <v>15</v>
      </c>
      <c r="D2" s="32"/>
      <c r="E2" s="39" t="s">
        <v>14</v>
      </c>
      <c r="F2" s="30" t="s">
        <v>16</v>
      </c>
      <c r="G2" s="39" t="s">
        <v>15</v>
      </c>
      <c r="I2" s="31" t="s">
        <v>14</v>
      </c>
      <c r="J2" s="31" t="s">
        <v>16</v>
      </c>
      <c r="K2" s="31" t="s">
        <v>15</v>
      </c>
      <c r="L2" s="29"/>
      <c r="M2" s="31" t="s">
        <v>14</v>
      </c>
      <c r="N2" s="31" t="s">
        <v>16</v>
      </c>
      <c r="O2" s="31" t="s">
        <v>15</v>
      </c>
      <c r="Q2" s="39" t="s">
        <v>14</v>
      </c>
      <c r="R2" s="39" t="s">
        <v>16</v>
      </c>
      <c r="S2" s="39" t="s">
        <v>15</v>
      </c>
      <c r="U2" s="31" t="s">
        <v>14</v>
      </c>
      <c r="V2" s="31" t="s">
        <v>16</v>
      </c>
      <c r="W2" s="31" t="s">
        <v>15</v>
      </c>
      <c r="X2" s="29"/>
      <c r="Y2" s="31" t="s">
        <v>14</v>
      </c>
      <c r="Z2" s="31" t="s">
        <v>16</v>
      </c>
      <c r="AA2" s="31" t="s">
        <v>15</v>
      </c>
      <c r="AB2" s="29"/>
      <c r="AC2" s="31" t="s">
        <v>14</v>
      </c>
      <c r="AD2" s="31" t="s">
        <v>16</v>
      </c>
      <c r="AE2" s="31" t="s">
        <v>15</v>
      </c>
      <c r="AG2" s="31" t="s">
        <v>14</v>
      </c>
      <c r="AH2" s="31" t="s">
        <v>16</v>
      </c>
      <c r="AI2" s="31" t="s">
        <v>15</v>
      </c>
      <c r="AJ2" s="26"/>
      <c r="AK2" s="31" t="s">
        <v>14</v>
      </c>
      <c r="AL2" s="31" t="s">
        <v>16</v>
      </c>
      <c r="AM2" s="31" t="s">
        <v>15</v>
      </c>
      <c r="AN2" s="26"/>
      <c r="AO2" s="31" t="s">
        <v>14</v>
      </c>
      <c r="AP2" s="31" t="s">
        <v>16</v>
      </c>
      <c r="AQ2" s="31" t="s">
        <v>15</v>
      </c>
      <c r="AR2" s="26"/>
      <c r="AS2" s="31" t="s">
        <v>14</v>
      </c>
      <c r="AT2" s="31" t="s">
        <v>16</v>
      </c>
      <c r="AU2" s="31" t="s">
        <v>15</v>
      </c>
      <c r="AV2" s="26"/>
      <c r="AW2" s="36" t="s">
        <v>14</v>
      </c>
      <c r="AX2" s="36" t="s">
        <v>16</v>
      </c>
      <c r="AY2" s="36" t="s">
        <v>15</v>
      </c>
      <c r="BA2" s="36" t="s">
        <v>14</v>
      </c>
      <c r="BB2" s="36" t="s">
        <v>16</v>
      </c>
      <c r="BC2" s="36" t="s">
        <v>15</v>
      </c>
      <c r="BE2" s="41" t="s">
        <v>14</v>
      </c>
      <c r="BF2" s="41" t="s">
        <v>16</v>
      </c>
      <c r="BG2" s="41" t="s">
        <v>15</v>
      </c>
    </row>
    <row r="3" spans="1:59" x14ac:dyDescent="0.35">
      <c r="A3" t="s">
        <v>21</v>
      </c>
      <c r="B3"/>
      <c r="C3" t="s">
        <v>21</v>
      </c>
      <c r="D3" s="29"/>
      <c r="E3" t="s">
        <v>0</v>
      </c>
      <c r="F3" t="s">
        <v>236</v>
      </c>
      <c r="G3" t="s">
        <v>0</v>
      </c>
      <c r="H3" s="29"/>
      <c r="I3" t="s">
        <v>289</v>
      </c>
      <c r="J3"/>
      <c r="K3" t="s">
        <v>289</v>
      </c>
      <c r="L3" s="29"/>
      <c r="M3" t="s">
        <v>167</v>
      </c>
      <c r="N3"/>
      <c r="O3" t="s">
        <v>216</v>
      </c>
      <c r="P3" s="29"/>
      <c r="Q3" t="s">
        <v>69</v>
      </c>
      <c r="R3" t="s">
        <v>236</v>
      </c>
      <c r="S3" t="s">
        <v>69</v>
      </c>
      <c r="T3" s="29"/>
      <c r="U3" t="s">
        <v>168</v>
      </c>
      <c r="V3"/>
      <c r="W3" t="s">
        <v>217</v>
      </c>
      <c r="X3" s="29"/>
      <c r="Y3" t="s">
        <v>85</v>
      </c>
      <c r="Z3"/>
      <c r="AA3" t="s">
        <v>85</v>
      </c>
      <c r="AB3" s="29"/>
      <c r="AC3" t="s">
        <v>90</v>
      </c>
      <c r="AD3"/>
      <c r="AE3" t="s">
        <v>90</v>
      </c>
      <c r="AF3" s="29"/>
      <c r="AG3" t="s">
        <v>99</v>
      </c>
      <c r="AH3"/>
      <c r="AI3" t="s">
        <v>99</v>
      </c>
      <c r="AJ3" s="29"/>
      <c r="AK3" t="s">
        <v>368</v>
      </c>
      <c r="AM3" t="s">
        <v>368</v>
      </c>
      <c r="AN3" s="29"/>
      <c r="AO3" t="s">
        <v>136</v>
      </c>
      <c r="AP3" t="s">
        <v>236</v>
      </c>
      <c r="AQ3" t="s">
        <v>136</v>
      </c>
      <c r="AR3" s="29"/>
      <c r="AS3" t="s">
        <v>147</v>
      </c>
      <c r="AT3" t="s">
        <v>236</v>
      </c>
      <c r="AU3" t="s">
        <v>147</v>
      </c>
      <c r="AV3" s="29"/>
      <c r="AW3" s="37" t="s">
        <v>484</v>
      </c>
      <c r="AY3" s="37" t="s">
        <v>484</v>
      </c>
      <c r="BA3" s="37" t="s">
        <v>537</v>
      </c>
      <c r="BC3" s="37" t="s">
        <v>537</v>
      </c>
      <c r="BE3" t="s">
        <v>350</v>
      </c>
      <c r="BG3" t="s">
        <v>350</v>
      </c>
    </row>
    <row r="4" spans="1:59" x14ac:dyDescent="0.35">
      <c r="A4" t="s">
        <v>32</v>
      </c>
      <c r="B4"/>
      <c r="C4" t="s">
        <v>21</v>
      </c>
      <c r="D4" s="29"/>
      <c r="E4" t="s">
        <v>2</v>
      </c>
      <c r="F4"/>
      <c r="G4" t="s">
        <v>2</v>
      </c>
      <c r="H4" s="29"/>
      <c r="I4" t="s">
        <v>211</v>
      </c>
      <c r="J4"/>
      <c r="K4" t="s">
        <v>211</v>
      </c>
      <c r="L4" s="29"/>
      <c r="M4" t="s">
        <v>47</v>
      </c>
      <c r="N4"/>
      <c r="O4" t="s">
        <v>47</v>
      </c>
      <c r="P4" s="29"/>
      <c r="Q4" t="s">
        <v>70</v>
      </c>
      <c r="R4"/>
      <c r="S4" t="s">
        <v>70</v>
      </c>
      <c r="T4" s="29"/>
      <c r="U4" t="s">
        <v>72</v>
      </c>
      <c r="V4"/>
      <c r="W4" t="s">
        <v>72</v>
      </c>
      <c r="X4" s="29"/>
      <c r="Y4" t="s">
        <v>152</v>
      </c>
      <c r="Z4"/>
      <c r="AA4" t="s">
        <v>152</v>
      </c>
      <c r="AB4" s="29"/>
      <c r="AC4" t="s">
        <v>89</v>
      </c>
      <c r="AD4" t="s">
        <v>236</v>
      </c>
      <c r="AE4" t="s">
        <v>89</v>
      </c>
      <c r="AF4" s="29"/>
      <c r="AG4" t="s">
        <v>100</v>
      </c>
      <c r="AH4" t="s">
        <v>236</v>
      </c>
      <c r="AI4" t="s">
        <v>100</v>
      </c>
      <c r="AJ4" s="29"/>
      <c r="AK4" t="s">
        <v>369</v>
      </c>
      <c r="AM4" t="s">
        <v>369</v>
      </c>
      <c r="AN4" s="29"/>
      <c r="AO4" t="s">
        <v>137</v>
      </c>
      <c r="AQ4" t="s">
        <v>137</v>
      </c>
      <c r="AR4" s="29"/>
      <c r="AS4" t="s">
        <v>148</v>
      </c>
      <c r="AU4" t="s">
        <v>148</v>
      </c>
      <c r="AV4" s="29"/>
      <c r="AW4" s="37" t="s">
        <v>481</v>
      </c>
      <c r="AY4" s="37" t="s">
        <v>481</v>
      </c>
      <c r="BE4" t="s">
        <v>351</v>
      </c>
      <c r="BG4" t="s">
        <v>351</v>
      </c>
    </row>
    <row r="5" spans="1:59" x14ac:dyDescent="0.35">
      <c r="A5" t="s">
        <v>23</v>
      </c>
      <c r="B5" t="s">
        <v>236</v>
      </c>
      <c r="C5" t="s">
        <v>23</v>
      </c>
      <c r="D5" s="29"/>
      <c r="E5" t="s">
        <v>1</v>
      </c>
      <c r="F5"/>
      <c r="G5" t="s">
        <v>1</v>
      </c>
      <c r="H5" s="29"/>
      <c r="I5" t="s">
        <v>174</v>
      </c>
      <c r="J5"/>
      <c r="K5" t="s">
        <v>174</v>
      </c>
      <c r="L5" s="29"/>
      <c r="M5" t="s">
        <v>48</v>
      </c>
      <c r="N5"/>
      <c r="O5" t="s">
        <v>48</v>
      </c>
      <c r="P5" s="29"/>
      <c r="Q5" t="s">
        <v>63</v>
      </c>
      <c r="R5"/>
      <c r="S5" t="s">
        <v>63</v>
      </c>
      <c r="T5" s="29"/>
      <c r="U5" t="s">
        <v>169</v>
      </c>
      <c r="V5"/>
      <c r="W5" t="s">
        <v>218</v>
      </c>
      <c r="X5" s="29"/>
      <c r="Y5" t="s">
        <v>151</v>
      </c>
      <c r="Z5"/>
      <c r="AA5" t="s">
        <v>151</v>
      </c>
      <c r="AB5" s="29"/>
      <c r="AG5" t="s">
        <v>345</v>
      </c>
      <c r="AH5"/>
      <c r="AI5" t="s">
        <v>345</v>
      </c>
      <c r="AJ5" s="26"/>
      <c r="AK5" t="s">
        <v>370</v>
      </c>
      <c r="AM5" t="s">
        <v>370</v>
      </c>
      <c r="AN5" s="29"/>
      <c r="AO5" t="s">
        <v>138</v>
      </c>
      <c r="AQ5" t="s">
        <v>138</v>
      </c>
      <c r="AR5" s="29"/>
      <c r="AS5" t="s">
        <v>149</v>
      </c>
      <c r="AU5" t="s">
        <v>149</v>
      </c>
      <c r="AV5" s="29"/>
      <c r="AW5" s="37" t="s">
        <v>532</v>
      </c>
      <c r="AY5" s="37" t="s">
        <v>532</v>
      </c>
      <c r="BE5" t="s">
        <v>352</v>
      </c>
      <c r="BG5" t="s">
        <v>352</v>
      </c>
    </row>
    <row r="6" spans="1:59" x14ac:dyDescent="0.35">
      <c r="A6" t="s">
        <v>34</v>
      </c>
      <c r="B6"/>
      <c r="C6" t="s">
        <v>23</v>
      </c>
      <c r="D6" s="29"/>
      <c r="E6" t="s">
        <v>3</v>
      </c>
      <c r="F6"/>
      <c r="G6" t="s">
        <v>3</v>
      </c>
      <c r="H6" s="29"/>
      <c r="I6" t="s">
        <v>290</v>
      </c>
      <c r="J6"/>
      <c r="K6" t="s">
        <v>290</v>
      </c>
      <c r="L6" s="29"/>
      <c r="M6" t="s">
        <v>56</v>
      </c>
      <c r="N6"/>
      <c r="O6" t="s">
        <v>47</v>
      </c>
      <c r="P6" s="29"/>
      <c r="Q6" t="s">
        <v>71</v>
      </c>
      <c r="R6"/>
      <c r="S6" t="s">
        <v>71</v>
      </c>
      <c r="T6" s="29"/>
      <c r="U6" t="s">
        <v>73</v>
      </c>
      <c r="V6" t="s">
        <v>236</v>
      </c>
      <c r="W6" t="s">
        <v>73</v>
      </c>
      <c r="X6" s="29"/>
      <c r="Y6" t="s">
        <v>83</v>
      </c>
      <c r="Z6" t="s">
        <v>236</v>
      </c>
      <c r="AA6" t="s">
        <v>83</v>
      </c>
      <c r="AB6" s="29"/>
      <c r="AJ6" s="26"/>
      <c r="AK6" t="s">
        <v>547</v>
      </c>
      <c r="AM6" t="s">
        <v>547</v>
      </c>
      <c r="AN6" s="29"/>
      <c r="AO6" s="26"/>
      <c r="AP6" s="26"/>
      <c r="AQ6" s="26"/>
      <c r="AR6" s="26"/>
      <c r="AS6" t="s">
        <v>346</v>
      </c>
      <c r="AU6" t="s">
        <v>346</v>
      </c>
      <c r="AV6" s="29"/>
      <c r="AW6" s="37" t="s">
        <v>500</v>
      </c>
      <c r="AY6" s="37" t="s">
        <v>500</v>
      </c>
      <c r="BE6" t="s">
        <v>353</v>
      </c>
      <c r="BG6" t="s">
        <v>353</v>
      </c>
    </row>
    <row r="7" spans="1:59" x14ac:dyDescent="0.35">
      <c r="A7" t="s">
        <v>25</v>
      </c>
      <c r="B7"/>
      <c r="C7" t="s">
        <v>25</v>
      </c>
      <c r="D7" s="29"/>
      <c r="F7" s="5"/>
      <c r="I7" t="s">
        <v>291</v>
      </c>
      <c r="J7"/>
      <c r="K7" t="s">
        <v>291</v>
      </c>
      <c r="L7" s="29"/>
      <c r="M7" t="s">
        <v>57</v>
      </c>
      <c r="N7"/>
      <c r="O7" t="s">
        <v>48</v>
      </c>
      <c r="P7" s="29"/>
      <c r="U7" t="s">
        <v>242</v>
      </c>
      <c r="V7"/>
      <c r="W7" t="s">
        <v>243</v>
      </c>
      <c r="X7" s="29"/>
      <c r="Y7" t="s">
        <v>150</v>
      </c>
      <c r="Z7"/>
      <c r="AA7" t="s">
        <v>150</v>
      </c>
      <c r="AB7" s="29"/>
      <c r="AJ7" s="26"/>
      <c r="AK7" s="26" t="s">
        <v>543</v>
      </c>
      <c r="AL7" s="26"/>
      <c r="AM7" s="26" t="s">
        <v>543</v>
      </c>
      <c r="AN7" s="26"/>
      <c r="AO7" s="26"/>
      <c r="AP7" s="26"/>
      <c r="AQ7" s="26"/>
      <c r="AR7" s="26"/>
      <c r="AS7" t="s">
        <v>347</v>
      </c>
      <c r="AU7" t="s">
        <v>347</v>
      </c>
      <c r="AV7" s="29"/>
      <c r="AW7" s="37" t="s">
        <v>459</v>
      </c>
      <c r="AY7" s="37" t="s">
        <v>459</v>
      </c>
      <c r="BE7" t="s">
        <v>354</v>
      </c>
      <c r="BG7" t="s">
        <v>354</v>
      </c>
    </row>
    <row r="8" spans="1:59" x14ac:dyDescent="0.35">
      <c r="A8" t="s">
        <v>36</v>
      </c>
      <c r="B8"/>
      <c r="C8" t="s">
        <v>25</v>
      </c>
      <c r="D8" s="29"/>
      <c r="F8" s="5"/>
      <c r="I8" t="s">
        <v>222</v>
      </c>
      <c r="J8"/>
      <c r="K8" t="s">
        <v>222</v>
      </c>
      <c r="L8" s="29"/>
      <c r="M8" t="s">
        <v>170</v>
      </c>
      <c r="N8"/>
      <c r="O8" t="s">
        <v>171</v>
      </c>
      <c r="P8" s="29"/>
      <c r="U8" t="s">
        <v>243</v>
      </c>
      <c r="V8"/>
      <c r="W8" t="s">
        <v>243</v>
      </c>
      <c r="X8" s="29"/>
      <c r="Y8" t="s">
        <v>84</v>
      </c>
      <c r="Z8"/>
      <c r="AA8" t="s">
        <v>84</v>
      </c>
      <c r="AB8" s="29"/>
      <c r="AJ8" s="26"/>
      <c r="AK8" s="26"/>
      <c r="AL8" s="26"/>
      <c r="AM8" s="26"/>
      <c r="AN8" s="26"/>
      <c r="AO8" s="26"/>
      <c r="AP8" s="26"/>
      <c r="AQ8" s="26"/>
      <c r="AR8" s="26"/>
      <c r="AS8" t="s">
        <v>348</v>
      </c>
      <c r="AU8" t="s">
        <v>348</v>
      </c>
      <c r="AV8" s="29"/>
      <c r="AW8" s="37" t="s">
        <v>482</v>
      </c>
      <c r="AY8" s="37" t="s">
        <v>482</v>
      </c>
      <c r="BE8" t="s">
        <v>355</v>
      </c>
      <c r="BG8" t="s">
        <v>355</v>
      </c>
    </row>
    <row r="9" spans="1:59" x14ac:dyDescent="0.35">
      <c r="A9" t="s">
        <v>177</v>
      </c>
      <c r="B9"/>
      <c r="C9" t="s">
        <v>221</v>
      </c>
      <c r="D9" s="29"/>
      <c r="F9" s="5"/>
      <c r="I9" t="s">
        <v>185</v>
      </c>
      <c r="J9"/>
      <c r="K9" t="s">
        <v>185</v>
      </c>
      <c r="L9" s="29"/>
      <c r="M9" t="s">
        <v>172</v>
      </c>
      <c r="N9"/>
      <c r="O9" t="s">
        <v>219</v>
      </c>
      <c r="P9" s="29"/>
      <c r="U9" t="s">
        <v>154</v>
      </c>
      <c r="V9"/>
      <c r="W9" t="s">
        <v>155</v>
      </c>
      <c r="X9" s="29"/>
      <c r="AB9" s="29"/>
      <c r="AJ9" s="26"/>
      <c r="AK9" s="26"/>
      <c r="AL9" s="26"/>
      <c r="AM9" s="26"/>
      <c r="AN9" s="26"/>
      <c r="AO9" s="26"/>
      <c r="AP9" s="26"/>
      <c r="AQ9" s="26"/>
      <c r="AR9" s="26"/>
      <c r="AS9" t="s">
        <v>146</v>
      </c>
      <c r="AU9" t="s">
        <v>146</v>
      </c>
      <c r="AV9" s="29"/>
      <c r="AW9" s="37" t="s">
        <v>528</v>
      </c>
      <c r="AY9" s="37" t="s">
        <v>528</v>
      </c>
      <c r="BE9" t="s">
        <v>356</v>
      </c>
      <c r="BG9" t="s">
        <v>356</v>
      </c>
    </row>
    <row r="10" spans="1:59" x14ac:dyDescent="0.35">
      <c r="A10" t="s">
        <v>31</v>
      </c>
      <c r="B10"/>
      <c r="C10" t="s">
        <v>20</v>
      </c>
      <c r="D10" s="29"/>
      <c r="F10" s="5"/>
      <c r="I10" t="s">
        <v>189</v>
      </c>
      <c r="J10"/>
      <c r="K10" t="s">
        <v>189</v>
      </c>
      <c r="L10" s="29"/>
      <c r="M10" t="s">
        <v>51</v>
      </c>
      <c r="N10"/>
      <c r="O10" t="s">
        <v>51</v>
      </c>
      <c r="P10" s="29"/>
      <c r="U10" t="s">
        <v>82</v>
      </c>
      <c r="V10"/>
      <c r="W10" t="s">
        <v>82</v>
      </c>
      <c r="X10" s="29"/>
      <c r="AB10" s="29"/>
      <c r="AJ10" s="26"/>
      <c r="AK10" s="26"/>
      <c r="AL10" s="26"/>
      <c r="AM10" s="26"/>
      <c r="AN10" s="26"/>
      <c r="AO10" s="26"/>
      <c r="AP10" s="26"/>
      <c r="AQ10" s="26"/>
      <c r="AR10" s="26"/>
      <c r="AS10" t="s">
        <v>153</v>
      </c>
      <c r="AU10" t="s">
        <v>153</v>
      </c>
      <c r="AV10" s="29"/>
      <c r="AW10" s="37" t="s">
        <v>504</v>
      </c>
      <c r="AY10" s="37" t="s">
        <v>504</v>
      </c>
      <c r="BE10" t="s">
        <v>357</v>
      </c>
      <c r="BG10" t="s">
        <v>350</v>
      </c>
    </row>
    <row r="11" spans="1:59" x14ac:dyDescent="0.35">
      <c r="A11" t="s">
        <v>29</v>
      </c>
      <c r="B11"/>
      <c r="C11" t="s">
        <v>29</v>
      </c>
      <c r="D11" s="29"/>
      <c r="F11" s="5"/>
      <c r="I11" t="s">
        <v>192</v>
      </c>
      <c r="J11"/>
      <c r="K11" t="s">
        <v>192</v>
      </c>
      <c r="L11" s="29"/>
      <c r="M11" t="s">
        <v>60</v>
      </c>
      <c r="N11"/>
      <c r="O11" t="s">
        <v>51</v>
      </c>
      <c r="P11" s="29"/>
      <c r="U11" t="s">
        <v>63</v>
      </c>
      <c r="V11"/>
      <c r="W11" t="s">
        <v>63</v>
      </c>
      <c r="X11" s="29"/>
      <c r="AB11" s="29"/>
      <c r="AJ11" s="26"/>
      <c r="AK11" s="26"/>
      <c r="AL11" s="26"/>
      <c r="AM11" s="26"/>
      <c r="AN11" s="26"/>
      <c r="AO11" s="26"/>
      <c r="AP11" s="26"/>
      <c r="AQ11" s="26"/>
      <c r="AR11" s="26"/>
      <c r="AS11" t="s">
        <v>349</v>
      </c>
      <c r="AU11" t="s">
        <v>349</v>
      </c>
      <c r="AV11" s="26"/>
      <c r="AW11" s="37" t="s">
        <v>534</v>
      </c>
      <c r="AY11" s="37" t="s">
        <v>534</v>
      </c>
      <c r="BE11" t="s">
        <v>358</v>
      </c>
      <c r="BG11" t="s">
        <v>351</v>
      </c>
    </row>
    <row r="12" spans="1:59" x14ac:dyDescent="0.35">
      <c r="A12" t="s">
        <v>182</v>
      </c>
      <c r="B12"/>
      <c r="C12" t="s">
        <v>29</v>
      </c>
      <c r="D12" s="29"/>
      <c r="F12" s="5"/>
      <c r="I12" t="s">
        <v>240</v>
      </c>
      <c r="J12"/>
      <c r="K12" t="s">
        <v>240</v>
      </c>
      <c r="L12" s="29"/>
      <c r="M12" t="s">
        <v>49</v>
      </c>
      <c r="N12"/>
      <c r="O12" t="s">
        <v>49</v>
      </c>
      <c r="P12" s="29"/>
      <c r="U12" t="s">
        <v>75</v>
      </c>
      <c r="V12"/>
      <c r="W12" t="s">
        <v>75</v>
      </c>
      <c r="X12" s="29"/>
      <c r="AB12" s="29"/>
      <c r="AJ12" s="26"/>
      <c r="AK12" s="26"/>
      <c r="AL12" s="26"/>
      <c r="AM12" s="26"/>
      <c r="AN12" s="26"/>
      <c r="AO12" s="26"/>
      <c r="AP12" s="26"/>
      <c r="AQ12" s="26"/>
      <c r="AR12" s="26"/>
      <c r="AS12" s="26"/>
      <c r="AT12" s="26"/>
      <c r="AU12" s="26"/>
      <c r="AV12" s="26"/>
      <c r="AW12" s="37" t="s">
        <v>478</v>
      </c>
      <c r="AY12" s="37" t="s">
        <v>478</v>
      </c>
      <c r="BE12" t="s">
        <v>359</v>
      </c>
      <c r="BG12" t="s">
        <v>352</v>
      </c>
    </row>
    <row r="13" spans="1:59" x14ac:dyDescent="0.35">
      <c r="A13" t="s">
        <v>40</v>
      </c>
      <c r="B13"/>
      <c r="C13" t="s">
        <v>29</v>
      </c>
      <c r="D13" s="29"/>
      <c r="F13" s="5"/>
      <c r="I13" t="s">
        <v>194</v>
      </c>
      <c r="J13"/>
      <c r="K13" t="s">
        <v>194</v>
      </c>
      <c r="L13" s="29"/>
      <c r="M13" t="s">
        <v>50</v>
      </c>
      <c r="N13"/>
      <c r="O13" t="s">
        <v>50</v>
      </c>
      <c r="P13" s="29"/>
      <c r="U13" t="s">
        <v>96</v>
      </c>
      <c r="V13"/>
      <c r="W13" t="s">
        <v>96</v>
      </c>
      <c r="X13" s="29"/>
      <c r="AB13" s="29"/>
      <c r="AJ13" s="26"/>
      <c r="AK13" s="26"/>
      <c r="AL13" s="26"/>
      <c r="AM13" s="26"/>
      <c r="AN13" s="26"/>
      <c r="AO13" s="26"/>
      <c r="AP13" s="26"/>
      <c r="AQ13" s="26"/>
      <c r="AR13" s="26"/>
      <c r="AS13" s="26"/>
      <c r="AT13" s="26"/>
      <c r="AU13" s="26"/>
      <c r="AV13" s="26"/>
      <c r="AW13" s="37" t="s">
        <v>476</v>
      </c>
      <c r="AY13" s="37" t="s">
        <v>476</v>
      </c>
      <c r="BE13" t="s">
        <v>360</v>
      </c>
      <c r="BG13" t="s">
        <v>353</v>
      </c>
    </row>
    <row r="14" spans="1:59" x14ac:dyDescent="0.35">
      <c r="A14" t="s">
        <v>26</v>
      </c>
      <c r="B14"/>
      <c r="C14" t="s">
        <v>26</v>
      </c>
      <c r="D14" s="29"/>
      <c r="F14" s="5"/>
      <c r="I14" t="s">
        <v>229</v>
      </c>
      <c r="J14"/>
      <c r="K14" t="s">
        <v>229</v>
      </c>
      <c r="L14" s="29"/>
      <c r="M14" t="s">
        <v>58</v>
      </c>
      <c r="N14"/>
      <c r="O14" t="s">
        <v>49</v>
      </c>
      <c r="P14" s="29"/>
      <c r="U14" t="s">
        <v>76</v>
      </c>
      <c r="V14"/>
      <c r="W14" t="s">
        <v>96</v>
      </c>
      <c r="X14" s="29"/>
      <c r="AB14" s="29"/>
      <c r="AJ14" s="26"/>
      <c r="AK14" s="26"/>
      <c r="AL14" s="26"/>
      <c r="AM14" s="26"/>
      <c r="AN14" s="26"/>
      <c r="AO14" s="26"/>
      <c r="AP14" s="26"/>
      <c r="AQ14" s="26"/>
      <c r="AR14" s="26"/>
      <c r="AS14" s="26"/>
      <c r="AT14" s="26"/>
      <c r="AU14" s="26"/>
      <c r="AV14" s="26"/>
      <c r="AW14" s="37" t="s">
        <v>527</v>
      </c>
      <c r="AY14" s="37" t="s">
        <v>527</v>
      </c>
      <c r="BE14" t="s">
        <v>361</v>
      </c>
      <c r="BG14" t="s">
        <v>354</v>
      </c>
    </row>
    <row r="15" spans="1:59" x14ac:dyDescent="0.35">
      <c r="A15" t="s">
        <v>37</v>
      </c>
      <c r="B15"/>
      <c r="C15" t="s">
        <v>26</v>
      </c>
      <c r="D15" s="29"/>
      <c r="F15" s="5"/>
      <c r="I15" t="s">
        <v>198</v>
      </c>
      <c r="J15"/>
      <c r="K15" t="s">
        <v>198</v>
      </c>
      <c r="L15" s="29"/>
      <c r="M15" t="s">
        <v>59</v>
      </c>
      <c r="N15"/>
      <c r="O15" t="s">
        <v>50</v>
      </c>
      <c r="P15" s="29"/>
      <c r="U15" t="s">
        <v>97</v>
      </c>
      <c r="V15"/>
      <c r="W15" t="s">
        <v>97</v>
      </c>
      <c r="X15" s="29"/>
      <c r="AB15" s="29"/>
      <c r="AJ15" s="26"/>
      <c r="AK15" s="26"/>
      <c r="AL15" s="26"/>
      <c r="AM15" s="26"/>
      <c r="AN15" s="26"/>
      <c r="AO15" s="26"/>
      <c r="AP15" s="26"/>
      <c r="AQ15" s="26"/>
      <c r="AR15" s="26"/>
      <c r="AS15" s="26"/>
      <c r="AT15" s="26"/>
      <c r="AU15" s="26"/>
      <c r="AV15" s="26"/>
      <c r="AW15" s="37" t="s">
        <v>509</v>
      </c>
      <c r="AY15" s="37" t="s">
        <v>509</v>
      </c>
      <c r="BE15" t="s">
        <v>362</v>
      </c>
      <c r="BG15" t="s">
        <v>355</v>
      </c>
    </row>
    <row r="16" spans="1:59" x14ac:dyDescent="0.35">
      <c r="A16" t="s">
        <v>183</v>
      </c>
      <c r="B16"/>
      <c r="C16" t="s">
        <v>223</v>
      </c>
      <c r="D16" s="29"/>
      <c r="F16" s="5"/>
      <c r="I16" t="s">
        <v>292</v>
      </c>
      <c r="J16"/>
      <c r="K16" t="s">
        <v>292</v>
      </c>
      <c r="L16" s="29"/>
      <c r="M16" t="s">
        <v>212</v>
      </c>
      <c r="N16"/>
      <c r="O16" t="s">
        <v>213</v>
      </c>
      <c r="P16" s="29"/>
      <c r="U16" t="s">
        <v>80</v>
      </c>
      <c r="V16"/>
      <c r="W16" t="s">
        <v>97</v>
      </c>
      <c r="X16" s="29"/>
      <c r="AB16" s="29"/>
      <c r="AJ16" s="26"/>
      <c r="AK16" s="26"/>
      <c r="AL16" s="26"/>
      <c r="AM16" s="26"/>
      <c r="AN16" s="26"/>
      <c r="AO16" s="26"/>
      <c r="AP16" s="26"/>
      <c r="AQ16" s="26"/>
      <c r="AR16" s="26"/>
      <c r="AS16" s="26"/>
      <c r="AT16" s="26"/>
      <c r="AU16" s="26"/>
      <c r="AV16" s="26"/>
      <c r="AW16" s="37" t="s">
        <v>497</v>
      </c>
      <c r="AY16" s="37" t="s">
        <v>497</v>
      </c>
      <c r="BE16" t="s">
        <v>363</v>
      </c>
      <c r="BG16" t="s">
        <v>356</v>
      </c>
    </row>
    <row r="17" spans="1:59" x14ac:dyDescent="0.35">
      <c r="A17" t="s">
        <v>24</v>
      </c>
      <c r="B17"/>
      <c r="C17" t="s">
        <v>24</v>
      </c>
      <c r="D17" s="29"/>
      <c r="F17" s="5"/>
      <c r="I17" t="s">
        <v>293</v>
      </c>
      <c r="J17"/>
      <c r="K17" t="s">
        <v>293</v>
      </c>
      <c r="L17" s="29"/>
      <c r="M17" t="s">
        <v>214</v>
      </c>
      <c r="N17"/>
      <c r="O17" t="s">
        <v>215</v>
      </c>
      <c r="P17" s="29"/>
      <c r="U17" t="s">
        <v>98</v>
      </c>
      <c r="V17"/>
      <c r="W17" t="s">
        <v>98</v>
      </c>
      <c r="X17" s="29"/>
      <c r="AB17" s="29"/>
      <c r="AJ17" s="26"/>
      <c r="AK17" s="26"/>
      <c r="AL17" s="26"/>
      <c r="AM17" s="26"/>
      <c r="AN17" s="26"/>
      <c r="AO17" s="26"/>
      <c r="AP17" s="26"/>
      <c r="AQ17" s="26"/>
      <c r="AR17" s="26"/>
      <c r="AS17" s="26"/>
      <c r="AT17" s="26"/>
      <c r="AU17" s="26"/>
      <c r="AV17" s="26"/>
      <c r="AW17" s="37" t="s">
        <v>472</v>
      </c>
      <c r="AY17" s="37" t="s">
        <v>472</v>
      </c>
      <c r="BE17" t="s">
        <v>305</v>
      </c>
      <c r="BG17" t="s">
        <v>355</v>
      </c>
    </row>
    <row r="18" spans="1:59" x14ac:dyDescent="0.35">
      <c r="A18" t="s">
        <v>35</v>
      </c>
      <c r="B18"/>
      <c r="C18" t="s">
        <v>24</v>
      </c>
      <c r="D18" s="29"/>
      <c r="F18" s="5"/>
      <c r="I18" t="s">
        <v>231</v>
      </c>
      <c r="J18"/>
      <c r="K18" t="s">
        <v>231</v>
      </c>
      <c r="L18" s="29"/>
      <c r="M18" t="s">
        <v>176</v>
      </c>
      <c r="N18"/>
      <c r="O18" t="s">
        <v>220</v>
      </c>
      <c r="P18" s="29"/>
      <c r="U18" t="s">
        <v>77</v>
      </c>
      <c r="V18"/>
      <c r="W18" t="s">
        <v>98</v>
      </c>
      <c r="X18" s="29"/>
      <c r="AB18" s="29"/>
      <c r="AJ18" s="26"/>
      <c r="AK18" s="26"/>
      <c r="AL18" s="26"/>
      <c r="AM18" s="26"/>
      <c r="AN18" s="26"/>
      <c r="AO18" s="26"/>
      <c r="AP18" s="26"/>
      <c r="AQ18" s="26"/>
      <c r="AR18" s="26"/>
      <c r="AS18" s="26"/>
      <c r="AT18" s="26"/>
      <c r="AU18" s="26"/>
      <c r="AV18" s="26"/>
      <c r="AW18" s="37" t="s">
        <v>483</v>
      </c>
      <c r="AY18" s="37" t="s">
        <v>483</v>
      </c>
      <c r="BE18" t="s">
        <v>306</v>
      </c>
      <c r="BG18" t="s">
        <v>355</v>
      </c>
    </row>
    <row r="19" spans="1:59" x14ac:dyDescent="0.35">
      <c r="A19" t="s">
        <v>27</v>
      </c>
      <c r="B19"/>
      <c r="C19" t="s">
        <v>27</v>
      </c>
      <c r="D19" s="29"/>
      <c r="F19" s="5"/>
      <c r="I19" t="s">
        <v>232</v>
      </c>
      <c r="J19"/>
      <c r="K19" t="s">
        <v>232</v>
      </c>
      <c r="L19" s="29"/>
      <c r="M19" t="s">
        <v>213</v>
      </c>
      <c r="N19"/>
      <c r="O19" t="s">
        <v>213</v>
      </c>
      <c r="P19" s="29"/>
      <c r="U19" t="s">
        <v>74</v>
      </c>
      <c r="V19"/>
      <c r="W19" t="s">
        <v>74</v>
      </c>
      <c r="X19" s="29"/>
      <c r="AB19" s="29"/>
      <c r="AJ19" s="26"/>
      <c r="AK19" s="26"/>
      <c r="AL19" s="26"/>
      <c r="AM19" s="26"/>
      <c r="AN19" s="26"/>
      <c r="AO19" s="26"/>
      <c r="AP19" s="26"/>
      <c r="AQ19" s="26"/>
      <c r="AR19" s="26"/>
      <c r="AS19" s="26"/>
      <c r="AT19" s="26"/>
      <c r="AU19" s="26"/>
      <c r="AV19" s="26"/>
      <c r="AW19" s="37" t="s">
        <v>512</v>
      </c>
      <c r="AY19" s="37" t="s">
        <v>512</v>
      </c>
      <c r="BE19" t="s">
        <v>307</v>
      </c>
      <c r="BG19" t="s">
        <v>355</v>
      </c>
    </row>
    <row r="20" spans="1:59" x14ac:dyDescent="0.35">
      <c r="A20" t="s">
        <v>38</v>
      </c>
      <c r="B20"/>
      <c r="C20" t="s">
        <v>27</v>
      </c>
      <c r="D20" s="29"/>
      <c r="F20" s="5"/>
      <c r="I20" t="s">
        <v>201</v>
      </c>
      <c r="J20"/>
      <c r="K20" t="s">
        <v>201</v>
      </c>
      <c r="L20" s="29"/>
      <c r="M20" t="s">
        <v>215</v>
      </c>
      <c r="N20"/>
      <c r="O20" t="s">
        <v>215</v>
      </c>
      <c r="P20" s="29"/>
      <c r="U20" t="s">
        <v>78</v>
      </c>
      <c r="V20"/>
      <c r="W20" t="s">
        <v>78</v>
      </c>
      <c r="X20" s="29"/>
      <c r="AB20" s="29"/>
      <c r="AJ20" s="26"/>
      <c r="AK20" s="26"/>
      <c r="AL20" s="26"/>
      <c r="AM20" s="26"/>
      <c r="AN20" s="26"/>
      <c r="AO20" s="26"/>
      <c r="AP20" s="26"/>
      <c r="AQ20" s="26"/>
      <c r="AR20" s="26"/>
      <c r="AS20" s="26"/>
      <c r="AT20" s="26"/>
      <c r="AU20" s="26"/>
      <c r="AV20" s="26"/>
      <c r="AW20" s="37" t="s">
        <v>498</v>
      </c>
      <c r="AY20" s="37" t="s">
        <v>498</v>
      </c>
      <c r="BE20" t="s">
        <v>308</v>
      </c>
      <c r="BG20" t="s">
        <v>355</v>
      </c>
    </row>
    <row r="21" spans="1:59" x14ac:dyDescent="0.35">
      <c r="A21" t="s">
        <v>187</v>
      </c>
      <c r="B21"/>
      <c r="C21" t="s">
        <v>225</v>
      </c>
      <c r="D21" s="29"/>
      <c r="F21" s="5"/>
      <c r="I21" t="s">
        <v>233</v>
      </c>
      <c r="J21"/>
      <c r="K21" t="s">
        <v>233</v>
      </c>
      <c r="L21" s="29"/>
      <c r="M21" t="s">
        <v>44</v>
      </c>
      <c r="N21"/>
      <c r="O21" t="s">
        <v>44</v>
      </c>
      <c r="P21" s="29"/>
      <c r="U21" t="s">
        <v>79</v>
      </c>
      <c r="V21"/>
      <c r="W21" t="s">
        <v>79</v>
      </c>
      <c r="X21" s="29"/>
      <c r="AB21" s="29"/>
      <c r="AJ21" s="26"/>
      <c r="AK21" s="26"/>
      <c r="AL21" s="26"/>
      <c r="AM21" s="26"/>
      <c r="AN21" s="26"/>
      <c r="AO21" s="26"/>
      <c r="AP21" s="26"/>
      <c r="AQ21" s="26"/>
      <c r="AR21" s="26"/>
      <c r="AS21" s="26"/>
      <c r="AT21" s="26"/>
      <c r="AU21" s="26"/>
      <c r="AV21" s="26"/>
      <c r="AW21" s="37" t="s">
        <v>463</v>
      </c>
      <c r="AY21" s="37" t="s">
        <v>463</v>
      </c>
      <c r="BE21" t="s">
        <v>309</v>
      </c>
      <c r="BG21" t="s">
        <v>355</v>
      </c>
    </row>
    <row r="22" spans="1:59" x14ac:dyDescent="0.35">
      <c r="A22" t="s">
        <v>188</v>
      </c>
      <c r="B22"/>
      <c r="C22" t="s">
        <v>226</v>
      </c>
      <c r="D22" s="29"/>
      <c r="F22" s="5"/>
      <c r="I22" t="s">
        <v>202</v>
      </c>
      <c r="J22"/>
      <c r="K22" t="s">
        <v>202</v>
      </c>
      <c r="L22" s="29"/>
      <c r="M22" t="s">
        <v>63</v>
      </c>
      <c r="N22"/>
      <c r="O22" t="s">
        <v>44</v>
      </c>
      <c r="P22" s="29"/>
      <c r="U22" t="s">
        <v>180</v>
      </c>
      <c r="V22"/>
      <c r="W22" t="s">
        <v>181</v>
      </c>
      <c r="X22" s="29"/>
      <c r="AB22" s="29"/>
      <c r="AJ22" s="26"/>
      <c r="AK22" s="26"/>
      <c r="AL22" s="26"/>
      <c r="AM22" s="26"/>
      <c r="AN22" s="26"/>
      <c r="AO22" s="26"/>
      <c r="AP22" s="26"/>
      <c r="AQ22" s="26"/>
      <c r="AR22" s="26"/>
      <c r="AS22" s="26"/>
      <c r="AT22" s="26"/>
      <c r="AU22" s="26"/>
      <c r="AV22" s="26"/>
      <c r="AW22" s="37" t="s">
        <v>480</v>
      </c>
      <c r="AY22" s="37" t="s">
        <v>480</v>
      </c>
      <c r="BE22" t="s">
        <v>310</v>
      </c>
      <c r="BG22" t="s">
        <v>355</v>
      </c>
    </row>
    <row r="23" spans="1:59" x14ac:dyDescent="0.35">
      <c r="A23" t="s">
        <v>28</v>
      </c>
      <c r="B23"/>
      <c r="C23" t="s">
        <v>28</v>
      </c>
      <c r="D23" s="29"/>
      <c r="F23" s="5"/>
      <c r="I23" t="s">
        <v>203</v>
      </c>
      <c r="J23"/>
      <c r="K23" t="s">
        <v>203</v>
      </c>
      <c r="L23" s="29"/>
      <c r="M23" t="s">
        <v>46</v>
      </c>
      <c r="N23"/>
      <c r="O23" t="s">
        <v>46</v>
      </c>
      <c r="P23" s="29"/>
      <c r="U23" t="s">
        <v>178</v>
      </c>
      <c r="V23"/>
      <c r="W23" t="s">
        <v>179</v>
      </c>
      <c r="X23" s="29"/>
      <c r="AB23" s="29"/>
      <c r="AJ23" s="26"/>
      <c r="AK23" s="26"/>
      <c r="AL23" s="26"/>
      <c r="AM23" s="26"/>
      <c r="AN23" s="26"/>
      <c r="AO23" s="26"/>
      <c r="AP23" s="26"/>
      <c r="AQ23" s="26"/>
      <c r="AR23" s="26"/>
      <c r="AS23" s="26"/>
      <c r="AT23" s="26"/>
      <c r="AU23" s="26"/>
      <c r="AV23" s="26"/>
      <c r="AW23" s="37" t="s">
        <v>493</v>
      </c>
      <c r="AY23" s="37" t="s">
        <v>493</v>
      </c>
      <c r="BE23" t="s">
        <v>311</v>
      </c>
      <c r="BG23" t="s">
        <v>355</v>
      </c>
    </row>
    <row r="24" spans="1:59" x14ac:dyDescent="0.35">
      <c r="A24" t="s">
        <v>39</v>
      </c>
      <c r="B24"/>
      <c r="C24" t="s">
        <v>28</v>
      </c>
      <c r="D24" s="29"/>
      <c r="F24" s="5"/>
      <c r="I24" t="s">
        <v>234</v>
      </c>
      <c r="J24"/>
      <c r="K24" t="s">
        <v>234</v>
      </c>
      <c r="L24" s="29"/>
      <c r="M24" t="s">
        <v>55</v>
      </c>
      <c r="N24"/>
      <c r="O24" t="s">
        <v>46</v>
      </c>
      <c r="P24" s="29"/>
      <c r="U24" t="s">
        <v>81</v>
      </c>
      <c r="V24"/>
      <c r="W24" t="s">
        <v>81</v>
      </c>
      <c r="X24" s="29"/>
      <c r="AB24" s="29"/>
      <c r="AJ24" s="26"/>
      <c r="AK24" s="26"/>
      <c r="AL24" s="26"/>
      <c r="AM24" s="26"/>
      <c r="AN24" s="26"/>
      <c r="AO24" s="26"/>
      <c r="AP24" s="26"/>
      <c r="AQ24" s="26"/>
      <c r="AR24" s="26"/>
      <c r="AS24" s="26"/>
      <c r="AT24" s="26"/>
      <c r="AU24" s="26"/>
      <c r="AV24" s="26"/>
      <c r="AW24" s="37" t="s">
        <v>460</v>
      </c>
      <c r="AY24" s="37" t="s">
        <v>460</v>
      </c>
      <c r="BE24" t="s">
        <v>312</v>
      </c>
      <c r="BG24" t="s">
        <v>355</v>
      </c>
    </row>
    <row r="25" spans="1:59" x14ac:dyDescent="0.35">
      <c r="A25" t="s">
        <v>22</v>
      </c>
      <c r="B25"/>
      <c r="C25" t="s">
        <v>22</v>
      </c>
      <c r="D25" s="29"/>
      <c r="F25" s="5"/>
      <c r="I25" t="s">
        <v>205</v>
      </c>
      <c r="J25"/>
      <c r="K25" t="s">
        <v>205</v>
      </c>
      <c r="L25" s="29"/>
      <c r="M25" t="s">
        <v>62</v>
      </c>
      <c r="N25"/>
      <c r="O25" t="s">
        <v>53</v>
      </c>
      <c r="P25" s="29"/>
      <c r="X25" s="29"/>
      <c r="AB25" s="29"/>
      <c r="AJ25" s="26"/>
      <c r="AK25" s="26"/>
      <c r="AL25" s="26"/>
      <c r="AM25" s="26"/>
      <c r="AN25" s="26"/>
      <c r="AO25" s="26"/>
      <c r="AP25" s="26"/>
      <c r="AQ25" s="26"/>
      <c r="AR25" s="26"/>
      <c r="AS25" s="26"/>
      <c r="AT25" s="26"/>
      <c r="AU25" s="26"/>
      <c r="AV25" s="26"/>
      <c r="AW25" s="37" t="s">
        <v>494</v>
      </c>
      <c r="AY25" s="37" t="s">
        <v>494</v>
      </c>
      <c r="BE25" t="s">
        <v>313</v>
      </c>
      <c r="BG25" t="s">
        <v>355</v>
      </c>
    </row>
    <row r="26" spans="1:59" x14ac:dyDescent="0.35">
      <c r="A26" t="s">
        <v>33</v>
      </c>
      <c r="B26"/>
      <c r="C26" t="s">
        <v>22</v>
      </c>
      <c r="D26" s="29"/>
      <c r="F26" s="5"/>
      <c r="I26" t="s">
        <v>294</v>
      </c>
      <c r="J26"/>
      <c r="K26" t="s">
        <v>294</v>
      </c>
      <c r="L26" s="29"/>
      <c r="M26" t="s">
        <v>61</v>
      </c>
      <c r="N26"/>
      <c r="O26" t="s">
        <v>52</v>
      </c>
      <c r="P26" s="29"/>
      <c r="X26" s="29"/>
      <c r="AB26" s="29"/>
      <c r="AJ26" s="26"/>
      <c r="AK26" s="26"/>
      <c r="AL26" s="26"/>
      <c r="AM26" s="26"/>
      <c r="AN26" s="26"/>
      <c r="AO26" s="26"/>
      <c r="AP26" s="26"/>
      <c r="AQ26" s="26"/>
      <c r="AR26" s="26"/>
      <c r="AS26" s="26"/>
      <c r="AT26" s="26"/>
      <c r="AU26" s="26"/>
      <c r="AV26" s="26"/>
      <c r="AW26" s="37" t="s">
        <v>464</v>
      </c>
      <c r="AY26" s="37" t="s">
        <v>464</v>
      </c>
      <c r="BE26" t="s">
        <v>314</v>
      </c>
      <c r="BG26" t="s">
        <v>355</v>
      </c>
    </row>
    <row r="27" spans="1:59" x14ac:dyDescent="0.35">
      <c r="A27" t="s">
        <v>193</v>
      </c>
      <c r="B27"/>
      <c r="C27" t="s">
        <v>227</v>
      </c>
      <c r="D27" s="29"/>
      <c r="F27" s="5"/>
      <c r="I27" t="s">
        <v>235</v>
      </c>
      <c r="J27"/>
      <c r="K27" t="s">
        <v>235</v>
      </c>
      <c r="L27" s="29"/>
      <c r="M27" t="s">
        <v>53</v>
      </c>
      <c r="N27"/>
      <c r="O27" t="s">
        <v>53</v>
      </c>
      <c r="P27" s="29"/>
      <c r="X27" s="29"/>
      <c r="AB27" s="29"/>
      <c r="AJ27" s="26"/>
      <c r="AK27" s="26"/>
      <c r="AL27" s="26"/>
      <c r="AM27" s="26"/>
      <c r="AN27" s="26"/>
      <c r="AO27" s="26"/>
      <c r="AP27" s="26"/>
      <c r="AQ27" s="26"/>
      <c r="AR27" s="26"/>
      <c r="AS27" s="26"/>
      <c r="AT27" s="26"/>
      <c r="AU27" s="26"/>
      <c r="AV27" s="26"/>
      <c r="AW27" s="37" t="s">
        <v>506</v>
      </c>
      <c r="AY27" s="37" t="s">
        <v>506</v>
      </c>
      <c r="BE27" t="s">
        <v>315</v>
      </c>
      <c r="BG27" t="s">
        <v>355</v>
      </c>
    </row>
    <row r="28" spans="1:59" x14ac:dyDescent="0.35">
      <c r="A28" t="s">
        <v>238</v>
      </c>
      <c r="B28"/>
      <c r="C28" t="s">
        <v>238</v>
      </c>
      <c r="D28" s="29"/>
      <c r="F28" s="5"/>
      <c r="I28" t="s">
        <v>295</v>
      </c>
      <c r="J28"/>
      <c r="K28" t="s">
        <v>295</v>
      </c>
      <c r="L28" s="29"/>
      <c r="M28" t="s">
        <v>52</v>
      </c>
      <c r="N28"/>
      <c r="O28" t="s">
        <v>52</v>
      </c>
      <c r="P28" s="29"/>
      <c r="X28" s="29"/>
      <c r="AB28" s="29"/>
      <c r="AJ28" s="26"/>
      <c r="AK28" s="26"/>
      <c r="AL28" s="26"/>
      <c r="AM28" s="26"/>
      <c r="AN28" s="26"/>
      <c r="AO28" s="26"/>
      <c r="AP28" s="26"/>
      <c r="AQ28" s="26"/>
      <c r="AR28" s="26"/>
      <c r="AS28" s="26"/>
      <c r="AT28" s="26"/>
      <c r="AU28" s="26"/>
      <c r="AV28" s="26"/>
      <c r="AW28" s="37" t="s">
        <v>491</v>
      </c>
      <c r="AY28" s="37" t="s">
        <v>491</v>
      </c>
      <c r="BE28" t="s">
        <v>316</v>
      </c>
      <c r="BG28" t="s">
        <v>355</v>
      </c>
    </row>
    <row r="29" spans="1:59" x14ac:dyDescent="0.35">
      <c r="A29" t="s">
        <v>239</v>
      </c>
      <c r="B29"/>
      <c r="C29" t="s">
        <v>238</v>
      </c>
      <c r="D29" s="29"/>
      <c r="F29" s="5"/>
      <c r="I29" t="s">
        <v>296</v>
      </c>
      <c r="J29"/>
      <c r="K29" t="s">
        <v>289</v>
      </c>
      <c r="L29" s="29"/>
      <c r="M29" t="s">
        <v>54</v>
      </c>
      <c r="N29"/>
      <c r="O29" t="s">
        <v>45</v>
      </c>
      <c r="P29" s="29"/>
      <c r="X29" s="29"/>
      <c r="AB29" s="29"/>
      <c r="AJ29" s="26"/>
      <c r="AK29" s="26"/>
      <c r="AL29" s="26"/>
      <c r="AM29" s="26"/>
      <c r="AN29" s="26"/>
      <c r="AO29" s="26"/>
      <c r="AP29" s="26"/>
      <c r="AQ29" s="26"/>
      <c r="AR29" s="26"/>
      <c r="AS29" s="26"/>
      <c r="AT29" s="26"/>
      <c r="AU29" s="26"/>
      <c r="AV29" s="26"/>
      <c r="AW29" s="37" t="s">
        <v>514</v>
      </c>
      <c r="AY29" s="37" t="s">
        <v>514</v>
      </c>
      <c r="BE29" t="s">
        <v>317</v>
      </c>
      <c r="BG29" t="s">
        <v>355</v>
      </c>
    </row>
    <row r="30" spans="1:59" x14ac:dyDescent="0.35">
      <c r="A30" t="s">
        <v>195</v>
      </c>
      <c r="B30"/>
      <c r="C30" t="s">
        <v>228</v>
      </c>
      <c r="D30" s="29"/>
      <c r="F30" s="5"/>
      <c r="I30" t="s">
        <v>173</v>
      </c>
      <c r="J30"/>
      <c r="K30" t="s">
        <v>211</v>
      </c>
      <c r="L30" s="29"/>
      <c r="M30" t="s">
        <v>45</v>
      </c>
      <c r="N30" t="s">
        <v>236</v>
      </c>
      <c r="O30" t="s">
        <v>45</v>
      </c>
      <c r="P30" s="29"/>
      <c r="X30" s="29"/>
      <c r="AB30" s="29"/>
      <c r="AJ30" s="26"/>
      <c r="AK30" s="26"/>
      <c r="AL30" s="26"/>
      <c r="AM30" s="26"/>
      <c r="AN30" s="26"/>
      <c r="AO30" s="26"/>
      <c r="AP30" s="26"/>
      <c r="AQ30" s="26"/>
      <c r="AR30" s="26"/>
      <c r="AS30" s="26"/>
      <c r="AT30" s="26"/>
      <c r="AU30" s="26"/>
      <c r="AV30" s="26"/>
      <c r="AW30" s="37" t="s">
        <v>467</v>
      </c>
      <c r="AY30" s="37" t="s">
        <v>467</v>
      </c>
      <c r="BE30" t="s">
        <v>318</v>
      </c>
      <c r="BG30" t="s">
        <v>355</v>
      </c>
    </row>
    <row r="31" spans="1:59" x14ac:dyDescent="0.35">
      <c r="A31" t="s">
        <v>86</v>
      </c>
      <c r="B31"/>
      <c r="C31" t="s">
        <v>19</v>
      </c>
      <c r="D31" s="29"/>
      <c r="F31" s="5"/>
      <c r="I31" t="s">
        <v>175</v>
      </c>
      <c r="J31"/>
      <c r="K31" t="s">
        <v>174</v>
      </c>
      <c r="L31" s="29"/>
      <c r="M31" t="s">
        <v>184</v>
      </c>
      <c r="N31"/>
      <c r="O31" t="s">
        <v>224</v>
      </c>
      <c r="P31" s="29"/>
      <c r="X31" s="29"/>
      <c r="AB31" s="29"/>
      <c r="AJ31" s="26"/>
      <c r="AK31" s="26"/>
      <c r="AL31" s="26"/>
      <c r="AM31" s="26"/>
      <c r="AN31" s="26"/>
      <c r="AO31" s="26"/>
      <c r="AP31" s="26"/>
      <c r="AQ31" s="26"/>
      <c r="AR31" s="26"/>
      <c r="AS31" s="26"/>
      <c r="AT31" s="26"/>
      <c r="AU31" s="26"/>
      <c r="AV31" s="26"/>
      <c r="AW31" s="37" t="s">
        <v>519</v>
      </c>
      <c r="AY31" s="37" t="s">
        <v>519</v>
      </c>
      <c r="BE31" t="s">
        <v>319</v>
      </c>
      <c r="BG31" t="s">
        <v>355</v>
      </c>
    </row>
    <row r="32" spans="1:59" x14ac:dyDescent="0.35">
      <c r="A32" t="s">
        <v>20</v>
      </c>
      <c r="B32"/>
      <c r="C32" t="s">
        <v>20</v>
      </c>
      <c r="D32" s="29"/>
      <c r="F32" s="5"/>
      <c r="I32" t="s">
        <v>297</v>
      </c>
      <c r="J32"/>
      <c r="K32" t="s">
        <v>290</v>
      </c>
      <c r="L32" s="29"/>
      <c r="X32" s="29"/>
      <c r="AB32" s="29"/>
      <c r="AJ32" s="26"/>
      <c r="AK32" s="26"/>
      <c r="AL32" s="26"/>
      <c r="AM32" s="26"/>
      <c r="AN32" s="26"/>
      <c r="AO32" s="26"/>
      <c r="AP32" s="26"/>
      <c r="AQ32" s="26"/>
      <c r="AR32" s="26"/>
      <c r="AS32" s="26"/>
      <c r="AT32" s="26"/>
      <c r="AU32" s="26"/>
      <c r="AV32" s="26"/>
      <c r="AW32" s="37" t="s">
        <v>530</v>
      </c>
      <c r="AY32" s="37" t="s">
        <v>530</v>
      </c>
      <c r="BE32" t="s">
        <v>320</v>
      </c>
      <c r="BG32" t="s">
        <v>355</v>
      </c>
    </row>
    <row r="33" spans="1:59" x14ac:dyDescent="0.35">
      <c r="A33" t="s">
        <v>158</v>
      </c>
      <c r="B33"/>
      <c r="C33" t="s">
        <v>230</v>
      </c>
      <c r="D33" s="29"/>
      <c r="F33" s="5"/>
      <c r="I33" t="s">
        <v>298</v>
      </c>
      <c r="J33"/>
      <c r="K33" t="s">
        <v>291</v>
      </c>
      <c r="L33" s="29"/>
      <c r="X33" s="29"/>
      <c r="AB33" s="29"/>
      <c r="AJ33" s="26"/>
      <c r="AK33" s="26"/>
      <c r="AL33" s="26"/>
      <c r="AM33" s="26"/>
      <c r="AN33" s="26"/>
      <c r="AO33" s="26"/>
      <c r="AP33" s="26"/>
      <c r="AQ33" s="26"/>
      <c r="AR33" s="26"/>
      <c r="AS33" s="26"/>
      <c r="AT33" s="26"/>
      <c r="AU33" s="26"/>
      <c r="AV33" s="26"/>
      <c r="AW33" s="37" t="s">
        <v>466</v>
      </c>
      <c r="AY33" s="37" t="s">
        <v>466</v>
      </c>
      <c r="BE33" t="s">
        <v>321</v>
      </c>
      <c r="BG33" t="s">
        <v>355</v>
      </c>
    </row>
    <row r="34" spans="1:59" x14ac:dyDescent="0.35">
      <c r="A34" t="s">
        <v>160</v>
      </c>
      <c r="B34"/>
      <c r="C34" t="s">
        <v>21</v>
      </c>
      <c r="D34" s="29"/>
      <c r="F34" s="5"/>
      <c r="I34" t="s">
        <v>67</v>
      </c>
      <c r="J34"/>
      <c r="K34" t="s">
        <v>222</v>
      </c>
      <c r="L34" s="29"/>
      <c r="X34" s="29"/>
      <c r="AB34" s="29"/>
      <c r="AJ34" s="26"/>
      <c r="AK34" s="26"/>
      <c r="AL34" s="26"/>
      <c r="AM34" s="26"/>
      <c r="AN34" s="26"/>
      <c r="AO34" s="26"/>
      <c r="AP34" s="26"/>
      <c r="AQ34" s="26"/>
      <c r="AR34" s="26"/>
      <c r="AS34" s="26"/>
      <c r="AT34" s="26"/>
      <c r="AU34" s="26"/>
      <c r="AV34" s="26"/>
      <c r="AW34" s="37" t="s">
        <v>516</v>
      </c>
      <c r="AY34" s="37" t="s">
        <v>516</v>
      </c>
      <c r="BE34" t="s">
        <v>322</v>
      </c>
      <c r="BG34" t="s">
        <v>355</v>
      </c>
    </row>
    <row r="35" spans="1:59" x14ac:dyDescent="0.35">
      <c r="A35" t="s">
        <v>159</v>
      </c>
      <c r="B35"/>
      <c r="C35" t="s">
        <v>19</v>
      </c>
      <c r="D35" s="29"/>
      <c r="F35" s="5"/>
      <c r="I35" t="s">
        <v>186</v>
      </c>
      <c r="J35"/>
      <c r="K35" t="s">
        <v>185</v>
      </c>
      <c r="L35" s="29"/>
      <c r="X35" s="29"/>
      <c r="AB35" s="29"/>
      <c r="AJ35" s="26"/>
      <c r="AK35" s="26"/>
      <c r="AL35" s="26"/>
      <c r="AM35" s="26"/>
      <c r="AN35" s="26"/>
      <c r="AO35" s="26"/>
      <c r="AP35" s="26"/>
      <c r="AQ35" s="26"/>
      <c r="AR35" s="26"/>
      <c r="AS35" s="26"/>
      <c r="AT35" s="26"/>
      <c r="AU35" s="26"/>
      <c r="AV35" s="26"/>
      <c r="AW35" s="37" t="s">
        <v>492</v>
      </c>
      <c r="AY35" s="37" t="s">
        <v>492</v>
      </c>
      <c r="BE35" t="s">
        <v>323</v>
      </c>
      <c r="BG35" t="s">
        <v>355</v>
      </c>
    </row>
    <row r="36" spans="1:59" x14ac:dyDescent="0.35">
      <c r="A36" t="s">
        <v>95</v>
      </c>
      <c r="B36"/>
      <c r="C36" t="s">
        <v>95</v>
      </c>
      <c r="D36" s="29"/>
      <c r="F36" s="5"/>
      <c r="I36" t="s">
        <v>190</v>
      </c>
      <c r="J36"/>
      <c r="K36" t="s">
        <v>189</v>
      </c>
      <c r="L36" s="29"/>
      <c r="X36" s="29"/>
      <c r="AB36" s="29"/>
      <c r="AJ36" s="26"/>
      <c r="AK36" s="26"/>
      <c r="AL36" s="26"/>
      <c r="AM36" s="26"/>
      <c r="AN36" s="26"/>
      <c r="AO36" s="26"/>
      <c r="AP36" s="26"/>
      <c r="AQ36" s="26"/>
      <c r="AR36" s="26"/>
      <c r="AS36" s="26"/>
      <c r="AT36" s="26"/>
      <c r="AU36" s="26"/>
      <c r="AV36" s="26"/>
      <c r="AW36" s="37" t="s">
        <v>465</v>
      </c>
      <c r="AY36" s="37" t="s">
        <v>465</v>
      </c>
      <c r="BE36" t="s">
        <v>288</v>
      </c>
      <c r="BG36" t="s">
        <v>353</v>
      </c>
    </row>
    <row r="37" spans="1:59" x14ac:dyDescent="0.35">
      <c r="A37" t="s">
        <v>63</v>
      </c>
      <c r="B37"/>
      <c r="C37" t="s">
        <v>95</v>
      </c>
      <c r="D37" s="29"/>
      <c r="F37" s="5"/>
      <c r="I37" t="s">
        <v>191</v>
      </c>
      <c r="J37"/>
      <c r="K37" t="s">
        <v>192</v>
      </c>
      <c r="L37" s="29"/>
      <c r="X37" s="29"/>
      <c r="AB37" s="29"/>
      <c r="AJ37" s="26"/>
      <c r="AK37" s="26"/>
      <c r="AL37" s="26"/>
      <c r="AM37" s="26"/>
      <c r="AN37" s="26"/>
      <c r="AO37" s="26"/>
      <c r="AP37" s="26"/>
      <c r="AQ37" s="26"/>
      <c r="AR37" s="26"/>
      <c r="AS37" s="26"/>
      <c r="AT37" s="26"/>
      <c r="AU37" s="26"/>
      <c r="AV37" s="26"/>
      <c r="AW37" s="37" t="s">
        <v>487</v>
      </c>
      <c r="AY37" s="37" t="s">
        <v>487</v>
      </c>
      <c r="BE37" t="s">
        <v>324</v>
      </c>
      <c r="BG37" t="s">
        <v>352</v>
      </c>
    </row>
    <row r="38" spans="1:59" x14ac:dyDescent="0.35">
      <c r="A38" t="s">
        <v>19</v>
      </c>
      <c r="B38"/>
      <c r="C38" t="s">
        <v>19</v>
      </c>
      <c r="D38" s="29"/>
      <c r="F38" s="5"/>
      <c r="I38" t="s">
        <v>241</v>
      </c>
      <c r="J38"/>
      <c r="K38" t="s">
        <v>240</v>
      </c>
      <c r="L38" s="29"/>
      <c r="X38" s="29"/>
      <c r="AB38" s="29"/>
      <c r="AJ38" s="26"/>
      <c r="AK38" s="26"/>
      <c r="AL38" s="26"/>
      <c r="AM38" s="26"/>
      <c r="AN38" s="26"/>
      <c r="AO38" s="26"/>
      <c r="AP38" s="26"/>
      <c r="AQ38" s="26"/>
      <c r="AR38" s="26"/>
      <c r="AS38" s="26"/>
      <c r="AT38" s="26"/>
      <c r="AU38" s="26"/>
      <c r="AV38" s="26"/>
      <c r="AW38" s="37" t="s">
        <v>485</v>
      </c>
      <c r="AY38" s="37" t="s">
        <v>485</v>
      </c>
      <c r="BE38" t="s">
        <v>325</v>
      </c>
      <c r="BG38" t="s">
        <v>351</v>
      </c>
    </row>
    <row r="39" spans="1:59" x14ac:dyDescent="0.35">
      <c r="A39" t="s">
        <v>30</v>
      </c>
      <c r="B39"/>
      <c r="C39" t="s">
        <v>19</v>
      </c>
      <c r="D39" s="29"/>
      <c r="F39" s="5"/>
      <c r="I39" t="s">
        <v>196</v>
      </c>
      <c r="J39"/>
      <c r="K39" t="s">
        <v>194</v>
      </c>
      <c r="L39" s="29"/>
      <c r="X39" s="29"/>
      <c r="AB39" s="29"/>
      <c r="AJ39" s="26"/>
      <c r="AK39" s="26"/>
      <c r="AL39" s="26"/>
      <c r="AM39" s="26"/>
      <c r="AN39" s="26"/>
      <c r="AO39" s="26"/>
      <c r="AP39" s="26"/>
      <c r="AQ39" s="26"/>
      <c r="AR39" s="26"/>
      <c r="AS39" s="26"/>
      <c r="AT39" s="26"/>
      <c r="AU39" s="26"/>
      <c r="AV39" s="26"/>
      <c r="AW39" s="37" t="s">
        <v>503</v>
      </c>
      <c r="AY39" s="37" t="s">
        <v>503</v>
      </c>
      <c r="BE39" t="s">
        <v>326</v>
      </c>
      <c r="BG39" t="s">
        <v>350</v>
      </c>
    </row>
    <row r="40" spans="1:59" x14ac:dyDescent="0.35">
      <c r="A40" t="s">
        <v>156</v>
      </c>
      <c r="B40"/>
      <c r="C40" t="s">
        <v>21</v>
      </c>
      <c r="D40" s="29"/>
      <c r="F40" s="5"/>
      <c r="I40" t="s">
        <v>197</v>
      </c>
      <c r="J40"/>
      <c r="K40" t="s">
        <v>229</v>
      </c>
      <c r="L40" s="29"/>
      <c r="X40" s="29"/>
      <c r="AB40" s="29"/>
      <c r="AJ40" s="26"/>
      <c r="AK40" s="26"/>
      <c r="AL40" s="26"/>
      <c r="AM40" s="26"/>
      <c r="AN40" s="26"/>
      <c r="AO40" s="26"/>
      <c r="AP40" s="26"/>
      <c r="AQ40" s="26"/>
      <c r="AR40" s="26"/>
      <c r="AS40" s="26"/>
      <c r="AT40" s="26"/>
      <c r="AU40" s="26"/>
      <c r="AV40" s="26"/>
      <c r="AW40" s="37" t="s">
        <v>525</v>
      </c>
      <c r="AY40" s="37" t="s">
        <v>525</v>
      </c>
      <c r="BE40" t="s">
        <v>327</v>
      </c>
      <c r="BG40" t="s">
        <v>350</v>
      </c>
    </row>
    <row r="41" spans="1:59" x14ac:dyDescent="0.35">
      <c r="A41" t="s">
        <v>157</v>
      </c>
      <c r="B41"/>
      <c r="C41" t="s">
        <v>19</v>
      </c>
      <c r="D41" s="29"/>
      <c r="F41" s="5"/>
      <c r="I41" t="s">
        <v>199</v>
      </c>
      <c r="J41"/>
      <c r="K41" t="s">
        <v>198</v>
      </c>
      <c r="L41" s="29"/>
      <c r="X41" s="29"/>
      <c r="AB41" s="29"/>
      <c r="AJ41" s="26"/>
      <c r="AK41" s="26"/>
      <c r="AL41" s="26"/>
      <c r="AM41" s="26"/>
      <c r="AN41" s="26"/>
      <c r="AO41" s="26"/>
      <c r="AP41" s="26"/>
      <c r="AQ41" s="26"/>
      <c r="AR41" s="26"/>
      <c r="AS41" s="26"/>
      <c r="AT41" s="26"/>
      <c r="AU41" s="26"/>
      <c r="AV41" s="26"/>
      <c r="AW41" s="37" t="s">
        <v>486</v>
      </c>
      <c r="AY41" s="37" t="s">
        <v>486</v>
      </c>
      <c r="BE41" t="s">
        <v>328</v>
      </c>
      <c r="BG41" t="s">
        <v>350</v>
      </c>
    </row>
    <row r="42" spans="1:59" x14ac:dyDescent="0.35">
      <c r="A42" t="s">
        <v>87</v>
      </c>
      <c r="B42"/>
      <c r="C42" t="s">
        <v>19</v>
      </c>
      <c r="D42" s="29"/>
      <c r="F42" s="5"/>
      <c r="I42" t="s">
        <v>299</v>
      </c>
      <c r="J42"/>
      <c r="K42" t="s">
        <v>292</v>
      </c>
      <c r="L42" s="29"/>
      <c r="X42" s="29"/>
      <c r="AB42" s="29"/>
      <c r="AJ42" s="26"/>
      <c r="AK42" s="26"/>
      <c r="AL42" s="26"/>
      <c r="AM42" s="26"/>
      <c r="AN42" s="26"/>
      <c r="AO42" s="26"/>
      <c r="AP42" s="26"/>
      <c r="AQ42" s="26"/>
      <c r="AR42" s="26"/>
      <c r="AS42" s="26"/>
      <c r="AT42" s="26"/>
      <c r="AU42" s="26"/>
      <c r="AV42" s="26"/>
      <c r="AW42" s="37" t="s">
        <v>488</v>
      </c>
      <c r="AY42" s="37" t="s">
        <v>488</v>
      </c>
      <c r="BE42" t="s">
        <v>329</v>
      </c>
      <c r="BG42" t="s">
        <v>350</v>
      </c>
    </row>
    <row r="43" spans="1:59" x14ac:dyDescent="0.35">
      <c r="A43" t="s">
        <v>43</v>
      </c>
      <c r="B43"/>
      <c r="C43" t="s">
        <v>27</v>
      </c>
      <c r="D43" s="29"/>
      <c r="F43" s="5"/>
      <c r="I43" t="s">
        <v>300</v>
      </c>
      <c r="J43"/>
      <c r="K43" t="s">
        <v>293</v>
      </c>
      <c r="L43" s="29"/>
      <c r="X43" s="29"/>
      <c r="AB43" s="29"/>
      <c r="AJ43" s="26"/>
      <c r="AK43" s="26"/>
      <c r="AL43" s="26"/>
      <c r="AM43" s="26"/>
      <c r="AN43" s="26"/>
      <c r="AO43" s="26"/>
      <c r="AP43" s="26"/>
      <c r="AQ43" s="26"/>
      <c r="AR43" s="26"/>
      <c r="AS43" s="26"/>
      <c r="AT43" s="26"/>
      <c r="AU43" s="26"/>
      <c r="AV43" s="26"/>
      <c r="AW43" s="37" t="s">
        <v>502</v>
      </c>
      <c r="AY43" s="37" t="s">
        <v>502</v>
      </c>
      <c r="BE43" t="s">
        <v>330</v>
      </c>
      <c r="BG43" t="s">
        <v>350</v>
      </c>
    </row>
    <row r="44" spans="1:59" x14ac:dyDescent="0.35">
      <c r="A44" t="s">
        <v>42</v>
      </c>
      <c r="B44"/>
      <c r="C44" t="s">
        <v>21</v>
      </c>
      <c r="D44" s="29"/>
      <c r="F44" s="5"/>
      <c r="I44" t="s">
        <v>63</v>
      </c>
      <c r="J44"/>
      <c r="K44" t="s">
        <v>231</v>
      </c>
      <c r="L44" s="29"/>
      <c r="X44" s="29"/>
      <c r="AB44" s="29"/>
      <c r="AJ44" s="26"/>
      <c r="AK44" s="26"/>
      <c r="AL44" s="26"/>
      <c r="AM44" s="26"/>
      <c r="AN44" s="26"/>
      <c r="AO44" s="26"/>
      <c r="AP44" s="26"/>
      <c r="AQ44" s="26"/>
      <c r="AR44" s="26"/>
      <c r="AS44" s="26"/>
      <c r="AT44" s="26"/>
      <c r="AU44" s="26"/>
      <c r="AV44" s="26"/>
      <c r="AW44" s="37" t="s">
        <v>533</v>
      </c>
      <c r="AY44" s="37" t="s">
        <v>533</v>
      </c>
      <c r="BE44" t="s">
        <v>331</v>
      </c>
      <c r="BG44" t="s">
        <v>350</v>
      </c>
    </row>
    <row r="45" spans="1:59" x14ac:dyDescent="0.35">
      <c r="A45" t="s">
        <v>41</v>
      </c>
      <c r="B45"/>
      <c r="C45" t="s">
        <v>19</v>
      </c>
      <c r="D45" s="29"/>
      <c r="F45" s="5"/>
      <c r="I45" t="s">
        <v>200</v>
      </c>
      <c r="J45"/>
      <c r="K45" t="s">
        <v>232</v>
      </c>
      <c r="L45" s="29"/>
      <c r="X45" s="29"/>
      <c r="AB45" s="29"/>
      <c r="AJ45" s="26"/>
      <c r="AK45" s="26"/>
      <c r="AL45" s="26"/>
      <c r="AM45" s="26"/>
      <c r="AN45" s="26"/>
      <c r="AO45" s="26"/>
      <c r="AP45" s="26"/>
      <c r="AQ45" s="26"/>
      <c r="AR45" s="26"/>
      <c r="AS45" s="26"/>
      <c r="AT45" s="26"/>
      <c r="AU45" s="26"/>
      <c r="AV45" s="26"/>
      <c r="AW45" s="37" t="s">
        <v>469</v>
      </c>
      <c r="AY45" s="37" t="s">
        <v>469</v>
      </c>
      <c r="BE45" t="s">
        <v>332</v>
      </c>
      <c r="BG45" t="s">
        <v>350</v>
      </c>
    </row>
    <row r="46" spans="1:59" x14ac:dyDescent="0.35">
      <c r="A46" t="s">
        <v>92</v>
      </c>
      <c r="B46"/>
      <c r="C46" t="s">
        <v>367</v>
      </c>
      <c r="D46" s="29"/>
      <c r="F46" s="5"/>
      <c r="I46" t="s">
        <v>301</v>
      </c>
      <c r="J46"/>
      <c r="K46" t="s">
        <v>201</v>
      </c>
      <c r="L46" s="29"/>
      <c r="X46" s="29"/>
      <c r="AB46" s="29"/>
      <c r="AJ46" s="26"/>
      <c r="AK46" s="26"/>
      <c r="AL46" s="26"/>
      <c r="AM46" s="26"/>
      <c r="AN46" s="26"/>
      <c r="AO46" s="26"/>
      <c r="AP46" s="26"/>
      <c r="AQ46" s="26"/>
      <c r="AR46" s="26"/>
      <c r="AS46" s="26"/>
      <c r="AT46" s="26"/>
      <c r="AU46" s="26"/>
      <c r="AV46" s="26"/>
      <c r="AW46" s="37" t="s">
        <v>461</v>
      </c>
      <c r="AY46" s="37" t="s">
        <v>461</v>
      </c>
      <c r="BE46" t="s">
        <v>333</v>
      </c>
      <c r="BG46" t="s">
        <v>350</v>
      </c>
    </row>
    <row r="47" spans="1:59" x14ac:dyDescent="0.35">
      <c r="A47" t="s">
        <v>236</v>
      </c>
      <c r="B47"/>
      <c r="C47" t="s">
        <v>367</v>
      </c>
      <c r="D47" s="29"/>
      <c r="F47" s="5"/>
      <c r="I47" t="s">
        <v>66</v>
      </c>
      <c r="J47"/>
      <c r="K47" t="s">
        <v>233</v>
      </c>
      <c r="L47" s="29"/>
      <c r="X47" s="29"/>
      <c r="AB47" s="29"/>
      <c r="AJ47" s="26"/>
      <c r="AK47" s="26"/>
      <c r="AL47" s="26"/>
      <c r="AM47" s="26"/>
      <c r="AN47" s="26"/>
      <c r="AO47" s="26"/>
      <c r="AP47" s="26"/>
      <c r="AQ47" s="26"/>
      <c r="AR47" s="26"/>
      <c r="AS47" s="26"/>
      <c r="AT47" s="26"/>
      <c r="AU47" s="26"/>
      <c r="AV47" s="26"/>
      <c r="AW47" s="37" t="s">
        <v>490</v>
      </c>
      <c r="AY47" s="37" t="s">
        <v>490</v>
      </c>
      <c r="BE47" t="s">
        <v>334</v>
      </c>
      <c r="BG47" t="s">
        <v>350</v>
      </c>
    </row>
    <row r="48" spans="1:59" x14ac:dyDescent="0.35">
      <c r="A48"/>
      <c r="B48"/>
      <c r="C48"/>
      <c r="D48" s="29"/>
      <c r="F48" s="5"/>
      <c r="I48" t="s">
        <v>302</v>
      </c>
      <c r="J48"/>
      <c r="K48" t="s">
        <v>202</v>
      </c>
      <c r="L48" s="29"/>
      <c r="X48" s="29"/>
      <c r="AB48" s="29"/>
      <c r="AJ48" s="26"/>
      <c r="AK48" s="26"/>
      <c r="AL48" s="26"/>
      <c r="AM48" s="26"/>
      <c r="AN48" s="26"/>
      <c r="AO48" s="26"/>
      <c r="AP48" s="26"/>
      <c r="AQ48" s="26"/>
      <c r="AR48" s="26"/>
      <c r="AS48" s="26"/>
      <c r="AT48" s="26"/>
      <c r="AU48" s="26"/>
      <c r="AV48" s="26"/>
      <c r="AW48" s="37" t="s">
        <v>536</v>
      </c>
      <c r="AY48" s="37" t="s">
        <v>536</v>
      </c>
      <c r="BE48" t="s">
        <v>335</v>
      </c>
      <c r="BG48" t="s">
        <v>350</v>
      </c>
    </row>
    <row r="49" spans="1:59" x14ac:dyDescent="0.35">
      <c r="A49"/>
      <c r="B49"/>
      <c r="C49"/>
      <c r="D49" s="29"/>
      <c r="F49" s="5"/>
      <c r="I49" t="s">
        <v>204</v>
      </c>
      <c r="J49"/>
      <c r="K49" t="s">
        <v>203</v>
      </c>
      <c r="L49" s="29"/>
      <c r="X49" s="29"/>
      <c r="AB49" s="29"/>
      <c r="AJ49" s="26"/>
      <c r="AK49" s="26"/>
      <c r="AL49" s="26"/>
      <c r="AM49" s="26"/>
      <c r="AN49" s="26"/>
      <c r="AO49" s="26"/>
      <c r="AP49" s="26"/>
      <c r="AQ49" s="26"/>
      <c r="AR49" s="26"/>
      <c r="AS49" s="26"/>
      <c r="AT49" s="26"/>
      <c r="AU49" s="26"/>
      <c r="AV49" s="26"/>
      <c r="AW49" s="37" t="s">
        <v>529</v>
      </c>
      <c r="AY49" s="37" t="s">
        <v>529</v>
      </c>
      <c r="BE49" t="s">
        <v>336</v>
      </c>
      <c r="BG49" t="s">
        <v>350</v>
      </c>
    </row>
    <row r="50" spans="1:59" x14ac:dyDescent="0.35">
      <c r="A50"/>
      <c r="B50"/>
      <c r="C50"/>
      <c r="D50" s="29"/>
      <c r="F50" s="5"/>
      <c r="I50" t="s">
        <v>64</v>
      </c>
      <c r="J50"/>
      <c r="K50" t="s">
        <v>234</v>
      </c>
      <c r="L50" s="29"/>
      <c r="X50" s="29"/>
      <c r="AB50" s="29"/>
      <c r="AJ50" s="26"/>
      <c r="AK50" s="26"/>
      <c r="AL50" s="26"/>
      <c r="AM50" s="26"/>
      <c r="AN50" s="26"/>
      <c r="AO50" s="26"/>
      <c r="AP50" s="26"/>
      <c r="AQ50" s="26"/>
      <c r="AR50" s="26"/>
      <c r="AS50" s="26"/>
      <c r="AT50" s="26"/>
      <c r="AU50" s="26"/>
      <c r="AV50" s="26"/>
      <c r="AW50" s="37" t="s">
        <v>479</v>
      </c>
      <c r="AY50" s="37" t="s">
        <v>479</v>
      </c>
      <c r="BE50" t="s">
        <v>337</v>
      </c>
      <c r="BG50" t="s">
        <v>350</v>
      </c>
    </row>
    <row r="51" spans="1:59" x14ac:dyDescent="0.35">
      <c r="A51"/>
      <c r="B51"/>
      <c r="C51"/>
      <c r="D51" s="29"/>
      <c r="F51" s="5"/>
      <c r="I51" t="s">
        <v>206</v>
      </c>
      <c r="J51"/>
      <c r="K51" t="s">
        <v>205</v>
      </c>
      <c r="L51" s="29"/>
      <c r="X51" s="29"/>
      <c r="AB51" s="29"/>
      <c r="AJ51" s="26"/>
      <c r="AK51" s="26"/>
      <c r="AL51" s="26"/>
      <c r="AM51" s="26"/>
      <c r="AN51" s="26"/>
      <c r="AO51" s="26"/>
      <c r="AP51" s="26"/>
      <c r="AQ51" s="26"/>
      <c r="AR51" s="26"/>
      <c r="AS51" s="26"/>
      <c r="AT51" s="26"/>
      <c r="AU51" s="26"/>
      <c r="AV51" s="26"/>
      <c r="AW51" s="37" t="s">
        <v>462</v>
      </c>
      <c r="AY51" s="37" t="s">
        <v>462</v>
      </c>
      <c r="BE51" t="s">
        <v>338</v>
      </c>
      <c r="BG51" t="s">
        <v>350</v>
      </c>
    </row>
    <row r="52" spans="1:59" x14ac:dyDescent="0.35">
      <c r="A52"/>
      <c r="B52"/>
      <c r="C52"/>
      <c r="D52" s="29"/>
      <c r="F52" s="5"/>
      <c r="I52" t="s">
        <v>303</v>
      </c>
      <c r="J52"/>
      <c r="K52" t="s">
        <v>294</v>
      </c>
      <c r="L52" s="29"/>
      <c r="X52" s="29"/>
      <c r="AB52" s="29"/>
      <c r="AJ52" s="26"/>
      <c r="AK52" s="26"/>
      <c r="AL52" s="26"/>
      <c r="AM52" s="26"/>
      <c r="AN52" s="26"/>
      <c r="AO52" s="26"/>
      <c r="AP52" s="26"/>
      <c r="AQ52" s="26"/>
      <c r="AR52" s="26"/>
      <c r="AS52" s="26"/>
      <c r="AT52" s="26"/>
      <c r="AU52" s="26"/>
      <c r="AV52" s="26"/>
      <c r="AW52" s="37" t="s">
        <v>510</v>
      </c>
      <c r="AY52" s="37" t="s">
        <v>510</v>
      </c>
      <c r="BE52" t="s">
        <v>339</v>
      </c>
      <c r="BG52" t="s">
        <v>350</v>
      </c>
    </row>
    <row r="53" spans="1:59" x14ac:dyDescent="0.35">
      <c r="A53"/>
      <c r="B53"/>
      <c r="C53"/>
      <c r="D53" s="29"/>
      <c r="F53" s="5"/>
      <c r="I53" t="s">
        <v>65</v>
      </c>
      <c r="J53"/>
      <c r="K53" t="s">
        <v>235</v>
      </c>
      <c r="L53" s="29"/>
      <c r="X53" s="29"/>
      <c r="AB53" s="29"/>
      <c r="AJ53" s="26"/>
      <c r="AK53" s="26"/>
      <c r="AL53" s="26"/>
      <c r="AM53" s="26"/>
      <c r="AN53" s="26"/>
      <c r="AO53" s="26"/>
      <c r="AP53" s="26"/>
      <c r="AQ53" s="26"/>
      <c r="AR53" s="26"/>
      <c r="AS53" s="26"/>
      <c r="AT53" s="26"/>
      <c r="AU53" s="26"/>
      <c r="AV53" s="26"/>
      <c r="AW53" s="37" t="s">
        <v>470</v>
      </c>
      <c r="AY53" s="37" t="s">
        <v>470</v>
      </c>
      <c r="BE53" t="s">
        <v>340</v>
      </c>
      <c r="BG53" t="s">
        <v>350</v>
      </c>
    </row>
    <row r="54" spans="1:59" x14ac:dyDescent="0.35">
      <c r="A54"/>
      <c r="B54"/>
      <c r="C54"/>
      <c r="D54" s="29"/>
      <c r="F54" s="5"/>
      <c r="I54" t="s">
        <v>304</v>
      </c>
      <c r="J54"/>
      <c r="K54" t="s">
        <v>295</v>
      </c>
      <c r="L54" s="29"/>
      <c r="X54" s="29"/>
      <c r="AB54" s="29"/>
      <c r="AJ54" s="26"/>
      <c r="AK54" s="26"/>
      <c r="AL54" s="26"/>
      <c r="AM54" s="26"/>
      <c r="AN54" s="26"/>
      <c r="AO54" s="26"/>
      <c r="AP54" s="26"/>
      <c r="AQ54" s="26"/>
      <c r="AR54" s="26"/>
      <c r="AS54" s="26"/>
      <c r="AT54" s="26"/>
      <c r="AU54" s="26"/>
      <c r="AV54" s="26"/>
      <c r="AW54" s="37" t="s">
        <v>499</v>
      </c>
      <c r="AY54" s="37" t="s">
        <v>499</v>
      </c>
      <c r="BE54" t="s">
        <v>341</v>
      </c>
      <c r="BG54" t="s">
        <v>350</v>
      </c>
    </row>
    <row r="55" spans="1:59" x14ac:dyDescent="0.35">
      <c r="A55"/>
      <c r="B55"/>
      <c r="C55"/>
      <c r="D55" s="29"/>
      <c r="F55" s="5"/>
      <c r="I55" t="s">
        <v>305</v>
      </c>
      <c r="J55"/>
      <c r="K55" t="s">
        <v>192</v>
      </c>
      <c r="L55" s="29"/>
      <c r="X55" s="29"/>
      <c r="AB55" s="29"/>
      <c r="AJ55" s="26"/>
      <c r="AK55" s="26"/>
      <c r="AL55" s="26"/>
      <c r="AM55" s="26"/>
      <c r="AN55" s="26"/>
      <c r="AO55" s="26"/>
      <c r="AP55" s="26"/>
      <c r="AQ55" s="26"/>
      <c r="AR55" s="26"/>
      <c r="AS55" s="26"/>
      <c r="AT55" s="26"/>
      <c r="AU55" s="26"/>
      <c r="AV55" s="26"/>
      <c r="AW55" s="37" t="s">
        <v>468</v>
      </c>
      <c r="AY55" s="37" t="s">
        <v>468</v>
      </c>
      <c r="BE55" t="s">
        <v>342</v>
      </c>
      <c r="BG55" t="s">
        <v>350</v>
      </c>
    </row>
    <row r="56" spans="1:59" x14ac:dyDescent="0.35">
      <c r="A56"/>
      <c r="B56"/>
      <c r="C56"/>
      <c r="D56" s="29"/>
      <c r="F56" s="5"/>
      <c r="I56" t="s">
        <v>306</v>
      </c>
      <c r="J56"/>
      <c r="K56" t="s">
        <v>201</v>
      </c>
      <c r="L56" s="29"/>
      <c r="X56" s="29"/>
      <c r="AB56" s="29"/>
      <c r="AJ56" s="26"/>
      <c r="AK56" s="26"/>
      <c r="AL56" s="26"/>
      <c r="AM56" s="26"/>
      <c r="AN56" s="26"/>
      <c r="AO56" s="26"/>
      <c r="AP56" s="26"/>
      <c r="AQ56" s="26"/>
      <c r="AR56" s="26"/>
      <c r="AS56" s="26"/>
      <c r="AT56" s="26"/>
      <c r="AU56" s="26"/>
      <c r="AV56" s="26"/>
      <c r="AW56" s="37" t="s">
        <v>508</v>
      </c>
      <c r="AY56" s="37" t="s">
        <v>508</v>
      </c>
      <c r="BE56" t="s">
        <v>343</v>
      </c>
      <c r="BG56" t="s">
        <v>350</v>
      </c>
    </row>
    <row r="57" spans="1:59" x14ac:dyDescent="0.35">
      <c r="B57" s="5"/>
      <c r="D57" s="29"/>
      <c r="F57" s="5"/>
      <c r="I57" t="s">
        <v>307</v>
      </c>
      <c r="J57"/>
      <c r="K57" t="s">
        <v>240</v>
      </c>
      <c r="L57" s="29"/>
      <c r="X57" s="29"/>
      <c r="AB57" s="29"/>
      <c r="AJ57" s="26"/>
      <c r="AK57" s="26"/>
      <c r="AL57" s="26"/>
      <c r="AM57" s="26"/>
      <c r="AN57" s="26"/>
      <c r="AO57" s="26"/>
      <c r="AP57" s="26"/>
      <c r="AQ57" s="26"/>
      <c r="AR57" s="26"/>
      <c r="AS57" s="26"/>
      <c r="AT57" s="26"/>
      <c r="AU57" s="26"/>
      <c r="AV57" s="26"/>
      <c r="AW57" s="37" t="s">
        <v>524</v>
      </c>
      <c r="AY57" s="37" t="s">
        <v>524</v>
      </c>
      <c r="BE57" t="s">
        <v>344</v>
      </c>
      <c r="BG57" t="s">
        <v>350</v>
      </c>
    </row>
    <row r="58" spans="1:59" x14ac:dyDescent="0.35">
      <c r="B58" s="5"/>
      <c r="D58" s="29"/>
      <c r="F58" s="5"/>
      <c r="I58" t="s">
        <v>308</v>
      </c>
      <c r="J58"/>
      <c r="K58" t="s">
        <v>292</v>
      </c>
      <c r="L58" s="29"/>
      <c r="X58" s="29"/>
      <c r="AB58" s="29"/>
      <c r="AJ58" s="26"/>
      <c r="AK58" s="26"/>
      <c r="AL58" s="26"/>
      <c r="AM58" s="26"/>
      <c r="AN58" s="26"/>
      <c r="AO58" s="26"/>
      <c r="AP58" s="26"/>
      <c r="AQ58" s="26"/>
      <c r="AR58" s="26"/>
      <c r="AS58" s="26"/>
      <c r="AT58" s="26"/>
      <c r="AU58" s="26"/>
      <c r="AV58" s="26"/>
      <c r="AW58" s="37" t="s">
        <v>520</v>
      </c>
      <c r="AY58" s="37" t="s">
        <v>520</v>
      </c>
    </row>
    <row r="59" spans="1:59" x14ac:dyDescent="0.35">
      <c r="B59" s="5"/>
      <c r="D59" s="29"/>
      <c r="F59" s="5"/>
      <c r="I59" t="s">
        <v>309</v>
      </c>
      <c r="J59"/>
      <c r="K59" t="s">
        <v>293</v>
      </c>
      <c r="L59" s="29"/>
      <c r="X59" s="29"/>
      <c r="AB59" s="29"/>
      <c r="AJ59" s="26"/>
      <c r="AK59" s="26"/>
      <c r="AL59" s="26"/>
      <c r="AM59" s="26"/>
      <c r="AN59" s="26"/>
      <c r="AO59" s="26"/>
      <c r="AP59" s="26"/>
      <c r="AQ59" s="26"/>
      <c r="AR59" s="26"/>
      <c r="AS59" s="26"/>
      <c r="AT59" s="26"/>
      <c r="AU59" s="26"/>
      <c r="AV59" s="26"/>
      <c r="AW59" s="37" t="s">
        <v>521</v>
      </c>
      <c r="AY59" s="37" t="s">
        <v>521</v>
      </c>
    </row>
    <row r="60" spans="1:59" x14ac:dyDescent="0.35">
      <c r="B60" s="5"/>
      <c r="D60" s="29"/>
      <c r="F60" s="5"/>
      <c r="I60" t="s">
        <v>310</v>
      </c>
      <c r="J60"/>
      <c r="K60" t="s">
        <v>294</v>
      </c>
      <c r="L60" s="29"/>
      <c r="X60" s="29"/>
      <c r="AB60" s="29"/>
      <c r="AJ60" s="26"/>
      <c r="AK60" s="26"/>
      <c r="AL60" s="26"/>
      <c r="AM60" s="26"/>
      <c r="AN60" s="26"/>
      <c r="AO60" s="26"/>
      <c r="AP60" s="26"/>
      <c r="AQ60" s="26"/>
      <c r="AR60" s="26"/>
      <c r="AS60" s="26"/>
      <c r="AT60" s="26"/>
      <c r="AU60" s="26"/>
      <c r="AV60" s="26"/>
      <c r="AW60" s="37" t="s">
        <v>477</v>
      </c>
      <c r="AY60" s="37" t="s">
        <v>477</v>
      </c>
    </row>
    <row r="61" spans="1:59" x14ac:dyDescent="0.35">
      <c r="B61" s="5"/>
      <c r="D61" s="29"/>
      <c r="F61" s="5"/>
      <c r="I61" t="s">
        <v>311</v>
      </c>
      <c r="J61"/>
      <c r="K61" t="s">
        <v>189</v>
      </c>
      <c r="L61" s="29"/>
      <c r="X61" s="29"/>
      <c r="AB61" s="29"/>
      <c r="AJ61" s="26"/>
      <c r="AK61" s="26"/>
      <c r="AL61" s="26"/>
      <c r="AM61" s="26"/>
      <c r="AN61" s="26"/>
      <c r="AO61" s="26"/>
      <c r="AP61" s="26"/>
      <c r="AQ61" s="26"/>
      <c r="AR61" s="26"/>
      <c r="AS61" s="26"/>
      <c r="AT61" s="26"/>
      <c r="AU61" s="26"/>
      <c r="AV61" s="26"/>
      <c r="AW61" s="37" t="s">
        <v>526</v>
      </c>
      <c r="AY61" s="37" t="s">
        <v>526</v>
      </c>
    </row>
    <row r="62" spans="1:59" x14ac:dyDescent="0.35">
      <c r="B62" s="5"/>
      <c r="D62" s="29"/>
      <c r="F62" s="5"/>
      <c r="I62" t="s">
        <v>312</v>
      </c>
      <c r="J62"/>
      <c r="K62" t="s">
        <v>194</v>
      </c>
      <c r="L62" s="29"/>
      <c r="X62" s="29"/>
      <c r="AB62" s="29"/>
      <c r="AJ62" s="26"/>
      <c r="AK62" s="26"/>
      <c r="AL62" s="26"/>
      <c r="AM62" s="26"/>
      <c r="AN62" s="26"/>
      <c r="AO62" s="26"/>
      <c r="AP62" s="26"/>
      <c r="AQ62" s="26"/>
      <c r="AR62" s="26"/>
      <c r="AS62" s="26"/>
      <c r="AT62" s="26"/>
      <c r="AU62" s="26"/>
      <c r="AV62" s="26"/>
      <c r="AW62" s="37" t="s">
        <v>475</v>
      </c>
      <c r="AY62" s="37" t="s">
        <v>475</v>
      </c>
    </row>
    <row r="63" spans="1:59" x14ac:dyDescent="0.35">
      <c r="B63" s="5"/>
      <c r="D63" s="29"/>
      <c r="F63" s="5"/>
      <c r="I63" t="s">
        <v>313</v>
      </c>
      <c r="J63"/>
      <c r="K63" t="s">
        <v>211</v>
      </c>
      <c r="L63" s="29"/>
      <c r="X63" s="29"/>
      <c r="AB63" s="29"/>
      <c r="AJ63" s="26"/>
      <c r="AK63" s="26"/>
      <c r="AL63" s="26"/>
      <c r="AM63" s="26"/>
      <c r="AN63" s="26"/>
      <c r="AO63" s="26"/>
      <c r="AP63" s="26"/>
      <c r="AQ63" s="26"/>
      <c r="AR63" s="26"/>
      <c r="AS63" s="26"/>
      <c r="AT63" s="26"/>
      <c r="AU63" s="26"/>
      <c r="AV63" s="26"/>
      <c r="AW63" s="37" t="s">
        <v>518</v>
      </c>
      <c r="AY63" s="37" t="s">
        <v>518</v>
      </c>
    </row>
    <row r="64" spans="1:59" x14ac:dyDescent="0.35">
      <c r="B64" s="5"/>
      <c r="D64" s="29"/>
      <c r="F64" s="5"/>
      <c r="I64" t="s">
        <v>314</v>
      </c>
      <c r="J64"/>
      <c r="K64" t="s">
        <v>185</v>
      </c>
      <c r="L64" s="29"/>
      <c r="X64" s="29"/>
      <c r="AB64" s="29"/>
      <c r="AJ64" s="26"/>
      <c r="AK64" s="26"/>
      <c r="AL64" s="26"/>
      <c r="AM64" s="26"/>
      <c r="AN64" s="26"/>
      <c r="AO64" s="26"/>
      <c r="AP64" s="26"/>
      <c r="AQ64" s="26"/>
      <c r="AR64" s="26"/>
      <c r="AS64" s="26"/>
      <c r="AT64" s="26"/>
      <c r="AU64" s="26"/>
      <c r="AV64" s="26"/>
      <c r="AW64" s="37" t="s">
        <v>511</v>
      </c>
      <c r="AY64" s="37" t="s">
        <v>511</v>
      </c>
    </row>
    <row r="65" spans="2:51" x14ac:dyDescent="0.35">
      <c r="B65" s="5"/>
      <c r="D65" s="29"/>
      <c r="F65" s="5"/>
      <c r="I65" t="s">
        <v>315</v>
      </c>
      <c r="J65"/>
      <c r="K65" t="s">
        <v>203</v>
      </c>
      <c r="L65" s="29"/>
      <c r="X65" s="29"/>
      <c r="AB65" s="29"/>
      <c r="AJ65" s="26"/>
      <c r="AK65" s="26"/>
      <c r="AL65" s="26"/>
      <c r="AM65" s="26"/>
      <c r="AN65" s="26"/>
      <c r="AO65" s="26"/>
      <c r="AP65" s="26"/>
      <c r="AQ65" s="26"/>
      <c r="AR65" s="26"/>
      <c r="AS65" s="26"/>
      <c r="AT65" s="26"/>
      <c r="AU65" s="26"/>
      <c r="AV65" s="26"/>
      <c r="AW65" s="37" t="s">
        <v>515</v>
      </c>
      <c r="AY65" s="37" t="s">
        <v>515</v>
      </c>
    </row>
    <row r="66" spans="2:51" x14ac:dyDescent="0.35">
      <c r="B66" s="5"/>
      <c r="D66" s="29"/>
      <c r="F66" s="5"/>
      <c r="I66" t="s">
        <v>316</v>
      </c>
      <c r="J66"/>
      <c r="K66" t="s">
        <v>205</v>
      </c>
      <c r="L66" s="29"/>
      <c r="X66" s="29"/>
      <c r="AB66" s="29"/>
      <c r="AJ66" s="26"/>
      <c r="AK66" s="26"/>
      <c r="AL66" s="26"/>
      <c r="AM66" s="26"/>
      <c r="AN66" s="26"/>
      <c r="AO66" s="26"/>
      <c r="AP66" s="26"/>
      <c r="AQ66" s="26"/>
      <c r="AR66" s="26"/>
      <c r="AS66" s="26"/>
      <c r="AT66" s="26"/>
      <c r="AU66" s="26"/>
      <c r="AV66" s="26"/>
      <c r="AW66" s="37" t="s">
        <v>517</v>
      </c>
      <c r="AY66" s="37" t="s">
        <v>517</v>
      </c>
    </row>
    <row r="67" spans="2:51" x14ac:dyDescent="0.35">
      <c r="B67" s="5"/>
      <c r="D67" s="29"/>
      <c r="F67" s="5"/>
      <c r="I67" t="s">
        <v>317</v>
      </c>
      <c r="J67"/>
      <c r="K67" t="s">
        <v>232</v>
      </c>
      <c r="L67" s="29"/>
      <c r="X67" s="29"/>
      <c r="AB67" s="29"/>
      <c r="AJ67" s="26"/>
      <c r="AK67" s="26"/>
      <c r="AL67" s="26"/>
      <c r="AM67" s="26"/>
      <c r="AN67" s="26"/>
      <c r="AO67" s="26"/>
      <c r="AP67" s="26"/>
      <c r="AQ67" s="26"/>
      <c r="AR67" s="26"/>
      <c r="AS67" s="26"/>
      <c r="AT67" s="26"/>
      <c r="AU67" s="26"/>
      <c r="AV67" s="26"/>
      <c r="AW67" s="37" t="s">
        <v>474</v>
      </c>
      <c r="AY67" s="37" t="s">
        <v>474</v>
      </c>
    </row>
    <row r="68" spans="2:51" x14ac:dyDescent="0.35">
      <c r="B68" s="5"/>
      <c r="D68" s="29"/>
      <c r="F68" s="5"/>
      <c r="I68" t="s">
        <v>318</v>
      </c>
      <c r="J68"/>
      <c r="K68" t="s">
        <v>290</v>
      </c>
      <c r="L68" s="29"/>
      <c r="X68" s="29"/>
      <c r="AB68" s="29"/>
      <c r="AJ68" s="26"/>
      <c r="AK68" s="26"/>
      <c r="AL68" s="26"/>
      <c r="AM68" s="26"/>
      <c r="AN68" s="26"/>
      <c r="AO68" s="26"/>
      <c r="AP68" s="26"/>
      <c r="AQ68" s="26"/>
      <c r="AR68" s="26"/>
      <c r="AS68" s="26"/>
      <c r="AT68" s="26"/>
      <c r="AU68" s="26"/>
      <c r="AV68" s="26"/>
      <c r="AW68" s="37" t="s">
        <v>496</v>
      </c>
      <c r="AY68" s="37" t="s">
        <v>496</v>
      </c>
    </row>
    <row r="69" spans="2:51" x14ac:dyDescent="0.35">
      <c r="B69" s="5"/>
      <c r="D69" s="29"/>
      <c r="F69" s="5"/>
      <c r="I69" t="s">
        <v>319</v>
      </c>
      <c r="J69"/>
      <c r="K69" t="s">
        <v>295</v>
      </c>
      <c r="L69" s="29"/>
      <c r="X69" s="29"/>
      <c r="AB69" s="29"/>
      <c r="AJ69" s="26"/>
      <c r="AK69" s="26"/>
      <c r="AL69" s="26"/>
      <c r="AM69" s="26"/>
      <c r="AN69" s="26"/>
      <c r="AO69" s="26"/>
      <c r="AP69" s="26"/>
      <c r="AQ69" s="26"/>
      <c r="AR69" s="26"/>
      <c r="AS69" s="26"/>
      <c r="AT69" s="26"/>
      <c r="AU69" s="26"/>
      <c r="AV69" s="26"/>
      <c r="AW69" s="37" t="s">
        <v>473</v>
      </c>
      <c r="AY69" s="37" t="s">
        <v>473</v>
      </c>
    </row>
    <row r="70" spans="2:51" x14ac:dyDescent="0.35">
      <c r="B70" s="5"/>
      <c r="D70" s="29"/>
      <c r="F70" s="5"/>
      <c r="I70" t="s">
        <v>320</v>
      </c>
      <c r="J70"/>
      <c r="K70" t="s">
        <v>174</v>
      </c>
      <c r="L70" s="29"/>
      <c r="X70" s="29"/>
      <c r="AB70" s="29"/>
      <c r="AJ70" s="26"/>
      <c r="AK70" s="26"/>
      <c r="AL70" s="26"/>
      <c r="AM70" s="26"/>
      <c r="AN70" s="26"/>
      <c r="AO70" s="26"/>
      <c r="AP70" s="26"/>
      <c r="AQ70" s="26"/>
      <c r="AR70" s="26"/>
      <c r="AS70" s="26"/>
      <c r="AT70" s="26"/>
      <c r="AU70" s="26"/>
      <c r="AV70" s="26"/>
      <c r="AW70" s="37" t="s">
        <v>471</v>
      </c>
      <c r="AY70" s="37" t="s">
        <v>471</v>
      </c>
    </row>
    <row r="71" spans="2:51" x14ac:dyDescent="0.35">
      <c r="B71" s="5"/>
      <c r="D71" s="29"/>
      <c r="F71" s="5"/>
      <c r="I71" t="s">
        <v>321</v>
      </c>
      <c r="J71"/>
      <c r="K71" t="s">
        <v>198</v>
      </c>
      <c r="L71" s="29"/>
      <c r="X71" s="29"/>
      <c r="AB71" s="29"/>
      <c r="AJ71" s="26"/>
      <c r="AK71" s="26"/>
      <c r="AL71" s="26"/>
      <c r="AM71" s="26"/>
      <c r="AN71" s="26"/>
      <c r="AO71" s="26"/>
      <c r="AP71" s="26"/>
      <c r="AQ71" s="26"/>
      <c r="AR71" s="26"/>
      <c r="AS71" s="26"/>
      <c r="AT71" s="26"/>
      <c r="AU71" s="26"/>
      <c r="AV71" s="26"/>
      <c r="AW71" s="37" t="s">
        <v>513</v>
      </c>
      <c r="AY71" s="37" t="s">
        <v>513</v>
      </c>
    </row>
    <row r="72" spans="2:51" x14ac:dyDescent="0.35">
      <c r="B72" s="5"/>
      <c r="D72" s="29"/>
      <c r="F72" s="5"/>
      <c r="I72" t="s">
        <v>322</v>
      </c>
      <c r="J72"/>
      <c r="K72" t="s">
        <v>202</v>
      </c>
      <c r="L72" s="29"/>
      <c r="X72" s="29"/>
      <c r="AB72" s="29"/>
      <c r="AJ72" s="26"/>
      <c r="AK72" s="26"/>
      <c r="AL72" s="26"/>
      <c r="AM72" s="26"/>
      <c r="AN72" s="26"/>
      <c r="AO72" s="26"/>
      <c r="AP72" s="26"/>
      <c r="AQ72" s="26"/>
      <c r="AR72" s="26"/>
      <c r="AS72" s="26"/>
      <c r="AT72" s="26"/>
      <c r="AU72" s="26"/>
      <c r="AV72" s="26"/>
      <c r="AW72" s="37" t="s">
        <v>535</v>
      </c>
      <c r="AY72" s="37" t="s">
        <v>535</v>
      </c>
    </row>
    <row r="73" spans="2:51" x14ac:dyDescent="0.35">
      <c r="B73" s="5"/>
      <c r="D73" s="29"/>
      <c r="F73" s="5"/>
      <c r="I73" t="s">
        <v>323</v>
      </c>
      <c r="J73"/>
      <c r="K73" t="s">
        <v>229</v>
      </c>
      <c r="L73" s="29"/>
      <c r="X73" s="29"/>
      <c r="AB73" s="29"/>
      <c r="AJ73" s="26"/>
      <c r="AK73" s="26"/>
      <c r="AL73" s="26"/>
      <c r="AM73" s="26"/>
      <c r="AN73" s="26"/>
      <c r="AO73" s="26"/>
      <c r="AP73" s="26"/>
      <c r="AQ73" s="26"/>
      <c r="AR73" s="26"/>
      <c r="AS73" s="26"/>
      <c r="AT73" s="26"/>
      <c r="AU73" s="26"/>
      <c r="AV73" s="26"/>
      <c r="AW73" s="37" t="s">
        <v>522</v>
      </c>
      <c r="AY73" s="37" t="s">
        <v>522</v>
      </c>
    </row>
    <row r="74" spans="2:51" x14ac:dyDescent="0.35">
      <c r="B74" s="5"/>
      <c r="D74" s="29"/>
      <c r="F74" s="5"/>
      <c r="I74" t="s">
        <v>288</v>
      </c>
      <c r="J74"/>
      <c r="K74" t="s">
        <v>291</v>
      </c>
      <c r="L74" s="29"/>
      <c r="X74" s="29"/>
      <c r="AB74" s="29"/>
      <c r="AJ74" s="26"/>
      <c r="AK74" s="26"/>
      <c r="AL74" s="26"/>
      <c r="AM74" s="26"/>
      <c r="AN74" s="26"/>
      <c r="AO74" s="26"/>
      <c r="AP74" s="26"/>
      <c r="AQ74" s="26"/>
      <c r="AR74" s="26"/>
      <c r="AS74" s="26"/>
      <c r="AT74" s="26"/>
      <c r="AU74" s="26"/>
      <c r="AV74" s="26"/>
      <c r="AW74" s="37" t="s">
        <v>505</v>
      </c>
      <c r="AY74" s="37" t="s">
        <v>505</v>
      </c>
    </row>
    <row r="75" spans="2:51" x14ac:dyDescent="0.35">
      <c r="B75" s="5"/>
      <c r="D75" s="29"/>
      <c r="F75" s="5"/>
      <c r="I75" t="s">
        <v>324</v>
      </c>
      <c r="J75"/>
      <c r="K75" t="s">
        <v>291</v>
      </c>
      <c r="L75" s="29"/>
      <c r="X75" s="29"/>
      <c r="AB75" s="29"/>
      <c r="AJ75" s="26"/>
      <c r="AK75" s="26"/>
      <c r="AL75" s="26"/>
      <c r="AM75" s="26"/>
      <c r="AN75" s="26"/>
      <c r="AO75" s="26"/>
      <c r="AP75" s="26"/>
      <c r="AQ75" s="26"/>
      <c r="AR75" s="26"/>
      <c r="AS75" s="26"/>
      <c r="AT75" s="26"/>
      <c r="AU75" s="26"/>
      <c r="AV75" s="26"/>
      <c r="AW75" s="37" t="s">
        <v>489</v>
      </c>
      <c r="AY75" s="37" t="s">
        <v>489</v>
      </c>
    </row>
    <row r="76" spans="2:51" x14ac:dyDescent="0.35">
      <c r="B76" s="5"/>
      <c r="D76" s="29"/>
      <c r="F76" s="5"/>
      <c r="I76" t="s">
        <v>325</v>
      </c>
      <c r="J76"/>
      <c r="K76" t="s">
        <v>291</v>
      </c>
      <c r="L76" s="29"/>
      <c r="X76" s="29"/>
      <c r="AB76" s="29"/>
      <c r="AJ76" s="26"/>
      <c r="AK76" s="26"/>
      <c r="AL76" s="26"/>
      <c r="AM76" s="26"/>
      <c r="AN76" s="26"/>
      <c r="AO76" s="26"/>
      <c r="AP76" s="26"/>
      <c r="AQ76" s="26"/>
      <c r="AR76" s="26"/>
      <c r="AS76" s="26"/>
      <c r="AT76" s="26"/>
      <c r="AU76" s="26"/>
      <c r="AV76" s="26"/>
      <c r="AW76" s="37" t="s">
        <v>507</v>
      </c>
      <c r="AY76" s="37" t="s">
        <v>507</v>
      </c>
    </row>
    <row r="77" spans="2:51" x14ac:dyDescent="0.35">
      <c r="B77" s="5"/>
      <c r="D77" s="29"/>
      <c r="F77" s="5"/>
      <c r="I77" t="s">
        <v>326</v>
      </c>
      <c r="J77"/>
      <c r="K77" t="s">
        <v>192</v>
      </c>
      <c r="L77" s="29"/>
      <c r="X77" s="29"/>
      <c r="AB77" s="29"/>
      <c r="AJ77" s="26"/>
      <c r="AK77" s="26"/>
      <c r="AL77" s="26"/>
      <c r="AM77" s="26"/>
      <c r="AN77" s="26"/>
      <c r="AO77" s="26"/>
      <c r="AP77" s="26"/>
      <c r="AQ77" s="26"/>
      <c r="AR77" s="26"/>
      <c r="AS77" s="26"/>
      <c r="AT77" s="26"/>
      <c r="AU77" s="26"/>
      <c r="AV77" s="26"/>
      <c r="AW77" s="37" t="s">
        <v>523</v>
      </c>
      <c r="AY77" s="37" t="s">
        <v>523</v>
      </c>
    </row>
    <row r="78" spans="2:51" x14ac:dyDescent="0.35">
      <c r="B78" s="5"/>
      <c r="D78" s="29"/>
      <c r="F78" s="5"/>
      <c r="I78" t="s">
        <v>327</v>
      </c>
      <c r="J78"/>
      <c r="K78" t="s">
        <v>201</v>
      </c>
      <c r="L78" s="29"/>
      <c r="X78" s="29"/>
      <c r="AB78" s="29"/>
      <c r="AJ78" s="26"/>
      <c r="AK78" s="26"/>
      <c r="AL78" s="26"/>
      <c r="AM78" s="26"/>
      <c r="AN78" s="26"/>
      <c r="AO78" s="26"/>
      <c r="AP78" s="26"/>
      <c r="AQ78" s="26"/>
      <c r="AR78" s="26"/>
      <c r="AS78" s="26"/>
      <c r="AT78" s="26"/>
      <c r="AU78" s="26"/>
      <c r="AV78" s="26"/>
      <c r="AW78" s="37" t="s">
        <v>495</v>
      </c>
      <c r="AY78" s="37" t="s">
        <v>495</v>
      </c>
    </row>
    <row r="79" spans="2:51" x14ac:dyDescent="0.35">
      <c r="B79" s="5"/>
      <c r="D79" s="29"/>
      <c r="F79" s="5"/>
      <c r="I79" t="s">
        <v>328</v>
      </c>
      <c r="J79"/>
      <c r="K79" t="s">
        <v>240</v>
      </c>
      <c r="L79" s="29"/>
      <c r="X79" s="29"/>
      <c r="AB79" s="29"/>
      <c r="AJ79" s="26"/>
      <c r="AK79" s="26"/>
      <c r="AL79" s="26"/>
      <c r="AM79" s="26"/>
      <c r="AN79" s="26"/>
      <c r="AO79" s="26"/>
      <c r="AP79" s="26"/>
      <c r="AQ79" s="26"/>
      <c r="AR79" s="26"/>
      <c r="AS79" s="26"/>
      <c r="AT79" s="26"/>
      <c r="AU79" s="26"/>
      <c r="AV79" s="26"/>
      <c r="AW79" s="37" t="s">
        <v>501</v>
      </c>
      <c r="AY79" s="37" t="s">
        <v>501</v>
      </c>
    </row>
    <row r="80" spans="2:51" x14ac:dyDescent="0.35">
      <c r="B80" s="5"/>
      <c r="D80" s="29"/>
      <c r="F80" s="5"/>
      <c r="I80" t="s">
        <v>329</v>
      </c>
      <c r="J80"/>
      <c r="K80" t="s">
        <v>292</v>
      </c>
      <c r="L80" s="29"/>
      <c r="X80" s="29"/>
      <c r="AB80" s="29"/>
      <c r="AJ80" s="26"/>
      <c r="AK80" s="26"/>
      <c r="AL80" s="26"/>
      <c r="AM80" s="26"/>
      <c r="AN80" s="26"/>
      <c r="AO80" s="26"/>
      <c r="AP80" s="26"/>
      <c r="AQ80" s="26"/>
      <c r="AR80" s="26"/>
      <c r="AS80" s="26"/>
      <c r="AT80" s="26"/>
      <c r="AU80" s="26"/>
      <c r="AV80" s="26"/>
      <c r="AW80" s="37" t="s">
        <v>531</v>
      </c>
      <c r="AY80" s="37" t="s">
        <v>531</v>
      </c>
    </row>
    <row r="81" spans="9:51" x14ac:dyDescent="0.35">
      <c r="I81" t="s">
        <v>330</v>
      </c>
      <c r="J81"/>
      <c r="K81" t="s">
        <v>293</v>
      </c>
      <c r="AW81" s="26"/>
      <c r="AY81" s="26"/>
    </row>
    <row r="82" spans="9:51" x14ac:dyDescent="0.35">
      <c r="I82" t="s">
        <v>331</v>
      </c>
      <c r="J82"/>
      <c r="K82" t="s">
        <v>294</v>
      </c>
      <c r="AW82" s="26"/>
      <c r="AY82" s="26"/>
    </row>
    <row r="83" spans="9:51" x14ac:dyDescent="0.35">
      <c r="I83" t="s">
        <v>332</v>
      </c>
      <c r="J83"/>
      <c r="K83" t="s">
        <v>189</v>
      </c>
      <c r="AW83" s="26"/>
      <c r="AY83" s="26"/>
    </row>
    <row r="84" spans="9:51" x14ac:dyDescent="0.35">
      <c r="I84" t="s">
        <v>333</v>
      </c>
      <c r="J84"/>
      <c r="K84" t="s">
        <v>194</v>
      </c>
      <c r="AW84" s="26"/>
      <c r="AY84" s="26"/>
    </row>
    <row r="85" spans="9:51" x14ac:dyDescent="0.35">
      <c r="I85" t="s">
        <v>334</v>
      </c>
      <c r="J85"/>
      <c r="K85" t="s">
        <v>211</v>
      </c>
      <c r="AW85" s="26"/>
      <c r="AY85" s="26"/>
    </row>
    <row r="86" spans="9:51" x14ac:dyDescent="0.35">
      <c r="I86" t="s">
        <v>335</v>
      </c>
      <c r="J86"/>
      <c r="K86" t="s">
        <v>185</v>
      </c>
    </row>
    <row r="87" spans="9:51" x14ac:dyDescent="0.35">
      <c r="I87" t="s">
        <v>336</v>
      </c>
      <c r="J87"/>
      <c r="K87" t="s">
        <v>203</v>
      </c>
    </row>
    <row r="88" spans="9:51" x14ac:dyDescent="0.35">
      <c r="I88" t="s">
        <v>337</v>
      </c>
      <c r="J88"/>
      <c r="K88" t="s">
        <v>205</v>
      </c>
    </row>
    <row r="89" spans="9:51" x14ac:dyDescent="0.35">
      <c r="I89" t="s">
        <v>338</v>
      </c>
      <c r="J89"/>
      <c r="K89" t="s">
        <v>232</v>
      </c>
    </row>
    <row r="90" spans="9:51" x14ac:dyDescent="0.35">
      <c r="I90" t="s">
        <v>339</v>
      </c>
      <c r="J90"/>
      <c r="K90" t="s">
        <v>290</v>
      </c>
    </row>
    <row r="91" spans="9:51" x14ac:dyDescent="0.35">
      <c r="I91" t="s">
        <v>340</v>
      </c>
      <c r="J91"/>
      <c r="K91" t="s">
        <v>295</v>
      </c>
    </row>
    <row r="92" spans="9:51" x14ac:dyDescent="0.35">
      <c r="I92" t="s">
        <v>341</v>
      </c>
      <c r="J92"/>
      <c r="K92" t="s">
        <v>174</v>
      </c>
    </row>
    <row r="93" spans="9:51" x14ac:dyDescent="0.35">
      <c r="I93" t="s">
        <v>342</v>
      </c>
      <c r="J93"/>
      <c r="K93" t="s">
        <v>198</v>
      </c>
    </row>
    <row r="94" spans="9:51" x14ac:dyDescent="0.35">
      <c r="I94" t="s">
        <v>343</v>
      </c>
      <c r="J94"/>
      <c r="K94" t="s">
        <v>202</v>
      </c>
    </row>
    <row r="95" spans="9:51" x14ac:dyDescent="0.35">
      <c r="I95" t="s">
        <v>344</v>
      </c>
      <c r="J95"/>
      <c r="K95" t="s">
        <v>229</v>
      </c>
    </row>
  </sheetData>
  <mergeCells count="15">
    <mergeCell ref="A1:C1"/>
    <mergeCell ref="E1:G1"/>
    <mergeCell ref="I1:K1"/>
    <mergeCell ref="M1:O1"/>
    <mergeCell ref="Q1:S1"/>
    <mergeCell ref="BE1:BG1"/>
    <mergeCell ref="BA1:BC1"/>
    <mergeCell ref="AW1:AY1"/>
    <mergeCell ref="AS1:AU1"/>
    <mergeCell ref="U1:W1"/>
    <mergeCell ref="AK1:AM1"/>
    <mergeCell ref="AO1:AQ1"/>
    <mergeCell ref="AG1:AI1"/>
    <mergeCell ref="AC1:AE1"/>
    <mergeCell ref="Y1:AA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B9061-753D-4C5D-88B1-60D2BD7154FD}">
  <sheetPr codeName="Sheet3"/>
  <dimension ref="A1:J303"/>
  <sheetViews>
    <sheetView workbookViewId="0">
      <selection activeCell="F2" sqref="F2"/>
    </sheetView>
  </sheetViews>
  <sheetFormatPr defaultRowHeight="14.5" x14ac:dyDescent="0.35"/>
  <cols>
    <col min="2" max="2" width="11" bestFit="1" customWidth="1"/>
    <col min="4" max="4" width="10.81640625" bestFit="1" customWidth="1"/>
    <col min="5" max="5" width="15" customWidth="1"/>
    <col min="6" max="6" width="67.453125" customWidth="1"/>
  </cols>
  <sheetData>
    <row r="1" spans="1:10" ht="45.65" customHeight="1" x14ac:dyDescent="0.35">
      <c r="A1" s="5" t="s">
        <v>272</v>
      </c>
      <c r="B1" s="5" t="s">
        <v>273</v>
      </c>
      <c r="C1" s="5" t="s">
        <v>274</v>
      </c>
      <c r="D1" s="5" t="s">
        <v>275</v>
      </c>
      <c r="E1" s="35" t="s">
        <v>254</v>
      </c>
      <c r="F1" s="33" t="s">
        <v>538</v>
      </c>
      <c r="G1" s="5"/>
      <c r="H1" s="5"/>
      <c r="I1" s="5"/>
      <c r="J1" s="5"/>
    </row>
    <row r="2" spans="1:10" x14ac:dyDescent="0.35">
      <c r="A2" s="5" t="s">
        <v>276</v>
      </c>
      <c r="B2" s="37" t="s">
        <v>459</v>
      </c>
      <c r="C2" s="5" t="s">
        <v>277</v>
      </c>
      <c r="D2" s="37" t="s">
        <v>537</v>
      </c>
      <c r="E2" s="26" t="b">
        <f>IF(B2="", "",COUNTIF(RawData!D:D,B2)&gt;0)</f>
        <v>0</v>
      </c>
      <c r="G2" s="5"/>
      <c r="H2" s="5"/>
      <c r="I2" s="5"/>
      <c r="J2" s="5"/>
    </row>
    <row r="3" spans="1:10" x14ac:dyDescent="0.35">
      <c r="A3" s="5" t="s">
        <v>386</v>
      </c>
      <c r="B3" s="37" t="s">
        <v>460</v>
      </c>
      <c r="C3" s="5" t="s">
        <v>277</v>
      </c>
      <c r="D3" s="37" t="s">
        <v>537</v>
      </c>
      <c r="E3" s="26" t="b">
        <f>IF(B3="", "",COUNTIF(RawData!D:D,B3)&gt;0)</f>
        <v>0</v>
      </c>
      <c r="F3" s="26"/>
      <c r="G3" s="5"/>
      <c r="H3" s="37"/>
      <c r="I3" s="5"/>
      <c r="J3" s="5"/>
    </row>
    <row r="4" spans="1:10" x14ac:dyDescent="0.35">
      <c r="A4" s="5" t="s">
        <v>387</v>
      </c>
      <c r="B4" s="37" t="s">
        <v>461</v>
      </c>
      <c r="C4" s="5" t="s">
        <v>277</v>
      </c>
      <c r="D4" s="37" t="s">
        <v>537</v>
      </c>
      <c r="E4" s="26" t="b">
        <f>IF(B4="", "",COUNTIF(RawData!D:D,B4)&gt;0)</f>
        <v>0</v>
      </c>
      <c r="F4" s="26"/>
      <c r="G4" s="5"/>
      <c r="H4" s="5"/>
      <c r="I4" s="5"/>
      <c r="J4" s="5"/>
    </row>
    <row r="5" spans="1:10" x14ac:dyDescent="0.35">
      <c r="A5" s="5" t="s">
        <v>388</v>
      </c>
      <c r="B5" s="37" t="s">
        <v>462</v>
      </c>
      <c r="C5" s="5" t="s">
        <v>277</v>
      </c>
      <c r="D5" s="37" t="s">
        <v>537</v>
      </c>
      <c r="E5" s="26" t="b">
        <f>IF(B5="", "",COUNTIF(RawData!D:D,B5)&gt;0)</f>
        <v>0</v>
      </c>
      <c r="F5" s="26"/>
      <c r="G5" s="5"/>
      <c r="H5" s="5"/>
      <c r="I5" s="5"/>
      <c r="J5" s="5"/>
    </row>
    <row r="6" spans="1:10" x14ac:dyDescent="0.35">
      <c r="A6" s="5" t="s">
        <v>389</v>
      </c>
      <c r="B6" s="37" t="s">
        <v>463</v>
      </c>
      <c r="C6" s="5" t="s">
        <v>277</v>
      </c>
      <c r="D6" s="37" t="s">
        <v>537</v>
      </c>
      <c r="E6" s="26" t="b">
        <f>IF(B6="", "",COUNTIF(RawData!D:D,B6)&gt;0)</f>
        <v>0</v>
      </c>
      <c r="F6" s="26"/>
      <c r="G6" s="5"/>
      <c r="H6" s="5"/>
      <c r="I6" s="5"/>
      <c r="J6" s="5"/>
    </row>
    <row r="7" spans="1:10" x14ac:dyDescent="0.35">
      <c r="A7" t="s">
        <v>390</v>
      </c>
      <c r="B7" s="38" t="s">
        <v>464</v>
      </c>
      <c r="C7" t="s">
        <v>277</v>
      </c>
      <c r="D7" s="38" t="s">
        <v>537</v>
      </c>
      <c r="E7" s="26" t="b">
        <f>IF(B7="", "",COUNTIF(RawData!D:D,B7)&gt;0)</f>
        <v>0</v>
      </c>
      <c r="F7" s="26"/>
      <c r="G7" s="5"/>
      <c r="H7" s="5"/>
      <c r="I7" s="5"/>
      <c r="J7" s="5"/>
    </row>
    <row r="8" spans="1:10" x14ac:dyDescent="0.35">
      <c r="A8" t="s">
        <v>391</v>
      </c>
      <c r="B8" s="38" t="s">
        <v>465</v>
      </c>
      <c r="C8" t="s">
        <v>277</v>
      </c>
      <c r="D8" s="38" t="s">
        <v>537</v>
      </c>
      <c r="E8" s="26" t="b">
        <f>IF(B8="", "",COUNTIF(RawData!D:D,B8)&gt;0)</f>
        <v>0</v>
      </c>
      <c r="F8" s="26"/>
      <c r="G8" s="5"/>
      <c r="H8" s="5"/>
      <c r="I8" s="5"/>
      <c r="J8" s="5"/>
    </row>
    <row r="9" spans="1:10" x14ac:dyDescent="0.35">
      <c r="A9" t="s">
        <v>392</v>
      </c>
      <c r="B9" s="38" t="s">
        <v>466</v>
      </c>
      <c r="C9" t="s">
        <v>277</v>
      </c>
      <c r="D9" s="38" t="s">
        <v>537</v>
      </c>
      <c r="E9" s="26" t="b">
        <f>IF(B9="", "",COUNTIF(RawData!D:D,B9)&gt;0)</f>
        <v>0</v>
      </c>
      <c r="F9" s="26"/>
      <c r="G9" s="5"/>
      <c r="H9" s="5"/>
      <c r="I9" s="5"/>
      <c r="J9" s="5"/>
    </row>
    <row r="10" spans="1:10" x14ac:dyDescent="0.35">
      <c r="A10" t="s">
        <v>393</v>
      </c>
      <c r="B10" s="38" t="s">
        <v>467</v>
      </c>
      <c r="C10" t="s">
        <v>277</v>
      </c>
      <c r="D10" s="38" t="s">
        <v>537</v>
      </c>
      <c r="E10" s="26" t="b">
        <f>IF(B10="", "",COUNTIF(RawData!D:D,B10)&gt;0)</f>
        <v>0</v>
      </c>
      <c r="F10" s="26"/>
      <c r="G10" s="5"/>
      <c r="H10" s="5"/>
      <c r="I10" s="5"/>
      <c r="J10" s="5"/>
    </row>
    <row r="11" spans="1:10" x14ac:dyDescent="0.35">
      <c r="A11" t="s">
        <v>394</v>
      </c>
      <c r="B11" s="38" t="s">
        <v>468</v>
      </c>
      <c r="C11" t="s">
        <v>277</v>
      </c>
      <c r="D11" s="38" t="s">
        <v>537</v>
      </c>
      <c r="E11" s="26" t="b">
        <f>IF(B11="", "",COUNTIF(RawData!D:D,B11)&gt;0)</f>
        <v>0</v>
      </c>
      <c r="F11" s="26"/>
      <c r="G11" s="5"/>
      <c r="H11" s="5"/>
      <c r="I11" s="5"/>
      <c r="J11" s="5"/>
    </row>
    <row r="12" spans="1:10" x14ac:dyDescent="0.35">
      <c r="A12" t="s">
        <v>278</v>
      </c>
      <c r="B12" s="38" t="s">
        <v>469</v>
      </c>
      <c r="C12" t="s">
        <v>277</v>
      </c>
      <c r="D12" s="38" t="s">
        <v>537</v>
      </c>
      <c r="E12" s="26" t="b">
        <f>IF(B12="", "",COUNTIF(RawData!D:D,B12)&gt;0)</f>
        <v>0</v>
      </c>
      <c r="F12" s="26"/>
      <c r="G12" s="5"/>
      <c r="H12" s="5"/>
      <c r="I12" s="5"/>
      <c r="J12" s="5"/>
    </row>
    <row r="13" spans="1:10" x14ac:dyDescent="0.35">
      <c r="A13" t="s">
        <v>395</v>
      </c>
      <c r="B13" s="38" t="s">
        <v>470</v>
      </c>
      <c r="C13" t="s">
        <v>277</v>
      </c>
      <c r="D13" s="38" t="s">
        <v>537</v>
      </c>
      <c r="E13" s="26" t="b">
        <f>IF(B13="", "",COUNTIF(RawData!D:D,B13)&gt;0)</f>
        <v>0</v>
      </c>
      <c r="F13" s="26"/>
      <c r="G13" s="5"/>
      <c r="H13" s="5"/>
      <c r="I13" s="5"/>
      <c r="J13" s="5"/>
    </row>
    <row r="14" spans="1:10" x14ac:dyDescent="0.35">
      <c r="A14" t="s">
        <v>396</v>
      </c>
      <c r="B14" s="38" t="s">
        <v>471</v>
      </c>
      <c r="C14" t="s">
        <v>277</v>
      </c>
      <c r="D14" s="38" t="s">
        <v>537</v>
      </c>
      <c r="E14" s="26" t="b">
        <f>IF(B14="", "",COUNTIF(RawData!D:D,B14)&gt;0)</f>
        <v>0</v>
      </c>
      <c r="F14" s="26"/>
      <c r="G14" s="5"/>
      <c r="H14" s="5"/>
      <c r="I14" s="5"/>
      <c r="J14" s="5"/>
    </row>
    <row r="15" spans="1:10" x14ac:dyDescent="0.35">
      <c r="A15" t="s">
        <v>397</v>
      </c>
      <c r="B15" s="38" t="s">
        <v>472</v>
      </c>
      <c r="C15" t="s">
        <v>277</v>
      </c>
      <c r="D15" s="38" t="s">
        <v>537</v>
      </c>
      <c r="E15" s="26" t="b">
        <f>IF(B15="", "",COUNTIF(RawData!D:D,B15)&gt;0)</f>
        <v>0</v>
      </c>
      <c r="F15" s="26"/>
      <c r="G15" s="5"/>
      <c r="H15" s="5"/>
      <c r="I15" s="5"/>
      <c r="J15" s="5"/>
    </row>
    <row r="16" spans="1:10" x14ac:dyDescent="0.35">
      <c r="A16" t="s">
        <v>398</v>
      </c>
      <c r="B16" s="38" t="s">
        <v>473</v>
      </c>
      <c r="C16" t="s">
        <v>277</v>
      </c>
      <c r="D16" s="38" t="s">
        <v>537</v>
      </c>
      <c r="E16" s="26" t="b">
        <f>IF(B16="", "",COUNTIF(RawData!D:D,B16)&gt;0)</f>
        <v>0</v>
      </c>
      <c r="F16" s="26"/>
      <c r="G16" s="5"/>
      <c r="H16" s="5"/>
      <c r="I16" s="5"/>
      <c r="J16" s="5"/>
    </row>
    <row r="17" spans="1:10" x14ac:dyDescent="0.35">
      <c r="A17" t="s">
        <v>399</v>
      </c>
      <c r="B17" s="38" t="s">
        <v>474</v>
      </c>
      <c r="C17" t="s">
        <v>277</v>
      </c>
      <c r="D17" s="38" t="s">
        <v>537</v>
      </c>
      <c r="E17" s="26" t="b">
        <f>IF(B17="", "",COUNTIF(RawData!D:D,B17)&gt;0)</f>
        <v>0</v>
      </c>
      <c r="F17" s="26"/>
      <c r="G17" s="5"/>
      <c r="H17" s="5"/>
      <c r="I17" s="5"/>
      <c r="J17" s="5"/>
    </row>
    <row r="18" spans="1:10" x14ac:dyDescent="0.35">
      <c r="A18" t="s">
        <v>400</v>
      </c>
      <c r="B18" s="38" t="s">
        <v>475</v>
      </c>
      <c r="C18" t="s">
        <v>277</v>
      </c>
      <c r="D18" s="38" t="s">
        <v>537</v>
      </c>
      <c r="E18" s="26" t="b">
        <f>IF(B18="", "",COUNTIF(RawData!D:D,B18)&gt;0)</f>
        <v>0</v>
      </c>
      <c r="F18" s="26"/>
      <c r="G18" s="5"/>
      <c r="H18" s="5"/>
      <c r="I18" s="5"/>
      <c r="J18" s="5"/>
    </row>
    <row r="19" spans="1:10" x14ac:dyDescent="0.35">
      <c r="A19" t="s">
        <v>401</v>
      </c>
      <c r="B19" s="38" t="s">
        <v>476</v>
      </c>
      <c r="C19" t="s">
        <v>277</v>
      </c>
      <c r="D19" s="38" t="s">
        <v>537</v>
      </c>
      <c r="E19" s="26" t="b">
        <f>IF(B19="", "",COUNTIF(RawData!D:D,B19)&gt;0)</f>
        <v>0</v>
      </c>
      <c r="F19" s="26"/>
      <c r="G19" s="5"/>
      <c r="H19" s="5"/>
      <c r="I19" s="5"/>
      <c r="J19" s="5"/>
    </row>
    <row r="20" spans="1:10" x14ac:dyDescent="0.35">
      <c r="A20" t="s">
        <v>402</v>
      </c>
      <c r="B20" s="38" t="s">
        <v>477</v>
      </c>
      <c r="C20" t="s">
        <v>277</v>
      </c>
      <c r="D20" s="38" t="s">
        <v>537</v>
      </c>
      <c r="E20" s="26" t="b">
        <f>IF(B20="", "",COUNTIF(RawData!D:D,B20)&gt;0)</f>
        <v>0</v>
      </c>
      <c r="F20" s="26"/>
      <c r="G20" s="5"/>
      <c r="H20" s="5"/>
      <c r="I20" s="5"/>
      <c r="J20" s="5"/>
    </row>
    <row r="21" spans="1:10" x14ac:dyDescent="0.35">
      <c r="A21" t="s">
        <v>403</v>
      </c>
      <c r="B21" s="38" t="s">
        <v>478</v>
      </c>
      <c r="C21" t="s">
        <v>277</v>
      </c>
      <c r="D21" s="38" t="s">
        <v>537</v>
      </c>
      <c r="E21" s="26" t="b">
        <f>IF(B21="", "",COUNTIF(RawData!D:D,B21)&gt;0)</f>
        <v>0</v>
      </c>
      <c r="F21" s="26"/>
      <c r="G21" s="5"/>
      <c r="H21" s="5"/>
      <c r="I21" s="5"/>
      <c r="J21" s="5"/>
    </row>
    <row r="22" spans="1:10" x14ac:dyDescent="0.35">
      <c r="A22" t="s">
        <v>279</v>
      </c>
      <c r="B22" s="38" t="s">
        <v>479</v>
      </c>
      <c r="C22" t="s">
        <v>277</v>
      </c>
      <c r="D22" s="38" t="s">
        <v>537</v>
      </c>
      <c r="E22" s="26" t="b">
        <f>IF(B22="", "",COUNTIF(RawData!D:D,B22)&gt;0)</f>
        <v>0</v>
      </c>
      <c r="F22" s="26"/>
      <c r="G22" s="5"/>
      <c r="H22" s="5"/>
      <c r="I22" s="5"/>
      <c r="J22" s="5"/>
    </row>
    <row r="23" spans="1:10" x14ac:dyDescent="0.35">
      <c r="A23" t="s">
        <v>404</v>
      </c>
      <c r="B23" s="38" t="s">
        <v>480</v>
      </c>
      <c r="C23" t="s">
        <v>277</v>
      </c>
      <c r="D23" s="38" t="s">
        <v>537</v>
      </c>
      <c r="E23" s="26" t="b">
        <f>IF(B23="", "",COUNTIF(RawData!D:D,B23)&gt;0)</f>
        <v>0</v>
      </c>
      <c r="F23" s="26"/>
      <c r="G23" s="5"/>
      <c r="H23" s="5"/>
      <c r="I23" s="5"/>
      <c r="J23" s="5"/>
    </row>
    <row r="24" spans="1:10" x14ac:dyDescent="0.35">
      <c r="A24" t="s">
        <v>405</v>
      </c>
      <c r="B24" s="38" t="s">
        <v>481</v>
      </c>
      <c r="C24" t="s">
        <v>277</v>
      </c>
      <c r="D24" s="38" t="s">
        <v>537</v>
      </c>
      <c r="E24" s="26" t="b">
        <f>IF(B24="", "",COUNTIF(RawData!D:D,B24)&gt;0)</f>
        <v>0</v>
      </c>
      <c r="F24" s="26"/>
      <c r="G24" s="5"/>
      <c r="H24" s="5"/>
      <c r="I24" s="5"/>
      <c r="J24" s="5"/>
    </row>
    <row r="25" spans="1:10" x14ac:dyDescent="0.35">
      <c r="A25" t="s">
        <v>406</v>
      </c>
      <c r="B25" s="38" t="s">
        <v>482</v>
      </c>
      <c r="C25" t="s">
        <v>277</v>
      </c>
      <c r="D25" s="38" t="s">
        <v>537</v>
      </c>
      <c r="E25" s="26" t="b">
        <f>IF(B25="", "",COUNTIF(RawData!D:D,B25)&gt;0)</f>
        <v>0</v>
      </c>
      <c r="F25" s="26"/>
      <c r="G25" s="5"/>
      <c r="H25" s="5"/>
      <c r="I25" s="5"/>
      <c r="J25" s="5"/>
    </row>
    <row r="26" spans="1:10" x14ac:dyDescent="0.35">
      <c r="A26" t="s">
        <v>407</v>
      </c>
      <c r="B26" s="38" t="s">
        <v>483</v>
      </c>
      <c r="C26" t="s">
        <v>277</v>
      </c>
      <c r="D26" s="38" t="s">
        <v>537</v>
      </c>
      <c r="E26" s="26" t="b">
        <f>IF(B26="", "",COUNTIF(RawData!D:D,B26)&gt;0)</f>
        <v>0</v>
      </c>
      <c r="G26" s="5"/>
      <c r="H26" s="5"/>
      <c r="I26" s="5"/>
      <c r="J26" s="5"/>
    </row>
    <row r="27" spans="1:10" x14ac:dyDescent="0.35">
      <c r="A27" t="s">
        <v>408</v>
      </c>
      <c r="B27" s="38" t="s">
        <v>484</v>
      </c>
      <c r="C27" t="s">
        <v>277</v>
      </c>
      <c r="D27" s="38" t="s">
        <v>537</v>
      </c>
      <c r="E27" s="26" t="b">
        <f>IF(B27="", "",COUNTIF(RawData!D:D,B27)&gt;0)</f>
        <v>0</v>
      </c>
      <c r="G27" s="5"/>
      <c r="H27" s="5"/>
      <c r="I27" s="5"/>
      <c r="J27" s="5"/>
    </row>
    <row r="28" spans="1:10" x14ac:dyDescent="0.35">
      <c r="A28" t="s">
        <v>409</v>
      </c>
      <c r="B28" s="38" t="s">
        <v>485</v>
      </c>
      <c r="C28" t="s">
        <v>277</v>
      </c>
      <c r="D28" s="38" t="s">
        <v>537</v>
      </c>
      <c r="E28" s="26" t="b">
        <f>IF(B28="", "",COUNTIF(RawData!D:D,B28)&gt;0)</f>
        <v>0</v>
      </c>
      <c r="G28" s="5"/>
      <c r="H28" s="5"/>
      <c r="I28" s="5"/>
      <c r="J28" s="5"/>
    </row>
    <row r="29" spans="1:10" x14ac:dyDescent="0.35">
      <c r="A29" t="s">
        <v>410</v>
      </c>
      <c r="B29" s="38" t="s">
        <v>486</v>
      </c>
      <c r="C29" t="s">
        <v>277</v>
      </c>
      <c r="D29" s="38" t="s">
        <v>537</v>
      </c>
      <c r="E29" s="26" t="b">
        <f>IF(B29="", "",COUNTIF(RawData!D:D,B29)&gt;0)</f>
        <v>0</v>
      </c>
      <c r="G29" s="5"/>
      <c r="H29" s="5"/>
      <c r="I29" s="5"/>
      <c r="J29" s="5"/>
    </row>
    <row r="30" spans="1:10" x14ac:dyDescent="0.35">
      <c r="A30" t="s">
        <v>411</v>
      </c>
      <c r="B30" s="38" t="s">
        <v>487</v>
      </c>
      <c r="C30" t="s">
        <v>277</v>
      </c>
      <c r="D30" s="38" t="s">
        <v>537</v>
      </c>
      <c r="E30" s="26" t="b">
        <f>IF(B30="", "",COUNTIF(RawData!D:D,B30)&gt;0)</f>
        <v>0</v>
      </c>
      <c r="G30" s="5"/>
      <c r="H30" s="5"/>
      <c r="I30" s="5"/>
      <c r="J30" s="5"/>
    </row>
    <row r="31" spans="1:10" x14ac:dyDescent="0.35">
      <c r="A31" t="s">
        <v>412</v>
      </c>
      <c r="B31" s="38" t="s">
        <v>488</v>
      </c>
      <c r="C31" t="s">
        <v>277</v>
      </c>
      <c r="D31" s="38" t="s">
        <v>537</v>
      </c>
      <c r="E31" s="26" t="b">
        <f>IF(B31="", "",COUNTIF(RawData!D:D,B31)&gt;0)</f>
        <v>0</v>
      </c>
      <c r="G31" s="5"/>
      <c r="H31" s="5"/>
      <c r="I31" s="5"/>
      <c r="J31" s="5"/>
    </row>
    <row r="32" spans="1:10" x14ac:dyDescent="0.35">
      <c r="A32" t="s">
        <v>280</v>
      </c>
      <c r="B32" s="38" t="s">
        <v>489</v>
      </c>
      <c r="C32" t="s">
        <v>277</v>
      </c>
      <c r="D32" s="38" t="s">
        <v>537</v>
      </c>
      <c r="E32" s="26" t="b">
        <f>IF(B32="", "",COUNTIF(RawData!D:D,B32)&gt;0)</f>
        <v>0</v>
      </c>
      <c r="G32" s="5"/>
      <c r="H32" s="5"/>
      <c r="I32" s="5"/>
      <c r="J32" s="5"/>
    </row>
    <row r="33" spans="1:10" x14ac:dyDescent="0.35">
      <c r="A33" t="s">
        <v>413</v>
      </c>
      <c r="B33" s="38" t="s">
        <v>490</v>
      </c>
      <c r="C33" t="s">
        <v>277</v>
      </c>
      <c r="D33" s="38" t="s">
        <v>537</v>
      </c>
      <c r="E33" s="26" t="b">
        <f>IF(B33="", "",COUNTIF(RawData!D:D,B33)&gt;0)</f>
        <v>0</v>
      </c>
      <c r="G33" s="5"/>
      <c r="H33" s="5"/>
      <c r="I33" s="5"/>
      <c r="J33" s="5"/>
    </row>
    <row r="34" spans="1:10" x14ac:dyDescent="0.35">
      <c r="A34" t="s">
        <v>414</v>
      </c>
      <c r="B34" s="38" t="s">
        <v>491</v>
      </c>
      <c r="C34" t="s">
        <v>277</v>
      </c>
      <c r="D34" s="38" t="s">
        <v>537</v>
      </c>
      <c r="E34" s="26" t="b">
        <f>IF(B34="", "",COUNTIF(RawData!D:D,B34)&gt;0)</f>
        <v>0</v>
      </c>
      <c r="G34" s="5"/>
      <c r="H34" s="5"/>
      <c r="I34" s="5"/>
      <c r="J34" s="5"/>
    </row>
    <row r="35" spans="1:10" x14ac:dyDescent="0.35">
      <c r="A35" t="s">
        <v>415</v>
      </c>
      <c r="B35" s="38" t="s">
        <v>492</v>
      </c>
      <c r="C35" t="s">
        <v>277</v>
      </c>
      <c r="D35" s="38" t="s">
        <v>537</v>
      </c>
      <c r="E35" s="26" t="b">
        <f>IF(B35="", "",COUNTIF(RawData!D:D,B35)&gt;0)</f>
        <v>0</v>
      </c>
      <c r="G35" s="5"/>
      <c r="H35" s="5"/>
      <c r="I35" s="5"/>
      <c r="J35" s="5"/>
    </row>
    <row r="36" spans="1:10" x14ac:dyDescent="0.35">
      <c r="A36" t="s">
        <v>416</v>
      </c>
      <c r="B36" s="38" t="s">
        <v>493</v>
      </c>
      <c r="C36" t="s">
        <v>277</v>
      </c>
      <c r="D36" s="38" t="s">
        <v>537</v>
      </c>
      <c r="E36" s="26" t="b">
        <f>IF(B36="", "",COUNTIF(RawData!D:D,B36)&gt;0)</f>
        <v>0</v>
      </c>
      <c r="G36" s="5"/>
      <c r="H36" s="5"/>
      <c r="I36" s="5"/>
      <c r="J36" s="5"/>
    </row>
    <row r="37" spans="1:10" x14ac:dyDescent="0.35">
      <c r="A37" t="s">
        <v>417</v>
      </c>
      <c r="B37" s="38" t="s">
        <v>494</v>
      </c>
      <c r="C37" t="s">
        <v>277</v>
      </c>
      <c r="D37" s="38" t="s">
        <v>537</v>
      </c>
      <c r="E37" s="26" t="b">
        <f>IF(B37="", "",COUNTIF(RawData!D:D,B37)&gt;0)</f>
        <v>0</v>
      </c>
      <c r="G37" s="5"/>
      <c r="H37" s="5"/>
      <c r="I37" s="5"/>
      <c r="J37" s="5"/>
    </row>
    <row r="38" spans="1:10" x14ac:dyDescent="0.35">
      <c r="A38" t="s">
        <v>418</v>
      </c>
      <c r="B38" s="38" t="s">
        <v>495</v>
      </c>
      <c r="C38" t="s">
        <v>277</v>
      </c>
      <c r="D38" s="38" t="s">
        <v>537</v>
      </c>
      <c r="E38" s="26" t="b">
        <f>IF(B38="", "",COUNTIF(RawData!D:D,B38)&gt;0)</f>
        <v>0</v>
      </c>
      <c r="G38" s="5"/>
      <c r="H38" s="5"/>
      <c r="I38" s="5"/>
      <c r="J38" s="5"/>
    </row>
    <row r="39" spans="1:10" x14ac:dyDescent="0.35">
      <c r="A39" t="s">
        <v>419</v>
      </c>
      <c r="B39" s="38" t="s">
        <v>496</v>
      </c>
      <c r="C39" t="s">
        <v>277</v>
      </c>
      <c r="D39" s="38" t="s">
        <v>537</v>
      </c>
      <c r="E39" s="26" t="b">
        <f>IF(B39="", "",COUNTIF(RawData!D:D,B39)&gt;0)</f>
        <v>0</v>
      </c>
      <c r="G39" s="5"/>
      <c r="H39" s="5"/>
      <c r="I39" s="5"/>
      <c r="J39" s="5"/>
    </row>
    <row r="40" spans="1:10" x14ac:dyDescent="0.35">
      <c r="A40" t="s">
        <v>420</v>
      </c>
      <c r="B40" s="38" t="s">
        <v>497</v>
      </c>
      <c r="C40" t="s">
        <v>277</v>
      </c>
      <c r="D40" s="38" t="s">
        <v>537</v>
      </c>
      <c r="E40" s="26" t="b">
        <f>IF(B40="", "",COUNTIF(RawData!D:D,B40)&gt;0)</f>
        <v>0</v>
      </c>
      <c r="G40" s="5"/>
      <c r="H40" s="5"/>
      <c r="I40" s="5"/>
      <c r="J40" s="5"/>
    </row>
    <row r="41" spans="1:10" x14ac:dyDescent="0.35">
      <c r="A41" t="s">
        <v>421</v>
      </c>
      <c r="B41" s="38" t="s">
        <v>498</v>
      </c>
      <c r="C41" t="s">
        <v>277</v>
      </c>
      <c r="D41" s="38" t="s">
        <v>537</v>
      </c>
      <c r="E41" s="26" t="b">
        <f>IF(B41="", "",COUNTIF(RawData!D:D,B41)&gt;0)</f>
        <v>0</v>
      </c>
      <c r="G41" s="5"/>
      <c r="H41" s="5"/>
      <c r="I41" s="5"/>
      <c r="J41" s="5"/>
    </row>
    <row r="42" spans="1:10" x14ac:dyDescent="0.35">
      <c r="A42" t="s">
        <v>422</v>
      </c>
      <c r="B42" s="38" t="s">
        <v>499</v>
      </c>
      <c r="C42" t="s">
        <v>277</v>
      </c>
      <c r="D42" s="38" t="s">
        <v>537</v>
      </c>
      <c r="E42" s="26" t="b">
        <f>IF(B42="", "",COUNTIF(RawData!D:D,B42)&gt;0)</f>
        <v>0</v>
      </c>
      <c r="G42" s="5"/>
      <c r="H42" s="5"/>
      <c r="I42" s="5"/>
      <c r="J42" s="5"/>
    </row>
    <row r="43" spans="1:10" x14ac:dyDescent="0.35">
      <c r="A43" t="s">
        <v>423</v>
      </c>
      <c r="B43" s="38" t="s">
        <v>500</v>
      </c>
      <c r="C43" t="s">
        <v>277</v>
      </c>
      <c r="D43" s="38" t="s">
        <v>537</v>
      </c>
      <c r="E43" s="26" t="b">
        <f>IF(B43="", "",COUNTIF(RawData!D:D,B43)&gt;0)</f>
        <v>0</v>
      </c>
      <c r="G43" s="5"/>
      <c r="H43" s="5"/>
      <c r="I43" s="5"/>
      <c r="J43" s="5"/>
    </row>
    <row r="44" spans="1:10" x14ac:dyDescent="0.35">
      <c r="A44" t="s">
        <v>424</v>
      </c>
      <c r="B44" s="38" t="s">
        <v>501</v>
      </c>
      <c r="C44" t="s">
        <v>277</v>
      </c>
      <c r="D44" s="38" t="s">
        <v>537</v>
      </c>
      <c r="E44" s="26" t="b">
        <f>IF(B44="", "",COUNTIF(RawData!D:D,B44)&gt;0)</f>
        <v>0</v>
      </c>
      <c r="G44" s="5"/>
      <c r="H44" s="5"/>
      <c r="I44" s="5"/>
      <c r="J44" s="5"/>
    </row>
    <row r="45" spans="1:10" x14ac:dyDescent="0.35">
      <c r="A45" t="s">
        <v>425</v>
      </c>
      <c r="B45" s="38" t="s">
        <v>502</v>
      </c>
      <c r="C45" t="s">
        <v>277</v>
      </c>
      <c r="D45" s="38" t="s">
        <v>537</v>
      </c>
      <c r="E45" s="26" t="b">
        <f>IF(B45="", "",COUNTIF(RawData!D:D,B45)&gt;0)</f>
        <v>0</v>
      </c>
      <c r="G45" s="5"/>
      <c r="H45" s="5"/>
      <c r="I45" s="5"/>
      <c r="J45" s="5"/>
    </row>
    <row r="46" spans="1:10" x14ac:dyDescent="0.35">
      <c r="A46" t="s">
        <v>426</v>
      </c>
      <c r="B46" s="38" t="s">
        <v>503</v>
      </c>
      <c r="C46" t="s">
        <v>277</v>
      </c>
      <c r="D46" s="38" t="s">
        <v>537</v>
      </c>
      <c r="E46" s="26" t="b">
        <f>IF(B46="", "",COUNTIF(RawData!D:D,B46)&gt;0)</f>
        <v>0</v>
      </c>
      <c r="G46" s="5"/>
      <c r="H46" s="5"/>
      <c r="I46" s="5"/>
      <c r="J46" s="5"/>
    </row>
    <row r="47" spans="1:10" x14ac:dyDescent="0.35">
      <c r="A47" t="s">
        <v>427</v>
      </c>
      <c r="B47" s="38" t="s">
        <v>504</v>
      </c>
      <c r="C47" t="s">
        <v>277</v>
      </c>
      <c r="D47" s="38" t="s">
        <v>537</v>
      </c>
      <c r="E47" s="26" t="b">
        <f>IF(B47="", "",COUNTIF(RawData!D:D,B47)&gt;0)</f>
        <v>0</v>
      </c>
      <c r="G47" s="5"/>
      <c r="H47" s="5"/>
      <c r="I47" s="5"/>
      <c r="J47" s="5"/>
    </row>
    <row r="48" spans="1:10" x14ac:dyDescent="0.35">
      <c r="A48" t="s">
        <v>428</v>
      </c>
      <c r="B48" s="38" t="s">
        <v>505</v>
      </c>
      <c r="C48" t="s">
        <v>277</v>
      </c>
      <c r="D48" s="38" t="s">
        <v>537</v>
      </c>
      <c r="E48" s="26" t="b">
        <f>IF(B48="", "",COUNTIF(RawData!D:D,B48)&gt;0)</f>
        <v>0</v>
      </c>
      <c r="G48" s="5"/>
      <c r="H48" s="5"/>
      <c r="I48" s="5"/>
      <c r="J48" s="5"/>
    </row>
    <row r="49" spans="1:10" x14ac:dyDescent="0.35">
      <c r="A49" t="s">
        <v>429</v>
      </c>
      <c r="B49" s="38" t="s">
        <v>506</v>
      </c>
      <c r="C49" t="s">
        <v>277</v>
      </c>
      <c r="D49" s="38" t="s">
        <v>537</v>
      </c>
      <c r="E49" s="26" t="b">
        <f>IF(B49="", "",COUNTIF(RawData!D:D,B49)&gt;0)</f>
        <v>0</v>
      </c>
      <c r="G49" s="5"/>
      <c r="H49" s="5"/>
      <c r="I49" s="5"/>
      <c r="J49" s="5"/>
    </row>
    <row r="50" spans="1:10" x14ac:dyDescent="0.35">
      <c r="A50" t="s">
        <v>430</v>
      </c>
      <c r="B50" s="38" t="s">
        <v>507</v>
      </c>
      <c r="C50" t="s">
        <v>277</v>
      </c>
      <c r="D50" s="38" t="s">
        <v>537</v>
      </c>
      <c r="E50" s="26" t="b">
        <f>IF(B50="", "",COUNTIF(RawData!D:D,B50)&gt;0)</f>
        <v>0</v>
      </c>
      <c r="G50" s="5"/>
      <c r="H50" s="5"/>
      <c r="I50" s="5"/>
      <c r="J50" s="5"/>
    </row>
    <row r="51" spans="1:10" x14ac:dyDescent="0.35">
      <c r="A51" t="s">
        <v>431</v>
      </c>
      <c r="B51" s="38" t="s">
        <v>508</v>
      </c>
      <c r="C51" t="s">
        <v>277</v>
      </c>
      <c r="D51" s="38" t="s">
        <v>537</v>
      </c>
      <c r="E51" s="26" t="b">
        <f>IF(B51="", "",COUNTIF(RawData!D:D,B51)&gt;0)</f>
        <v>0</v>
      </c>
      <c r="G51" s="5"/>
      <c r="H51" s="5"/>
      <c r="I51" s="5"/>
      <c r="J51" s="5"/>
    </row>
    <row r="52" spans="1:10" x14ac:dyDescent="0.35">
      <c r="A52" t="s">
        <v>380</v>
      </c>
      <c r="B52" s="38" t="s">
        <v>509</v>
      </c>
      <c r="C52" t="s">
        <v>277</v>
      </c>
      <c r="D52" s="38" t="s">
        <v>537</v>
      </c>
      <c r="E52" s="26" t="b">
        <f>IF(B52="", "",COUNTIF(RawData!D:D,B52)&gt;0)</f>
        <v>0</v>
      </c>
      <c r="G52" s="5"/>
      <c r="H52" s="5"/>
      <c r="I52" s="5"/>
      <c r="J52" s="5"/>
    </row>
    <row r="53" spans="1:10" x14ac:dyDescent="0.35">
      <c r="A53" t="s">
        <v>432</v>
      </c>
      <c r="B53" s="38" t="s">
        <v>510</v>
      </c>
      <c r="C53" t="s">
        <v>277</v>
      </c>
      <c r="D53" s="38" t="s">
        <v>537</v>
      </c>
      <c r="E53" s="26" t="b">
        <f>IF(B53="", "",COUNTIF(RawData!D:D,B53)&gt;0)</f>
        <v>0</v>
      </c>
      <c r="G53" s="5"/>
      <c r="H53" s="5"/>
      <c r="I53" s="5"/>
      <c r="J53" s="5"/>
    </row>
    <row r="54" spans="1:10" x14ac:dyDescent="0.35">
      <c r="A54" t="s">
        <v>433</v>
      </c>
      <c r="B54" s="38" t="s">
        <v>511</v>
      </c>
      <c r="C54" t="s">
        <v>277</v>
      </c>
      <c r="D54" s="38" t="s">
        <v>537</v>
      </c>
      <c r="E54" s="26" t="b">
        <f>IF(B54="", "",COUNTIF(RawData!D:D,B54)&gt;0)</f>
        <v>0</v>
      </c>
      <c r="G54" s="5"/>
      <c r="H54" s="5"/>
      <c r="I54" s="5"/>
      <c r="J54" s="5"/>
    </row>
    <row r="55" spans="1:10" x14ac:dyDescent="0.35">
      <c r="A55" t="s">
        <v>434</v>
      </c>
      <c r="B55" s="38" t="s">
        <v>512</v>
      </c>
      <c r="C55" t="s">
        <v>277</v>
      </c>
      <c r="D55" s="38" t="s">
        <v>537</v>
      </c>
      <c r="E55" s="26" t="b">
        <f>IF(B55="", "",COUNTIF(RawData!D:D,B55)&gt;0)</f>
        <v>0</v>
      </c>
      <c r="G55" s="5"/>
      <c r="H55" s="5"/>
      <c r="I55" s="5"/>
      <c r="J55" s="5"/>
    </row>
    <row r="56" spans="1:10" x14ac:dyDescent="0.35">
      <c r="A56" t="s">
        <v>435</v>
      </c>
      <c r="B56" s="38" t="s">
        <v>513</v>
      </c>
      <c r="C56" t="s">
        <v>277</v>
      </c>
      <c r="D56" s="38" t="s">
        <v>537</v>
      </c>
      <c r="E56" s="26" t="b">
        <f>IF(B56="", "",COUNTIF(RawData!D:D,B56)&gt;0)</f>
        <v>0</v>
      </c>
      <c r="G56" s="5"/>
      <c r="H56" s="5"/>
      <c r="I56" s="5"/>
      <c r="J56" s="5"/>
    </row>
    <row r="57" spans="1:10" x14ac:dyDescent="0.35">
      <c r="A57" t="s">
        <v>436</v>
      </c>
      <c r="B57" s="38" t="s">
        <v>514</v>
      </c>
      <c r="C57" t="s">
        <v>277</v>
      </c>
      <c r="D57" s="38" t="s">
        <v>537</v>
      </c>
      <c r="E57" s="26" t="b">
        <f>IF(B57="", "",COUNTIF(RawData!D:D,B57)&gt;0)</f>
        <v>0</v>
      </c>
      <c r="G57" s="5"/>
      <c r="H57" s="5"/>
      <c r="I57" s="5"/>
      <c r="J57" s="5"/>
    </row>
    <row r="58" spans="1:10" x14ac:dyDescent="0.35">
      <c r="A58" t="s">
        <v>437</v>
      </c>
      <c r="B58" s="38" t="s">
        <v>515</v>
      </c>
      <c r="C58" t="s">
        <v>277</v>
      </c>
      <c r="D58" s="38" t="s">
        <v>537</v>
      </c>
      <c r="E58" s="26" t="b">
        <f>IF(B58="", "",COUNTIF(RawData!D:D,B58)&gt;0)</f>
        <v>0</v>
      </c>
      <c r="G58" s="5"/>
      <c r="H58" s="5"/>
      <c r="I58" s="5"/>
      <c r="J58" s="5"/>
    </row>
    <row r="59" spans="1:10" x14ac:dyDescent="0.35">
      <c r="A59" t="s">
        <v>438</v>
      </c>
      <c r="B59" s="38" t="s">
        <v>516</v>
      </c>
      <c r="C59" t="s">
        <v>277</v>
      </c>
      <c r="D59" s="38" t="s">
        <v>537</v>
      </c>
      <c r="E59" s="26" t="b">
        <f>IF(B59="", "",COUNTIF(RawData!D:D,B59)&gt;0)</f>
        <v>0</v>
      </c>
      <c r="G59" s="5"/>
      <c r="H59" s="5"/>
      <c r="I59" s="5"/>
      <c r="J59" s="5"/>
    </row>
    <row r="60" spans="1:10" x14ac:dyDescent="0.35">
      <c r="A60" t="s">
        <v>439</v>
      </c>
      <c r="B60" s="38" t="s">
        <v>517</v>
      </c>
      <c r="C60" t="s">
        <v>277</v>
      </c>
      <c r="D60" s="38" t="s">
        <v>537</v>
      </c>
      <c r="E60" s="26" t="b">
        <f>IF(B60="", "",COUNTIF(RawData!D:D,B60)&gt;0)</f>
        <v>0</v>
      </c>
      <c r="G60" s="5"/>
      <c r="H60" s="5"/>
      <c r="I60" s="5"/>
      <c r="J60" s="5"/>
    </row>
    <row r="61" spans="1:10" x14ac:dyDescent="0.35">
      <c r="A61" t="s">
        <v>440</v>
      </c>
      <c r="B61" s="38" t="s">
        <v>518</v>
      </c>
      <c r="C61" t="s">
        <v>277</v>
      </c>
      <c r="D61" s="38" t="s">
        <v>537</v>
      </c>
      <c r="E61" s="26" t="b">
        <f>IF(B61="", "",COUNTIF(RawData!D:D,B61)&gt;0)</f>
        <v>0</v>
      </c>
      <c r="G61" s="5"/>
      <c r="H61" s="5"/>
      <c r="I61" s="5"/>
      <c r="J61" s="5"/>
    </row>
    <row r="62" spans="1:10" x14ac:dyDescent="0.35">
      <c r="A62" t="s">
        <v>441</v>
      </c>
      <c r="B62" s="38" t="s">
        <v>519</v>
      </c>
      <c r="C62" t="s">
        <v>277</v>
      </c>
      <c r="D62" s="38" t="s">
        <v>537</v>
      </c>
      <c r="E62" s="26" t="b">
        <f>IF(B62="", "",COUNTIF(RawData!D:D,B62)&gt;0)</f>
        <v>0</v>
      </c>
      <c r="G62" s="5"/>
      <c r="H62" s="5"/>
      <c r="I62" s="5"/>
      <c r="J62" s="5"/>
    </row>
    <row r="63" spans="1:10" x14ac:dyDescent="0.35">
      <c r="A63" t="s">
        <v>442</v>
      </c>
      <c r="B63" s="38" t="s">
        <v>520</v>
      </c>
      <c r="C63" t="s">
        <v>277</v>
      </c>
      <c r="D63" s="38" t="s">
        <v>537</v>
      </c>
      <c r="E63" s="26" t="b">
        <f>IF(B63="", "",COUNTIF(RawData!D:D,B63)&gt;0)</f>
        <v>0</v>
      </c>
      <c r="G63" s="5"/>
      <c r="H63" s="5"/>
      <c r="I63" s="5"/>
      <c r="J63" s="5"/>
    </row>
    <row r="64" spans="1:10" x14ac:dyDescent="0.35">
      <c r="A64" t="s">
        <v>443</v>
      </c>
      <c r="B64" s="38" t="s">
        <v>521</v>
      </c>
      <c r="C64" t="s">
        <v>277</v>
      </c>
      <c r="D64" s="38" t="s">
        <v>537</v>
      </c>
      <c r="E64" s="26" t="b">
        <f>IF(B64="", "",COUNTIF(RawData!D:D,B64)&gt;0)</f>
        <v>0</v>
      </c>
      <c r="G64" s="5"/>
      <c r="H64" s="5"/>
      <c r="I64" s="5"/>
      <c r="J64" s="5"/>
    </row>
    <row r="65" spans="1:10" x14ac:dyDescent="0.35">
      <c r="A65" t="s">
        <v>444</v>
      </c>
      <c r="B65" s="38" t="s">
        <v>522</v>
      </c>
      <c r="C65" t="s">
        <v>277</v>
      </c>
      <c r="D65" s="38" t="s">
        <v>537</v>
      </c>
      <c r="E65" s="26" t="b">
        <f>IF(B65="", "",COUNTIF(RawData!D:D,B65)&gt;0)</f>
        <v>0</v>
      </c>
      <c r="G65" s="5"/>
      <c r="H65" s="5"/>
      <c r="I65" s="5"/>
      <c r="J65" s="5"/>
    </row>
    <row r="66" spans="1:10" x14ac:dyDescent="0.35">
      <c r="A66" t="s">
        <v>445</v>
      </c>
      <c r="B66" s="38" t="s">
        <v>523</v>
      </c>
      <c r="C66" t="s">
        <v>277</v>
      </c>
      <c r="D66" s="38" t="s">
        <v>537</v>
      </c>
      <c r="E66" s="26" t="b">
        <f>IF(B66="", "",COUNTIF(RawData!D:D,B66)&gt;0)</f>
        <v>0</v>
      </c>
      <c r="G66" s="5"/>
      <c r="H66" s="5"/>
      <c r="I66" s="5"/>
      <c r="J66" s="5"/>
    </row>
    <row r="67" spans="1:10" x14ac:dyDescent="0.35">
      <c r="A67" t="s">
        <v>446</v>
      </c>
      <c r="B67" s="38" t="s">
        <v>524</v>
      </c>
      <c r="C67" t="s">
        <v>277</v>
      </c>
      <c r="D67" s="38" t="s">
        <v>537</v>
      </c>
      <c r="E67" s="26" t="b">
        <f>IF(B67="", "",COUNTIF(RawData!D:D,B67)&gt;0)</f>
        <v>0</v>
      </c>
      <c r="G67" s="5"/>
      <c r="H67" s="5"/>
      <c r="I67" s="5"/>
      <c r="J67" s="5"/>
    </row>
    <row r="68" spans="1:10" x14ac:dyDescent="0.35">
      <c r="A68" t="s">
        <v>447</v>
      </c>
      <c r="B68" s="38" t="s">
        <v>525</v>
      </c>
      <c r="C68" t="s">
        <v>277</v>
      </c>
      <c r="D68" s="38" t="s">
        <v>537</v>
      </c>
      <c r="E68" s="26" t="b">
        <f>IF(B68="", "",COUNTIF(RawData!D:D,B68)&gt;0)</f>
        <v>0</v>
      </c>
      <c r="G68" s="5"/>
      <c r="H68" s="5"/>
      <c r="I68" s="5"/>
      <c r="J68" s="5"/>
    </row>
    <row r="69" spans="1:10" x14ac:dyDescent="0.35">
      <c r="A69" t="s">
        <v>448</v>
      </c>
      <c r="B69" s="38" t="s">
        <v>526</v>
      </c>
      <c r="C69" t="s">
        <v>277</v>
      </c>
      <c r="D69" s="38" t="s">
        <v>537</v>
      </c>
      <c r="E69" s="26" t="b">
        <f>IF(B69="", "",COUNTIF(RawData!D:D,B69)&gt;0)</f>
        <v>0</v>
      </c>
      <c r="G69" s="5"/>
      <c r="H69" s="5"/>
      <c r="I69" s="5"/>
      <c r="J69" s="5"/>
    </row>
    <row r="70" spans="1:10" x14ac:dyDescent="0.35">
      <c r="A70" t="s">
        <v>449</v>
      </c>
      <c r="B70" s="38" t="s">
        <v>527</v>
      </c>
      <c r="C70" t="s">
        <v>277</v>
      </c>
      <c r="D70" s="38" t="s">
        <v>537</v>
      </c>
      <c r="E70" s="26" t="b">
        <f>IF(B70="", "",COUNTIF(RawData!D:D,B70)&gt;0)</f>
        <v>0</v>
      </c>
      <c r="G70" s="5"/>
      <c r="H70" s="5"/>
      <c r="I70" s="5"/>
      <c r="J70" s="5"/>
    </row>
    <row r="71" spans="1:10" x14ac:dyDescent="0.35">
      <c r="A71" t="s">
        <v>450</v>
      </c>
      <c r="B71" s="38" t="s">
        <v>528</v>
      </c>
      <c r="C71" t="s">
        <v>277</v>
      </c>
      <c r="D71" s="38" t="s">
        <v>537</v>
      </c>
      <c r="E71" s="26" t="b">
        <f>IF(B71="", "",COUNTIF(RawData!D:D,B71)&gt;0)</f>
        <v>0</v>
      </c>
      <c r="G71" s="5"/>
      <c r="H71" s="5"/>
      <c r="I71" s="5"/>
      <c r="J71" s="5"/>
    </row>
    <row r="72" spans="1:10" x14ac:dyDescent="0.35">
      <c r="A72" t="s">
        <v>451</v>
      </c>
      <c r="B72" s="38" t="s">
        <v>529</v>
      </c>
      <c r="C72" t="s">
        <v>277</v>
      </c>
      <c r="D72" s="38" t="s">
        <v>537</v>
      </c>
      <c r="E72" s="26" t="b">
        <f>IF(B72="", "",COUNTIF(RawData!D:D,B72)&gt;0)</f>
        <v>0</v>
      </c>
      <c r="G72" s="5"/>
      <c r="H72" s="5"/>
      <c r="I72" s="5"/>
      <c r="J72" s="5"/>
    </row>
    <row r="73" spans="1:10" x14ac:dyDescent="0.35">
      <c r="A73" t="s">
        <v>452</v>
      </c>
      <c r="B73" s="38" t="s">
        <v>530</v>
      </c>
      <c r="C73" t="s">
        <v>277</v>
      </c>
      <c r="D73" s="38" t="s">
        <v>537</v>
      </c>
      <c r="E73" s="26" t="b">
        <f>IF(B73="", "",COUNTIF(RawData!D:D,B73)&gt;0)</f>
        <v>0</v>
      </c>
      <c r="G73" s="5"/>
      <c r="H73" s="5"/>
      <c r="I73" s="5"/>
      <c r="J73" s="5"/>
    </row>
    <row r="74" spans="1:10" x14ac:dyDescent="0.35">
      <c r="A74" t="s">
        <v>453</v>
      </c>
      <c r="B74" s="38" t="s">
        <v>531</v>
      </c>
      <c r="C74" t="s">
        <v>277</v>
      </c>
      <c r="D74" s="38" t="s">
        <v>537</v>
      </c>
      <c r="E74" s="26" t="b">
        <f>IF(B74="", "",COUNTIF(RawData!D:D,B74)&gt;0)</f>
        <v>0</v>
      </c>
      <c r="G74" s="5"/>
      <c r="H74" s="5"/>
      <c r="I74" s="5"/>
      <c r="J74" s="5"/>
    </row>
    <row r="75" spans="1:10" x14ac:dyDescent="0.35">
      <c r="A75" t="s">
        <v>454</v>
      </c>
      <c r="B75" s="38" t="s">
        <v>532</v>
      </c>
      <c r="C75" t="s">
        <v>277</v>
      </c>
      <c r="D75" s="38" t="s">
        <v>537</v>
      </c>
      <c r="E75" s="26" t="b">
        <f>IF(B75="", "",COUNTIF(RawData!D:D,B75)&gt;0)</f>
        <v>0</v>
      </c>
      <c r="G75" s="5"/>
      <c r="H75" s="5"/>
      <c r="I75" s="5"/>
      <c r="J75" s="5"/>
    </row>
    <row r="76" spans="1:10" x14ac:dyDescent="0.35">
      <c r="A76" t="s">
        <v>455</v>
      </c>
      <c r="B76" s="38" t="s">
        <v>533</v>
      </c>
      <c r="C76" t="s">
        <v>277</v>
      </c>
      <c r="D76" s="38" t="s">
        <v>537</v>
      </c>
      <c r="E76" s="26" t="b">
        <f>IF(B76="", "",COUNTIF(RawData!D:D,B76)&gt;0)</f>
        <v>0</v>
      </c>
      <c r="G76" s="5"/>
      <c r="H76" s="5"/>
      <c r="I76" s="5"/>
      <c r="J76" s="5"/>
    </row>
    <row r="77" spans="1:10" x14ac:dyDescent="0.35">
      <c r="A77" t="s">
        <v>456</v>
      </c>
      <c r="B77" s="38" t="s">
        <v>534</v>
      </c>
      <c r="C77" t="s">
        <v>277</v>
      </c>
      <c r="D77" s="38" t="s">
        <v>537</v>
      </c>
      <c r="E77" s="26" t="b">
        <f>IF(B77="", "",COUNTIF(RawData!D:D,B77)&gt;0)</f>
        <v>0</v>
      </c>
      <c r="G77" s="5"/>
      <c r="H77" s="5"/>
      <c r="I77" s="5"/>
      <c r="J77" s="5"/>
    </row>
    <row r="78" spans="1:10" x14ac:dyDescent="0.35">
      <c r="A78" t="s">
        <v>457</v>
      </c>
      <c r="B78" s="38" t="s">
        <v>535</v>
      </c>
      <c r="C78" t="s">
        <v>277</v>
      </c>
      <c r="D78" s="38" t="s">
        <v>537</v>
      </c>
      <c r="E78" s="26" t="b">
        <f>IF(B78="", "",COUNTIF(RawData!D:D,B78)&gt;0)</f>
        <v>0</v>
      </c>
      <c r="G78" s="5"/>
      <c r="H78" s="5"/>
      <c r="I78" s="5"/>
      <c r="J78" s="5"/>
    </row>
    <row r="79" spans="1:10" x14ac:dyDescent="0.35">
      <c r="A79" t="s">
        <v>458</v>
      </c>
      <c r="B79" s="38" t="s">
        <v>536</v>
      </c>
      <c r="C79" t="s">
        <v>277</v>
      </c>
      <c r="D79" s="38" t="s">
        <v>537</v>
      </c>
      <c r="E79" s="26" t="b">
        <f>IF(B79="", "",COUNTIF(RawData!D:D,B79)&gt;0)</f>
        <v>0</v>
      </c>
      <c r="G79" s="5"/>
      <c r="H79" s="5"/>
      <c r="I79" s="5"/>
      <c r="J79" s="5"/>
    </row>
    <row r="80" spans="1:10" x14ac:dyDescent="0.35">
      <c r="E80" s="26" t="str">
        <f>IF(B80="", "",COUNTIF(RawData!D:D,B80)&gt;0)</f>
        <v/>
      </c>
      <c r="G80" s="5"/>
      <c r="H80" s="5"/>
      <c r="I80" s="5"/>
      <c r="J80" s="5"/>
    </row>
    <row r="81" spans="5:10" x14ac:dyDescent="0.35">
      <c r="E81" s="26" t="str">
        <f>IF(B81="", "",COUNTIF(RawData!D:D,B81)&gt;0)</f>
        <v/>
      </c>
      <c r="G81" s="5"/>
      <c r="H81" s="5"/>
      <c r="I81" s="5"/>
      <c r="J81" s="5"/>
    </row>
    <row r="82" spans="5:10" x14ac:dyDescent="0.35">
      <c r="E82" s="26" t="str">
        <f>IF(B82="", "",COUNTIF(RawData!D:D,B82)&gt;0)</f>
        <v/>
      </c>
      <c r="G82" s="5"/>
      <c r="H82" s="5"/>
      <c r="I82" s="5"/>
      <c r="J82" s="5"/>
    </row>
    <row r="83" spans="5:10" x14ac:dyDescent="0.35">
      <c r="E83" s="26" t="str">
        <f>IF(B83="", "",COUNTIF(RawData!D:D,B83)&gt;0)</f>
        <v/>
      </c>
      <c r="G83" s="5"/>
      <c r="H83" s="5"/>
      <c r="I83" s="5"/>
      <c r="J83" s="5"/>
    </row>
    <row r="84" spans="5:10" x14ac:dyDescent="0.35">
      <c r="E84" s="26" t="str">
        <f>IF(B84="", "",COUNTIF(RawData!D:D,B84)&gt;0)</f>
        <v/>
      </c>
      <c r="G84" s="5"/>
      <c r="H84" s="5"/>
      <c r="I84" s="5"/>
      <c r="J84" s="5"/>
    </row>
    <row r="85" spans="5:10" x14ac:dyDescent="0.35">
      <c r="E85" s="26" t="str">
        <f>IF(B85="", "",COUNTIF(RawData!D:D,B85)&gt;0)</f>
        <v/>
      </c>
      <c r="G85" s="5"/>
      <c r="H85" s="5"/>
      <c r="I85" s="5"/>
      <c r="J85" s="5"/>
    </row>
    <row r="86" spans="5:10" x14ac:dyDescent="0.35">
      <c r="E86" s="26" t="str">
        <f>IF(B86="", "",COUNTIF(RawData!D:D,B86)&gt;0)</f>
        <v/>
      </c>
      <c r="G86" s="5"/>
      <c r="H86" s="5"/>
      <c r="I86" s="5"/>
      <c r="J86" s="5"/>
    </row>
    <row r="87" spans="5:10" x14ac:dyDescent="0.35">
      <c r="E87" s="26" t="str">
        <f>IF(B87="", "",COUNTIF(RawData!D:D,B87)&gt;0)</f>
        <v/>
      </c>
      <c r="G87" s="5"/>
      <c r="H87" s="5"/>
      <c r="I87" s="5"/>
      <c r="J87" s="5"/>
    </row>
    <row r="88" spans="5:10" x14ac:dyDescent="0.35">
      <c r="E88" s="26" t="str">
        <f>IF(B88="", "",COUNTIF(RawData!D:D,B88)&gt;0)</f>
        <v/>
      </c>
      <c r="G88" s="5"/>
      <c r="H88" s="5"/>
      <c r="I88" s="5"/>
      <c r="J88" s="5"/>
    </row>
    <row r="89" spans="5:10" x14ac:dyDescent="0.35">
      <c r="E89" s="26" t="str">
        <f>IF(B89="", "",COUNTIF(RawData!D:D,B89)&gt;0)</f>
        <v/>
      </c>
      <c r="G89" s="5"/>
      <c r="H89" s="5"/>
      <c r="I89" s="5"/>
      <c r="J89" s="5"/>
    </row>
    <row r="90" spans="5:10" x14ac:dyDescent="0.35">
      <c r="E90" s="26" t="str">
        <f>IF(B90="", "",COUNTIF(RawData!D:D,B90)&gt;0)</f>
        <v/>
      </c>
      <c r="G90" s="5"/>
      <c r="H90" s="5"/>
      <c r="I90" s="5"/>
      <c r="J90" s="5"/>
    </row>
    <row r="91" spans="5:10" x14ac:dyDescent="0.35">
      <c r="E91" s="26" t="str">
        <f>IF(B91="", "",COUNTIF(RawData!D:D,B91)&gt;0)</f>
        <v/>
      </c>
      <c r="G91" s="5"/>
      <c r="H91" s="5"/>
      <c r="I91" s="5"/>
      <c r="J91" s="5"/>
    </row>
    <row r="92" spans="5:10" x14ac:dyDescent="0.35">
      <c r="E92" s="26" t="str">
        <f>IF(B92="", "",COUNTIF(RawData!D:D,B92)&gt;0)</f>
        <v/>
      </c>
      <c r="G92" s="5"/>
      <c r="H92" s="5"/>
      <c r="I92" s="5"/>
      <c r="J92" s="5"/>
    </row>
    <row r="93" spans="5:10" x14ac:dyDescent="0.35">
      <c r="E93" s="26" t="str">
        <f>IF(B93="", "",COUNTIF(RawData!D:D,B93)&gt;0)</f>
        <v/>
      </c>
      <c r="G93" s="5"/>
      <c r="H93" s="5"/>
      <c r="I93" s="5"/>
      <c r="J93" s="5"/>
    </row>
    <row r="94" spans="5:10" x14ac:dyDescent="0.35">
      <c r="E94" s="26" t="str">
        <f>IF(B94="", "",COUNTIF(RawData!D:D,B94)&gt;0)</f>
        <v/>
      </c>
      <c r="G94" s="5"/>
      <c r="H94" s="5"/>
      <c r="I94" s="5"/>
      <c r="J94" s="5"/>
    </row>
    <row r="95" spans="5:10" x14ac:dyDescent="0.35">
      <c r="E95" s="26" t="str">
        <f>IF(B95="", "",COUNTIF(RawData!D:D,B95)&gt;0)</f>
        <v/>
      </c>
      <c r="G95" s="5"/>
      <c r="H95" s="5"/>
      <c r="I95" s="5"/>
      <c r="J95" s="5"/>
    </row>
    <row r="96" spans="5:10" x14ac:dyDescent="0.35">
      <c r="E96" s="26" t="str">
        <f>IF(B96="", "",COUNTIF(RawData!D:D,B96)&gt;0)</f>
        <v/>
      </c>
      <c r="G96" s="5"/>
      <c r="H96" s="5"/>
      <c r="I96" s="5"/>
      <c r="J96" s="5"/>
    </row>
    <row r="97" spans="5:10" x14ac:dyDescent="0.35">
      <c r="E97" s="26" t="str">
        <f>IF(B97="", "",COUNTIF(RawData!D:D,B97)&gt;0)</f>
        <v/>
      </c>
      <c r="G97" s="5"/>
      <c r="H97" s="5"/>
      <c r="I97" s="5"/>
      <c r="J97" s="5"/>
    </row>
    <row r="98" spans="5:10" x14ac:dyDescent="0.35">
      <c r="E98" s="26" t="str">
        <f>IF(B98="", "",COUNTIF(RawData!D:D,B98)&gt;0)</f>
        <v/>
      </c>
      <c r="G98" s="34"/>
    </row>
    <row r="99" spans="5:10" x14ac:dyDescent="0.35">
      <c r="E99" s="26" t="str">
        <f>IF(B99="", "",COUNTIF(RawData!D:D,B99)&gt;0)</f>
        <v/>
      </c>
    </row>
    <row r="100" spans="5:10" x14ac:dyDescent="0.35">
      <c r="E100" s="26" t="str">
        <f>IF(B100="", "",COUNTIF(RawData!D:D,B100)&gt;0)</f>
        <v/>
      </c>
    </row>
    <row r="101" spans="5:10" x14ac:dyDescent="0.35">
      <c r="E101" s="26" t="str">
        <f>IF(B101="", "",COUNTIF(RawData!D:D,B101)&gt;0)</f>
        <v/>
      </c>
    </row>
    <row r="102" spans="5:10" x14ac:dyDescent="0.35">
      <c r="E102" s="26" t="str">
        <f>IF(B102="", "",COUNTIF(RawData!D:D,B102)&gt;0)</f>
        <v/>
      </c>
    </row>
    <row r="103" spans="5:10" x14ac:dyDescent="0.35">
      <c r="E103" s="26" t="str">
        <f>IF(B103="", "",COUNTIF(RawData!D:D,B103)&gt;0)</f>
        <v/>
      </c>
    </row>
    <row r="104" spans="5:10" x14ac:dyDescent="0.35">
      <c r="E104" s="26" t="str">
        <f>IF(B104="", "",COUNTIF(RawData!D:D,B104)&gt;0)</f>
        <v/>
      </c>
    </row>
    <row r="105" spans="5:10" x14ac:dyDescent="0.35">
      <c r="E105" s="26" t="str">
        <f>IF(B105="", "",COUNTIF(RawData!D:D,B105)&gt;0)</f>
        <v/>
      </c>
    </row>
    <row r="106" spans="5:10" x14ac:dyDescent="0.35">
      <c r="E106" s="26" t="str">
        <f>IF(B106="", "",COUNTIF(RawData!D:D,B106)&gt;0)</f>
        <v/>
      </c>
    </row>
    <row r="107" spans="5:10" x14ac:dyDescent="0.35">
      <c r="E107" s="26" t="str">
        <f>IF(B107="", "",COUNTIF(RawData!D:D,B107)&gt;0)</f>
        <v/>
      </c>
    </row>
    <row r="108" spans="5:10" x14ac:dyDescent="0.35">
      <c r="E108" s="26" t="str">
        <f>IF(B108="", "",COUNTIF(RawData!D:D,B108)&gt;0)</f>
        <v/>
      </c>
    </row>
    <row r="109" spans="5:10" x14ac:dyDescent="0.35">
      <c r="E109" s="26" t="str">
        <f>IF(B109="", "",COUNTIF(RawData!D:D,B109)&gt;0)</f>
        <v/>
      </c>
    </row>
    <row r="110" spans="5:10" x14ac:dyDescent="0.35">
      <c r="E110" s="26" t="str">
        <f>IF(B110="", "",COUNTIF(RawData!D:D,B110)&gt;0)</f>
        <v/>
      </c>
    </row>
    <row r="111" spans="5:10" x14ac:dyDescent="0.35">
      <c r="E111" s="26" t="str">
        <f>IF(B111="", "",COUNTIF(RawData!D:D,B111)&gt;0)</f>
        <v/>
      </c>
    </row>
    <row r="112" spans="5:10" x14ac:dyDescent="0.35">
      <c r="E112" s="26" t="str">
        <f>IF(B112="", "",COUNTIF(RawData!D:D,B112)&gt;0)</f>
        <v/>
      </c>
    </row>
    <row r="113" spans="5:5" x14ac:dyDescent="0.35">
      <c r="E113" s="26" t="str">
        <f>IF(B113="", "",COUNTIF(RawData!D:D,B113)&gt;0)</f>
        <v/>
      </c>
    </row>
    <row r="114" spans="5:5" x14ac:dyDescent="0.35">
      <c r="E114" s="26" t="str">
        <f>IF(B114="", "",COUNTIF(RawData!D:D,B114)&gt;0)</f>
        <v/>
      </c>
    </row>
    <row r="115" spans="5:5" x14ac:dyDescent="0.35">
      <c r="E115" s="26" t="str">
        <f>IF(B115="", "",COUNTIF(RawData!D:D,B115)&gt;0)</f>
        <v/>
      </c>
    </row>
    <row r="116" spans="5:5" x14ac:dyDescent="0.35">
      <c r="E116" s="26" t="str">
        <f>IF(B116="", "",COUNTIF(RawData!D:D,B116)&gt;0)</f>
        <v/>
      </c>
    </row>
    <row r="117" spans="5:5" x14ac:dyDescent="0.35">
      <c r="E117" s="26" t="str">
        <f>IF(B117="", "",COUNTIF(RawData!D:D,B117)&gt;0)</f>
        <v/>
      </c>
    </row>
    <row r="118" spans="5:5" x14ac:dyDescent="0.35">
      <c r="E118" s="26" t="str">
        <f>IF(B118="", "",COUNTIF(RawData!D:D,B118)&gt;0)</f>
        <v/>
      </c>
    </row>
    <row r="119" spans="5:5" x14ac:dyDescent="0.35">
      <c r="E119" s="26" t="str">
        <f>IF(B119="", "",COUNTIF(RawData!D:D,B119)&gt;0)</f>
        <v/>
      </c>
    </row>
    <row r="120" spans="5:5" x14ac:dyDescent="0.35">
      <c r="E120" s="26" t="str">
        <f>IF(B120="", "",COUNTIF(RawData!D:D,B120)&gt;0)</f>
        <v/>
      </c>
    </row>
    <row r="121" spans="5:5" x14ac:dyDescent="0.35">
      <c r="E121" s="26" t="str">
        <f>IF(B121="", "",COUNTIF(RawData!D:D,B121)&gt;0)</f>
        <v/>
      </c>
    </row>
    <row r="122" spans="5:5" x14ac:dyDescent="0.35">
      <c r="E122" s="26" t="str">
        <f>IF(B122="", "",COUNTIF(RawData!D:D,B122)&gt;0)</f>
        <v/>
      </c>
    </row>
    <row r="123" spans="5:5" x14ac:dyDescent="0.35">
      <c r="E123" s="26" t="str">
        <f>IF(B123="", "",COUNTIF(RawData!D:D,B123)&gt;0)</f>
        <v/>
      </c>
    </row>
    <row r="124" spans="5:5" x14ac:dyDescent="0.35">
      <c r="E124" s="26" t="str">
        <f>IF(B124="", "",COUNTIF(RawData!D:D,B124)&gt;0)</f>
        <v/>
      </c>
    </row>
    <row r="125" spans="5:5" x14ac:dyDescent="0.35">
      <c r="E125" s="26" t="str">
        <f>IF(B125="", "",COUNTIF(RawData!D:D,B125)&gt;0)</f>
        <v/>
      </c>
    </row>
    <row r="126" spans="5:5" x14ac:dyDescent="0.35">
      <c r="E126" s="26" t="str">
        <f>IF(B126="", "",COUNTIF(RawData!D:D,B126)&gt;0)</f>
        <v/>
      </c>
    </row>
    <row r="127" spans="5:5" x14ac:dyDescent="0.35">
      <c r="E127" s="26" t="str">
        <f>IF(B127="", "",COUNTIF(RawData!D:D,B127)&gt;0)</f>
        <v/>
      </c>
    </row>
    <row r="128" spans="5:5" x14ac:dyDescent="0.35">
      <c r="E128" s="26" t="str">
        <f>IF(B128="", "",COUNTIF(RawData!D:D,B128)&gt;0)</f>
        <v/>
      </c>
    </row>
    <row r="129" spans="5:5" x14ac:dyDescent="0.35">
      <c r="E129" s="26" t="str">
        <f>IF(B129="", "",COUNTIF(RawData!D:D,B129)&gt;0)</f>
        <v/>
      </c>
    </row>
    <row r="130" spans="5:5" x14ac:dyDescent="0.35">
      <c r="E130" s="26" t="str">
        <f>IF(B130="", "",COUNTIF(RawData!D:D,B130)&gt;0)</f>
        <v/>
      </c>
    </row>
    <row r="131" spans="5:5" x14ac:dyDescent="0.35">
      <c r="E131" s="26" t="str">
        <f>IF(B131="", "",COUNTIF(RawData!D:D,B131)&gt;0)</f>
        <v/>
      </c>
    </row>
    <row r="132" spans="5:5" x14ac:dyDescent="0.35">
      <c r="E132" s="26" t="str">
        <f>IF(B132="", "",COUNTIF(RawData!D:D,B132)&gt;0)</f>
        <v/>
      </c>
    </row>
    <row r="133" spans="5:5" x14ac:dyDescent="0.35">
      <c r="E133" s="26" t="str">
        <f>IF(B133="", "",COUNTIF(RawData!D:D,B133)&gt;0)</f>
        <v/>
      </c>
    </row>
    <row r="134" spans="5:5" x14ac:dyDescent="0.35">
      <c r="E134" s="26" t="str">
        <f>IF(B134="", "",COUNTIF(RawData!D:D,B134)&gt;0)</f>
        <v/>
      </c>
    </row>
    <row r="135" spans="5:5" x14ac:dyDescent="0.35">
      <c r="E135" s="26" t="str">
        <f>IF(B135="", "",COUNTIF(RawData!D:D,B135)&gt;0)</f>
        <v/>
      </c>
    </row>
    <row r="136" spans="5:5" x14ac:dyDescent="0.35">
      <c r="E136" s="26" t="str">
        <f>IF(B136="", "",COUNTIF(RawData!D:D,B136)&gt;0)</f>
        <v/>
      </c>
    </row>
    <row r="137" spans="5:5" x14ac:dyDescent="0.35">
      <c r="E137" s="26" t="str">
        <f>IF(B137="", "",COUNTIF(RawData!D:D,B137)&gt;0)</f>
        <v/>
      </c>
    </row>
    <row r="138" spans="5:5" x14ac:dyDescent="0.35">
      <c r="E138" s="26" t="str">
        <f>IF(B138="", "",COUNTIF(RawData!D:D,B138)&gt;0)</f>
        <v/>
      </c>
    </row>
    <row r="139" spans="5:5" x14ac:dyDescent="0.35">
      <c r="E139" s="26" t="str">
        <f>IF(B139="", "",COUNTIF(RawData!D:D,B139)&gt;0)</f>
        <v/>
      </c>
    </row>
    <row r="140" spans="5:5" x14ac:dyDescent="0.35">
      <c r="E140" s="26" t="str">
        <f>IF(B140="", "",COUNTIF(RawData!D:D,B140)&gt;0)</f>
        <v/>
      </c>
    </row>
    <row r="141" spans="5:5" x14ac:dyDescent="0.35">
      <c r="E141" s="26" t="str">
        <f>IF(B141="", "",COUNTIF(RawData!D:D,B141)&gt;0)</f>
        <v/>
      </c>
    </row>
    <row r="142" spans="5:5" x14ac:dyDescent="0.35">
      <c r="E142" s="26" t="str">
        <f>IF(B142="", "",COUNTIF(RawData!D:D,B142)&gt;0)</f>
        <v/>
      </c>
    </row>
    <row r="143" spans="5:5" x14ac:dyDescent="0.35">
      <c r="E143" s="26" t="str">
        <f>IF(B143="", "",COUNTIF(RawData!D:D,B143)&gt;0)</f>
        <v/>
      </c>
    </row>
    <row r="144" spans="5:5" x14ac:dyDescent="0.35">
      <c r="E144" s="26" t="str">
        <f>IF(B144="", "",COUNTIF(RawData!D:D,B144)&gt;0)</f>
        <v/>
      </c>
    </row>
    <row r="145" spans="5:5" x14ac:dyDescent="0.35">
      <c r="E145" s="26" t="str">
        <f>IF(B145="", "",COUNTIF(RawData!D:D,B145)&gt;0)</f>
        <v/>
      </c>
    </row>
    <row r="146" spans="5:5" x14ac:dyDescent="0.35">
      <c r="E146" s="26" t="str">
        <f>IF(B146="", "",COUNTIF(RawData!D:D,B146)&gt;0)</f>
        <v/>
      </c>
    </row>
    <row r="147" spans="5:5" x14ac:dyDescent="0.35">
      <c r="E147" s="26" t="str">
        <f>IF(B147="", "",COUNTIF(RawData!D:D,B147)&gt;0)</f>
        <v/>
      </c>
    </row>
    <row r="148" spans="5:5" x14ac:dyDescent="0.35">
      <c r="E148" s="26" t="str">
        <f>IF(B148="", "",COUNTIF(RawData!D:D,B148)&gt;0)</f>
        <v/>
      </c>
    </row>
    <row r="149" spans="5:5" x14ac:dyDescent="0.35">
      <c r="E149" s="26" t="str">
        <f>IF(B149="", "",COUNTIF(RawData!D:D,B149)&gt;0)</f>
        <v/>
      </c>
    </row>
    <row r="150" spans="5:5" x14ac:dyDescent="0.35">
      <c r="E150" s="26" t="str">
        <f>IF(B150="", "",COUNTIF(RawData!D:D,B150)&gt;0)</f>
        <v/>
      </c>
    </row>
    <row r="151" spans="5:5" x14ac:dyDescent="0.35">
      <c r="E151" s="26" t="str">
        <f>IF(B151="", "",COUNTIF(RawData!D:D,B151)&gt;0)</f>
        <v/>
      </c>
    </row>
    <row r="152" spans="5:5" x14ac:dyDescent="0.35">
      <c r="E152" s="26" t="str">
        <f>IF(B152="", "",COUNTIF(RawData!D:D,B152)&gt;0)</f>
        <v/>
      </c>
    </row>
    <row r="153" spans="5:5" x14ac:dyDescent="0.35">
      <c r="E153" s="26" t="str">
        <f>IF(B153="", "",COUNTIF(RawData!D:D,B153)&gt;0)</f>
        <v/>
      </c>
    </row>
    <row r="154" spans="5:5" x14ac:dyDescent="0.35">
      <c r="E154" s="26" t="str">
        <f>IF(B154="", "",COUNTIF(RawData!D:D,B154)&gt;0)</f>
        <v/>
      </c>
    </row>
    <row r="155" spans="5:5" x14ac:dyDescent="0.35">
      <c r="E155" s="26" t="str">
        <f>IF(B155="", "",COUNTIF(RawData!D:D,B155)&gt;0)</f>
        <v/>
      </c>
    </row>
    <row r="156" spans="5:5" x14ac:dyDescent="0.35">
      <c r="E156" s="26" t="str">
        <f>IF(B156="", "",COUNTIF(RawData!D:D,B156)&gt;0)</f>
        <v/>
      </c>
    </row>
    <row r="157" spans="5:5" x14ac:dyDescent="0.35">
      <c r="E157" s="26" t="str">
        <f>IF(B157="", "",COUNTIF(RawData!D:D,B157)&gt;0)</f>
        <v/>
      </c>
    </row>
    <row r="158" spans="5:5" x14ac:dyDescent="0.35">
      <c r="E158" s="26" t="str">
        <f>IF(B158="", "",COUNTIF(RawData!D:D,B158)&gt;0)</f>
        <v/>
      </c>
    </row>
    <row r="159" spans="5:5" x14ac:dyDescent="0.35">
      <c r="E159" s="26" t="str">
        <f>IF(B159="", "",COUNTIF(RawData!D:D,B159)&gt;0)</f>
        <v/>
      </c>
    </row>
    <row r="160" spans="5:5" x14ac:dyDescent="0.35">
      <c r="E160" s="26" t="str">
        <f>IF(B160="", "",COUNTIF(RawData!D:D,B160)&gt;0)</f>
        <v/>
      </c>
    </row>
    <row r="161" spans="5:5" x14ac:dyDescent="0.35">
      <c r="E161" s="26" t="str">
        <f>IF(B161="", "",COUNTIF(RawData!D:D,B161)&gt;0)</f>
        <v/>
      </c>
    </row>
    <row r="162" spans="5:5" x14ac:dyDescent="0.35">
      <c r="E162" s="26" t="str">
        <f>IF(B162="", "",COUNTIF(RawData!D:D,B162)&gt;0)</f>
        <v/>
      </c>
    </row>
    <row r="163" spans="5:5" x14ac:dyDescent="0.35">
      <c r="E163" s="26" t="str">
        <f>IF(B163="", "",COUNTIF(RawData!D:D,B163)&gt;0)</f>
        <v/>
      </c>
    </row>
    <row r="164" spans="5:5" x14ac:dyDescent="0.35">
      <c r="E164" s="26" t="str">
        <f>IF(B164="", "",COUNTIF(RawData!D:D,B164)&gt;0)</f>
        <v/>
      </c>
    </row>
    <row r="165" spans="5:5" x14ac:dyDescent="0.35">
      <c r="E165" s="26" t="str">
        <f>IF(B165="", "",COUNTIF(RawData!D:D,B165)&gt;0)</f>
        <v/>
      </c>
    </row>
    <row r="166" spans="5:5" x14ac:dyDescent="0.35">
      <c r="E166" s="26" t="str">
        <f>IF(B166="", "",COUNTIF(RawData!D:D,B166)&gt;0)</f>
        <v/>
      </c>
    </row>
    <row r="167" spans="5:5" x14ac:dyDescent="0.35">
      <c r="E167" s="26" t="str">
        <f>IF(B167="", "",COUNTIF(RawData!D:D,B167)&gt;0)</f>
        <v/>
      </c>
    </row>
    <row r="168" spans="5:5" x14ac:dyDescent="0.35">
      <c r="E168" s="26" t="str">
        <f>IF(B168="", "",COUNTIF(RawData!D:D,B168)&gt;0)</f>
        <v/>
      </c>
    </row>
    <row r="169" spans="5:5" x14ac:dyDescent="0.35">
      <c r="E169" s="26" t="str">
        <f>IF(B169="", "",COUNTIF(RawData!D:D,B169)&gt;0)</f>
        <v/>
      </c>
    </row>
    <row r="170" spans="5:5" x14ac:dyDescent="0.35">
      <c r="E170" s="26" t="str">
        <f>IF(B170="", "",COUNTIF(RawData!D:D,B170)&gt;0)</f>
        <v/>
      </c>
    </row>
    <row r="171" spans="5:5" x14ac:dyDescent="0.35">
      <c r="E171" s="26" t="str">
        <f>IF(B171="", "",COUNTIF(RawData!D:D,B171)&gt;0)</f>
        <v/>
      </c>
    </row>
    <row r="172" spans="5:5" x14ac:dyDescent="0.35">
      <c r="E172" s="26" t="str">
        <f>IF(B172="", "",COUNTIF(RawData!D:D,B172)&gt;0)</f>
        <v/>
      </c>
    </row>
    <row r="173" spans="5:5" x14ac:dyDescent="0.35">
      <c r="E173" s="26" t="str">
        <f>IF(B173="", "",COUNTIF(RawData!D:D,B173)&gt;0)</f>
        <v/>
      </c>
    </row>
    <row r="174" spans="5:5" x14ac:dyDescent="0.35">
      <c r="E174" s="26" t="str">
        <f>IF(B174="", "",COUNTIF(RawData!D:D,B174)&gt;0)</f>
        <v/>
      </c>
    </row>
    <row r="175" spans="5:5" x14ac:dyDescent="0.35">
      <c r="E175" s="26" t="str">
        <f>IF(B175="", "",COUNTIF(RawData!D:D,B175)&gt;0)</f>
        <v/>
      </c>
    </row>
    <row r="176" spans="5:5" x14ac:dyDescent="0.35">
      <c r="E176" s="26" t="str">
        <f>IF(B176="", "",COUNTIF(RawData!D:D,B176)&gt;0)</f>
        <v/>
      </c>
    </row>
    <row r="177" spans="5:5" x14ac:dyDescent="0.35">
      <c r="E177" s="26" t="str">
        <f>IF(B177="", "",COUNTIF(RawData!D:D,B177)&gt;0)</f>
        <v/>
      </c>
    </row>
    <row r="178" spans="5:5" x14ac:dyDescent="0.35">
      <c r="E178" s="26" t="str">
        <f>IF(B178="", "",COUNTIF(RawData!D:D,B178)&gt;0)</f>
        <v/>
      </c>
    </row>
    <row r="179" spans="5:5" x14ac:dyDescent="0.35">
      <c r="E179" s="26" t="str">
        <f>IF(B179="", "",COUNTIF(RawData!D:D,B179)&gt;0)</f>
        <v/>
      </c>
    </row>
    <row r="180" spans="5:5" x14ac:dyDescent="0.35">
      <c r="E180" s="26" t="str">
        <f>IF(B180="", "",COUNTIF(RawData!D:D,B180)&gt;0)</f>
        <v/>
      </c>
    </row>
    <row r="181" spans="5:5" x14ac:dyDescent="0.35">
      <c r="E181" s="26" t="str">
        <f>IF(B181="", "",COUNTIF(RawData!D:D,B181)&gt;0)</f>
        <v/>
      </c>
    </row>
    <row r="182" spans="5:5" x14ac:dyDescent="0.35">
      <c r="E182" s="26" t="str">
        <f>IF(B182="", "",COUNTIF(RawData!D:D,B182)&gt;0)</f>
        <v/>
      </c>
    </row>
    <row r="183" spans="5:5" x14ac:dyDescent="0.35">
      <c r="E183" s="26" t="str">
        <f>IF(B183="", "",COUNTIF(RawData!D:D,B183)&gt;0)</f>
        <v/>
      </c>
    </row>
    <row r="184" spans="5:5" x14ac:dyDescent="0.35">
      <c r="E184" s="26" t="str">
        <f>IF(B184="", "",COUNTIF(RawData!D:D,B184)&gt;0)</f>
        <v/>
      </c>
    </row>
    <row r="185" spans="5:5" x14ac:dyDescent="0.35">
      <c r="E185" s="26" t="str">
        <f>IF(B185="", "",COUNTIF(RawData!D:D,B185)&gt;0)</f>
        <v/>
      </c>
    </row>
    <row r="186" spans="5:5" x14ac:dyDescent="0.35">
      <c r="E186" s="26" t="str">
        <f>IF(B186="", "",COUNTIF(RawData!D:D,B186)&gt;0)</f>
        <v/>
      </c>
    </row>
    <row r="187" spans="5:5" x14ac:dyDescent="0.35">
      <c r="E187" s="26" t="str">
        <f>IF(B187="", "",COUNTIF(RawData!D:D,B187)&gt;0)</f>
        <v/>
      </c>
    </row>
    <row r="188" spans="5:5" x14ac:dyDescent="0.35">
      <c r="E188" s="26" t="str">
        <f>IF(B188="", "",COUNTIF(RawData!D:D,B188)&gt;0)</f>
        <v/>
      </c>
    </row>
    <row r="189" spans="5:5" x14ac:dyDescent="0.35">
      <c r="E189" s="26" t="str">
        <f>IF(B189="", "",COUNTIF(RawData!D:D,B189)&gt;0)</f>
        <v/>
      </c>
    </row>
    <row r="190" spans="5:5" x14ac:dyDescent="0.35">
      <c r="E190" s="26" t="str">
        <f>IF(B190="", "",COUNTIF(RawData!D:D,B190)&gt;0)</f>
        <v/>
      </c>
    </row>
    <row r="191" spans="5:5" x14ac:dyDescent="0.35">
      <c r="E191" s="26" t="str">
        <f>IF(B191="", "",COUNTIF(RawData!D:D,B191)&gt;0)</f>
        <v/>
      </c>
    </row>
    <row r="192" spans="5:5" x14ac:dyDescent="0.35">
      <c r="E192" s="26" t="str">
        <f>IF(B192="", "",COUNTIF(RawData!D:D,B192)&gt;0)</f>
        <v/>
      </c>
    </row>
    <row r="193" spans="5:5" x14ac:dyDescent="0.35">
      <c r="E193" s="26" t="str">
        <f>IF(B193="", "",COUNTIF(RawData!D:D,B193)&gt;0)</f>
        <v/>
      </c>
    </row>
    <row r="194" spans="5:5" x14ac:dyDescent="0.35">
      <c r="E194" s="26" t="str">
        <f>IF(B194="", "",COUNTIF(RawData!D:D,B194)&gt;0)</f>
        <v/>
      </c>
    </row>
    <row r="195" spans="5:5" x14ac:dyDescent="0.35">
      <c r="E195" s="26" t="str">
        <f>IF(B195="", "",COUNTIF(RawData!D:D,B195)&gt;0)</f>
        <v/>
      </c>
    </row>
    <row r="196" spans="5:5" x14ac:dyDescent="0.35">
      <c r="E196" s="26" t="str">
        <f>IF(B196="", "",COUNTIF(RawData!D:D,B196)&gt;0)</f>
        <v/>
      </c>
    </row>
    <row r="197" spans="5:5" x14ac:dyDescent="0.35">
      <c r="E197" s="26" t="str">
        <f>IF(B197="", "",COUNTIF(RawData!D:D,B197)&gt;0)</f>
        <v/>
      </c>
    </row>
    <row r="198" spans="5:5" x14ac:dyDescent="0.35">
      <c r="E198" s="26" t="str">
        <f>IF(B198="", "",COUNTIF(RawData!D:D,B198)&gt;0)</f>
        <v/>
      </c>
    </row>
    <row r="199" spans="5:5" x14ac:dyDescent="0.35">
      <c r="E199" s="26" t="str">
        <f>IF(B199="", "",COUNTIF(RawData!D:D,B199)&gt;0)</f>
        <v/>
      </c>
    </row>
    <row r="200" spans="5:5" x14ac:dyDescent="0.35">
      <c r="E200" s="26" t="str">
        <f>IF(B200="", "",COUNTIF(RawData!D:D,B200)&gt;0)</f>
        <v/>
      </c>
    </row>
    <row r="201" spans="5:5" x14ac:dyDescent="0.35">
      <c r="E201" s="26" t="str">
        <f>IF(B201="", "",COUNTIF(RawData!D:D,B201)&gt;0)</f>
        <v/>
      </c>
    </row>
    <row r="202" spans="5:5" x14ac:dyDescent="0.35">
      <c r="E202" s="26" t="str">
        <f>IF(B202="", "",COUNTIF(RawData!D:D,B202)&gt;0)</f>
        <v/>
      </c>
    </row>
    <row r="203" spans="5:5" x14ac:dyDescent="0.35">
      <c r="E203" s="26" t="str">
        <f>IF(B203="", "",COUNTIF(RawData!D:D,B203)&gt;0)</f>
        <v/>
      </c>
    </row>
    <row r="204" spans="5:5" x14ac:dyDescent="0.35">
      <c r="E204" s="26" t="str">
        <f>IF(B204="", "",COUNTIF(RawData!D:D,B204)&gt;0)</f>
        <v/>
      </c>
    </row>
    <row r="205" spans="5:5" x14ac:dyDescent="0.35">
      <c r="E205" s="26" t="str">
        <f>IF(B205="", "",COUNTIF(RawData!D:D,B205)&gt;0)</f>
        <v/>
      </c>
    </row>
    <row r="206" spans="5:5" x14ac:dyDescent="0.35">
      <c r="E206" s="26" t="str">
        <f>IF(B206="", "",COUNTIF(RawData!D:D,B206)&gt;0)</f>
        <v/>
      </c>
    </row>
    <row r="207" spans="5:5" x14ac:dyDescent="0.35">
      <c r="E207" s="26" t="str">
        <f>IF(B207="", "",COUNTIF(RawData!D:D,B207)&gt;0)</f>
        <v/>
      </c>
    </row>
    <row r="208" spans="5:5" x14ac:dyDescent="0.35">
      <c r="E208" s="26" t="str">
        <f>IF(B208="", "",COUNTIF(RawData!D:D,B208)&gt;0)</f>
        <v/>
      </c>
    </row>
    <row r="209" spans="5:5" x14ac:dyDescent="0.35">
      <c r="E209" s="26" t="str">
        <f>IF(B209="", "",COUNTIF(RawData!D:D,B209)&gt;0)</f>
        <v/>
      </c>
    </row>
    <row r="210" spans="5:5" x14ac:dyDescent="0.35">
      <c r="E210" s="26" t="str">
        <f>IF(B210="", "",COUNTIF(RawData!D:D,B210)&gt;0)</f>
        <v/>
      </c>
    </row>
    <row r="211" spans="5:5" x14ac:dyDescent="0.35">
      <c r="E211" s="26" t="str">
        <f>IF(B211="", "",COUNTIF(RawData!D:D,B211)&gt;0)</f>
        <v/>
      </c>
    </row>
    <row r="212" spans="5:5" x14ac:dyDescent="0.35">
      <c r="E212" s="26" t="str">
        <f>IF(B212="", "",COUNTIF(RawData!D:D,B212)&gt;0)</f>
        <v/>
      </c>
    </row>
    <row r="213" spans="5:5" x14ac:dyDescent="0.35">
      <c r="E213" s="26" t="str">
        <f>IF(B213="", "",COUNTIF(RawData!D:D,B213)&gt;0)</f>
        <v/>
      </c>
    </row>
    <row r="214" spans="5:5" x14ac:dyDescent="0.35">
      <c r="E214" s="26" t="str">
        <f>IF(B214="", "",COUNTIF(RawData!D:D,B214)&gt;0)</f>
        <v/>
      </c>
    </row>
    <row r="215" spans="5:5" x14ac:dyDescent="0.35">
      <c r="E215" s="26" t="str">
        <f>IF(B215="", "",COUNTIF(RawData!D:D,B215)&gt;0)</f>
        <v/>
      </c>
    </row>
    <row r="216" spans="5:5" x14ac:dyDescent="0.35">
      <c r="E216" s="26" t="str">
        <f>IF(B216="", "",COUNTIF(RawData!D:D,B216)&gt;0)</f>
        <v/>
      </c>
    </row>
    <row r="217" spans="5:5" x14ac:dyDescent="0.35">
      <c r="E217" s="26" t="str">
        <f>IF(B217="", "",COUNTIF(RawData!D:D,B217)&gt;0)</f>
        <v/>
      </c>
    </row>
    <row r="218" spans="5:5" x14ac:dyDescent="0.35">
      <c r="E218" s="26" t="str">
        <f>IF(B218="", "",COUNTIF(RawData!D:D,B218)&gt;0)</f>
        <v/>
      </c>
    </row>
    <row r="219" spans="5:5" x14ac:dyDescent="0.35">
      <c r="E219" s="26" t="str">
        <f>IF(B219="", "",COUNTIF(RawData!D:D,B219)&gt;0)</f>
        <v/>
      </c>
    </row>
    <row r="220" spans="5:5" x14ac:dyDescent="0.35">
      <c r="E220" s="26" t="str">
        <f>IF(B220="", "",COUNTIF(RawData!D:D,B220)&gt;0)</f>
        <v/>
      </c>
    </row>
    <row r="221" spans="5:5" x14ac:dyDescent="0.35">
      <c r="E221" s="26" t="str">
        <f>IF(B221="", "",COUNTIF(RawData!D:D,B221)&gt;0)</f>
        <v/>
      </c>
    </row>
    <row r="222" spans="5:5" x14ac:dyDescent="0.35">
      <c r="E222" s="26" t="str">
        <f>IF(B222="", "",COUNTIF(RawData!D:D,B222)&gt;0)</f>
        <v/>
      </c>
    </row>
    <row r="223" spans="5:5" x14ac:dyDescent="0.35">
      <c r="E223" s="26" t="str">
        <f>IF(B223="", "",COUNTIF(RawData!D:D,B223)&gt;0)</f>
        <v/>
      </c>
    </row>
    <row r="224" spans="5:5" x14ac:dyDescent="0.35">
      <c r="E224" s="26" t="str">
        <f>IF(B224="", "",COUNTIF(RawData!D:D,B224)&gt;0)</f>
        <v/>
      </c>
    </row>
    <row r="225" spans="5:5" x14ac:dyDescent="0.35">
      <c r="E225" s="26" t="str">
        <f>IF(B225="", "",COUNTIF(RawData!D:D,B225)&gt;0)</f>
        <v/>
      </c>
    </row>
    <row r="226" spans="5:5" x14ac:dyDescent="0.35">
      <c r="E226" s="26" t="str">
        <f>IF(B226="", "",COUNTIF(RawData!D:D,B226)&gt;0)</f>
        <v/>
      </c>
    </row>
    <row r="227" spans="5:5" x14ac:dyDescent="0.35">
      <c r="E227" s="26" t="str">
        <f>IF(B227="", "",COUNTIF(RawData!D:D,B227)&gt;0)</f>
        <v/>
      </c>
    </row>
    <row r="228" spans="5:5" x14ac:dyDescent="0.35">
      <c r="E228" s="26" t="str">
        <f>IF(B228="", "",COUNTIF(RawData!D:D,B228)&gt;0)</f>
        <v/>
      </c>
    </row>
    <row r="229" spans="5:5" x14ac:dyDescent="0.35">
      <c r="E229" s="26" t="str">
        <f>IF(B229="", "",COUNTIF(RawData!D:D,B229)&gt;0)</f>
        <v/>
      </c>
    </row>
    <row r="230" spans="5:5" x14ac:dyDescent="0.35">
      <c r="E230" s="26" t="str">
        <f>IF(B230="", "",COUNTIF(RawData!D:D,B230)&gt;0)</f>
        <v/>
      </c>
    </row>
    <row r="231" spans="5:5" x14ac:dyDescent="0.35">
      <c r="E231" s="26" t="str">
        <f>IF(B231="", "",COUNTIF(RawData!D:D,B231)&gt;0)</f>
        <v/>
      </c>
    </row>
    <row r="232" spans="5:5" x14ac:dyDescent="0.35">
      <c r="E232" s="26" t="str">
        <f>IF(B232="", "",COUNTIF(RawData!D:D,B232)&gt;0)</f>
        <v/>
      </c>
    </row>
    <row r="233" spans="5:5" x14ac:dyDescent="0.35">
      <c r="E233" s="26" t="str">
        <f>IF(B233="", "",COUNTIF(RawData!D:D,B233)&gt;0)</f>
        <v/>
      </c>
    </row>
    <row r="234" spans="5:5" x14ac:dyDescent="0.35">
      <c r="E234" s="26" t="str">
        <f>IF(B234="", "",COUNTIF(RawData!D:D,B234)&gt;0)</f>
        <v/>
      </c>
    </row>
    <row r="235" spans="5:5" x14ac:dyDescent="0.35">
      <c r="E235" s="26" t="str">
        <f>IF(B235="", "",COUNTIF(RawData!D:D,B235)&gt;0)</f>
        <v/>
      </c>
    </row>
    <row r="236" spans="5:5" x14ac:dyDescent="0.35">
      <c r="E236" s="26" t="str">
        <f>IF(B236="", "",COUNTIF(RawData!D:D,B236)&gt;0)</f>
        <v/>
      </c>
    </row>
    <row r="237" spans="5:5" x14ac:dyDescent="0.35">
      <c r="E237" s="26" t="str">
        <f>IF(B237="", "",COUNTIF(RawData!D:D,B237)&gt;0)</f>
        <v/>
      </c>
    </row>
    <row r="238" spans="5:5" x14ac:dyDescent="0.35">
      <c r="E238" s="26" t="str">
        <f>IF(B238="", "",COUNTIF(RawData!D:D,B238)&gt;0)</f>
        <v/>
      </c>
    </row>
    <row r="239" spans="5:5" x14ac:dyDescent="0.35">
      <c r="E239" s="26" t="str">
        <f>IF(B239="", "",COUNTIF(RawData!D:D,B239)&gt;0)</f>
        <v/>
      </c>
    </row>
    <row r="240" spans="5:5" x14ac:dyDescent="0.35">
      <c r="E240" s="26" t="str">
        <f>IF(B240="", "",COUNTIF(RawData!D:D,B240)&gt;0)</f>
        <v/>
      </c>
    </row>
    <row r="241" spans="5:5" x14ac:dyDescent="0.35">
      <c r="E241" s="26" t="str">
        <f>IF(B241="", "",COUNTIF(RawData!D:D,B241)&gt;0)</f>
        <v/>
      </c>
    </row>
    <row r="242" spans="5:5" x14ac:dyDescent="0.35">
      <c r="E242" s="26" t="str">
        <f>IF(B242="", "",COUNTIF(RawData!D:D,B242)&gt;0)</f>
        <v/>
      </c>
    </row>
    <row r="243" spans="5:5" x14ac:dyDescent="0.35">
      <c r="E243" s="26" t="str">
        <f>IF(B243="", "",COUNTIF(RawData!D:D,B243)&gt;0)</f>
        <v/>
      </c>
    </row>
    <row r="244" spans="5:5" x14ac:dyDescent="0.35">
      <c r="E244" s="26" t="str">
        <f>IF(B244="", "",COUNTIF(RawData!D:D,B244)&gt;0)</f>
        <v/>
      </c>
    </row>
    <row r="245" spans="5:5" x14ac:dyDescent="0.35">
      <c r="E245" s="26" t="str">
        <f>IF(B245="", "",COUNTIF(RawData!D:D,B245)&gt;0)</f>
        <v/>
      </c>
    </row>
    <row r="246" spans="5:5" x14ac:dyDescent="0.35">
      <c r="E246" s="26" t="str">
        <f>IF(B246="", "",COUNTIF(RawData!D:D,B246)&gt;0)</f>
        <v/>
      </c>
    </row>
    <row r="247" spans="5:5" x14ac:dyDescent="0.35">
      <c r="E247" s="26" t="str">
        <f>IF(B247="", "",COUNTIF(RawData!D:D,B247)&gt;0)</f>
        <v/>
      </c>
    </row>
    <row r="248" spans="5:5" x14ac:dyDescent="0.35">
      <c r="E248" s="26" t="str">
        <f>IF(B248="", "",COUNTIF(RawData!D:D,B248)&gt;0)</f>
        <v/>
      </c>
    </row>
    <row r="249" spans="5:5" x14ac:dyDescent="0.35">
      <c r="E249" s="26" t="str">
        <f>IF(B249="", "",COUNTIF(RawData!D:D,B249)&gt;0)</f>
        <v/>
      </c>
    </row>
    <row r="250" spans="5:5" x14ac:dyDescent="0.35">
      <c r="E250" s="26" t="str">
        <f>IF(B250="", "",COUNTIF(RawData!D:D,B250)&gt;0)</f>
        <v/>
      </c>
    </row>
    <row r="251" spans="5:5" x14ac:dyDescent="0.35">
      <c r="E251" s="26" t="str">
        <f>IF(B251="", "",COUNTIF(RawData!D:D,B251)&gt;0)</f>
        <v/>
      </c>
    </row>
    <row r="252" spans="5:5" x14ac:dyDescent="0.35">
      <c r="E252" s="26" t="str">
        <f>IF(B252="", "",COUNTIF(RawData!D:D,B252)&gt;0)</f>
        <v/>
      </c>
    </row>
    <row r="253" spans="5:5" x14ac:dyDescent="0.35">
      <c r="E253" s="26" t="str">
        <f>IF(B253="", "",COUNTIF(RawData!D:D,B253)&gt;0)</f>
        <v/>
      </c>
    </row>
    <row r="254" spans="5:5" x14ac:dyDescent="0.35">
      <c r="E254" s="26" t="str">
        <f>IF(B254="", "",COUNTIF(RawData!D:D,B254)&gt;0)</f>
        <v/>
      </c>
    </row>
    <row r="255" spans="5:5" x14ac:dyDescent="0.35">
      <c r="E255" s="26" t="str">
        <f>IF(B255="", "",COUNTIF(RawData!D:D,B255)&gt;0)</f>
        <v/>
      </c>
    </row>
    <row r="256" spans="5:5" x14ac:dyDescent="0.35">
      <c r="E256" s="26" t="str">
        <f>IF(B256="", "",COUNTIF(RawData!D:D,B256)&gt;0)</f>
        <v/>
      </c>
    </row>
    <row r="257" spans="5:5" x14ac:dyDescent="0.35">
      <c r="E257" s="26" t="str">
        <f>IF(B257="", "",COUNTIF(RawData!D:D,B257)&gt;0)</f>
        <v/>
      </c>
    </row>
    <row r="258" spans="5:5" x14ac:dyDescent="0.35">
      <c r="E258" s="26" t="str">
        <f>IF(B258="", "",COUNTIF(RawData!D:D,B258)&gt;0)</f>
        <v/>
      </c>
    </row>
    <row r="259" spans="5:5" x14ac:dyDescent="0.35">
      <c r="E259" s="26" t="str">
        <f>IF(B259="", "",COUNTIF(RawData!D:D,B259)&gt;0)</f>
        <v/>
      </c>
    </row>
    <row r="260" spans="5:5" x14ac:dyDescent="0.35">
      <c r="E260" s="26" t="str">
        <f>IF(B260="", "",COUNTIF(RawData!D:D,B260)&gt;0)</f>
        <v/>
      </c>
    </row>
    <row r="261" spans="5:5" x14ac:dyDescent="0.35">
      <c r="E261" s="26" t="str">
        <f>IF(B261="", "",COUNTIF(RawData!D:D,B261)&gt;0)</f>
        <v/>
      </c>
    </row>
    <row r="262" spans="5:5" x14ac:dyDescent="0.35">
      <c r="E262" s="26" t="str">
        <f>IF(B262="", "",COUNTIF(RawData!D:D,B262)&gt;0)</f>
        <v/>
      </c>
    </row>
    <row r="263" spans="5:5" x14ac:dyDescent="0.35">
      <c r="E263" s="26" t="str">
        <f>IF(B263="", "",COUNTIF(RawData!D:D,B263)&gt;0)</f>
        <v/>
      </c>
    </row>
    <row r="264" spans="5:5" x14ac:dyDescent="0.35">
      <c r="E264" s="26" t="str">
        <f>IF(B264="", "",COUNTIF(RawData!D:D,B264)&gt;0)</f>
        <v/>
      </c>
    </row>
    <row r="265" spans="5:5" x14ac:dyDescent="0.35">
      <c r="E265" s="26" t="str">
        <f>IF(B265="", "",COUNTIF(RawData!D:D,B265)&gt;0)</f>
        <v/>
      </c>
    </row>
    <row r="266" spans="5:5" x14ac:dyDescent="0.35">
      <c r="E266" s="26" t="str">
        <f>IF(B266="", "",COUNTIF(RawData!D:D,B266)&gt;0)</f>
        <v/>
      </c>
    </row>
    <row r="267" spans="5:5" x14ac:dyDescent="0.35">
      <c r="E267" s="26" t="str">
        <f>IF(B267="", "",COUNTIF(RawData!D:D,B267)&gt;0)</f>
        <v/>
      </c>
    </row>
    <row r="268" spans="5:5" x14ac:dyDescent="0.35">
      <c r="E268" s="26" t="str">
        <f>IF(B268="", "",COUNTIF(RawData!D:D,B268)&gt;0)</f>
        <v/>
      </c>
    </row>
    <row r="269" spans="5:5" x14ac:dyDescent="0.35">
      <c r="E269" s="26" t="str">
        <f>IF(B269="", "",COUNTIF(RawData!D:D,B269)&gt;0)</f>
        <v/>
      </c>
    </row>
    <row r="270" spans="5:5" x14ac:dyDescent="0.35">
      <c r="E270" s="26" t="str">
        <f>IF(B270="", "",COUNTIF(RawData!D:D,B270)&gt;0)</f>
        <v/>
      </c>
    </row>
    <row r="271" spans="5:5" x14ac:dyDescent="0.35">
      <c r="E271" s="26" t="str">
        <f>IF(B271="", "",COUNTIF(RawData!D:D,B271)&gt;0)</f>
        <v/>
      </c>
    </row>
    <row r="272" spans="5:5" x14ac:dyDescent="0.35">
      <c r="E272" s="26" t="str">
        <f>IF(B272="", "",COUNTIF(RawData!D:D,B272)&gt;0)</f>
        <v/>
      </c>
    </row>
    <row r="273" spans="5:5" x14ac:dyDescent="0.35">
      <c r="E273" s="26" t="str">
        <f>IF(B273="", "",COUNTIF(RawData!D:D,B273)&gt;0)</f>
        <v/>
      </c>
    </row>
    <row r="274" spans="5:5" x14ac:dyDescent="0.35">
      <c r="E274" s="26" t="str">
        <f>IF(B274="", "",COUNTIF(RawData!D:D,B274)&gt;0)</f>
        <v/>
      </c>
    </row>
    <row r="275" spans="5:5" x14ac:dyDescent="0.35">
      <c r="E275" s="26" t="str">
        <f>IF(B275="", "",COUNTIF(RawData!D:D,B275)&gt;0)</f>
        <v/>
      </c>
    </row>
    <row r="276" spans="5:5" x14ac:dyDescent="0.35">
      <c r="E276" s="26" t="str">
        <f>IF(B276="", "",COUNTIF(RawData!D:D,B276)&gt;0)</f>
        <v/>
      </c>
    </row>
    <row r="277" spans="5:5" x14ac:dyDescent="0.35">
      <c r="E277" s="26" t="str">
        <f>IF(B277="", "",COUNTIF(RawData!D:D,B277)&gt;0)</f>
        <v/>
      </c>
    </row>
    <row r="278" spans="5:5" x14ac:dyDescent="0.35">
      <c r="E278" s="26" t="str">
        <f>IF(B278="", "",COUNTIF(RawData!D:D,B278)&gt;0)</f>
        <v/>
      </c>
    </row>
    <row r="279" spans="5:5" x14ac:dyDescent="0.35">
      <c r="E279" s="26" t="str">
        <f>IF(B279="", "",COUNTIF(RawData!D:D,B279)&gt;0)</f>
        <v/>
      </c>
    </row>
    <row r="280" spans="5:5" x14ac:dyDescent="0.35">
      <c r="E280" s="26" t="str">
        <f>IF(B280="", "",COUNTIF(RawData!D:D,B280)&gt;0)</f>
        <v/>
      </c>
    </row>
    <row r="281" spans="5:5" x14ac:dyDescent="0.35">
      <c r="E281" s="26" t="str">
        <f>IF(B281="", "",COUNTIF(RawData!D:D,B281)&gt;0)</f>
        <v/>
      </c>
    </row>
    <row r="282" spans="5:5" x14ac:dyDescent="0.35">
      <c r="E282" s="26" t="str">
        <f>IF(B282="", "",COUNTIF(RawData!D:D,B282)&gt;0)</f>
        <v/>
      </c>
    </row>
    <row r="283" spans="5:5" x14ac:dyDescent="0.35">
      <c r="E283" s="26" t="str">
        <f>IF(B283="", "",COUNTIF(RawData!D:D,B283)&gt;0)</f>
        <v/>
      </c>
    </row>
    <row r="284" spans="5:5" x14ac:dyDescent="0.35">
      <c r="E284" s="26" t="str">
        <f>IF(B284="", "",COUNTIF(RawData!D:D,B284)&gt;0)</f>
        <v/>
      </c>
    </row>
    <row r="285" spans="5:5" x14ac:dyDescent="0.35">
      <c r="E285" s="26" t="str">
        <f>IF(B285="", "",COUNTIF(RawData!D:D,B285)&gt;0)</f>
        <v/>
      </c>
    </row>
    <row r="286" spans="5:5" x14ac:dyDescent="0.35">
      <c r="E286" s="26" t="str">
        <f>IF(B286="", "",COUNTIF(RawData!D:D,B286)&gt;0)</f>
        <v/>
      </c>
    </row>
    <row r="287" spans="5:5" x14ac:dyDescent="0.35">
      <c r="E287" s="26" t="str">
        <f>IF(B287="", "",COUNTIF(RawData!D:D,B287)&gt;0)</f>
        <v/>
      </c>
    </row>
    <row r="288" spans="5:5" x14ac:dyDescent="0.35">
      <c r="E288" s="26" t="str">
        <f>IF(B288="", "",COUNTIF(RawData!D:D,B288)&gt;0)</f>
        <v/>
      </c>
    </row>
    <row r="289" spans="5:5" x14ac:dyDescent="0.35">
      <c r="E289" s="26" t="str">
        <f>IF(B289="", "",COUNTIF(RawData!D:D,B289)&gt;0)</f>
        <v/>
      </c>
    </row>
    <row r="290" spans="5:5" x14ac:dyDescent="0.35">
      <c r="E290" s="26" t="str">
        <f>IF(B290="", "",COUNTIF(RawData!D:D,B290)&gt;0)</f>
        <v/>
      </c>
    </row>
    <row r="291" spans="5:5" x14ac:dyDescent="0.35">
      <c r="E291" s="26" t="str">
        <f>IF(B291="", "",COUNTIF(RawData!D:D,B291)&gt;0)</f>
        <v/>
      </c>
    </row>
    <row r="292" spans="5:5" x14ac:dyDescent="0.35">
      <c r="E292" s="26" t="str">
        <f>IF(B292="", "",COUNTIF(RawData!D:D,B292)&gt;0)</f>
        <v/>
      </c>
    </row>
    <row r="293" spans="5:5" x14ac:dyDescent="0.35">
      <c r="E293" s="26" t="str">
        <f>IF(B293="", "",COUNTIF(RawData!D:D,B293)&gt;0)</f>
        <v/>
      </c>
    </row>
    <row r="294" spans="5:5" x14ac:dyDescent="0.35">
      <c r="E294" s="26" t="str">
        <f>IF(B294="", "",COUNTIF(RawData!D:D,B294)&gt;0)</f>
        <v/>
      </c>
    </row>
    <row r="295" spans="5:5" x14ac:dyDescent="0.35">
      <c r="E295" s="26" t="str">
        <f>IF(B295="", "",COUNTIF(RawData!D:D,B295)&gt;0)</f>
        <v/>
      </c>
    </row>
    <row r="296" spans="5:5" x14ac:dyDescent="0.35">
      <c r="E296" s="26" t="str">
        <f>IF(B296="", "",COUNTIF(RawData!D:D,B296)&gt;0)</f>
        <v/>
      </c>
    </row>
    <row r="297" spans="5:5" x14ac:dyDescent="0.35">
      <c r="E297" s="26" t="str">
        <f>IF(B297="", "",COUNTIF(RawData!D:D,B297)&gt;0)</f>
        <v/>
      </c>
    </row>
    <row r="298" spans="5:5" x14ac:dyDescent="0.35">
      <c r="E298" s="26" t="str">
        <f>IF(B298="", "",COUNTIF(RawData!D:D,B298)&gt;0)</f>
        <v/>
      </c>
    </row>
    <row r="299" spans="5:5" x14ac:dyDescent="0.35">
      <c r="E299" s="26" t="str">
        <f>IF(B299="", "",COUNTIF(RawData!D:D,B299)&gt;0)</f>
        <v/>
      </c>
    </row>
    <row r="300" spans="5:5" x14ac:dyDescent="0.35">
      <c r="E300" s="26" t="str">
        <f>IF(B300="", "",COUNTIF(RawData!D:D,B300)&gt;0)</f>
        <v/>
      </c>
    </row>
    <row r="301" spans="5:5" x14ac:dyDescent="0.35">
      <c r="E301" s="26" t="str">
        <f>IF(B301="", "",COUNTIF(RawData!D:D,B301)&gt;0)</f>
        <v/>
      </c>
    </row>
    <row r="302" spans="5:5" x14ac:dyDescent="0.35">
      <c r="E302" s="26" t="str">
        <f>IF(B302="", "",COUNTIF(RawData!D:D,B302)&gt;0)</f>
        <v/>
      </c>
    </row>
    <row r="303" spans="5:5" x14ac:dyDescent="0.35">
      <c r="E303" s="26" t="str">
        <f>IF(B303="", "",COUNTIF(RawData!D:D,B303)&gt;0)</f>
        <v/>
      </c>
    </row>
  </sheetData>
  <conditionalFormatting sqref="F1 E2:E303">
    <cfRule type="cellIs" dxfId="1" priority="1" operator="equal">
      <formula>TRUE</formula>
    </cfRule>
    <cfRule type="cellIs" dxfId="0" priority="2" operator="equal">
      <formula>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FBS_Scan">
                <anchor moveWithCells="1" sizeWithCells="1">
                  <from>
                    <xdr:col>6</xdr:col>
                    <xdr:colOff>0</xdr:colOff>
                    <xdr:row>0</xdr:row>
                    <xdr:rowOff>38100</xdr:rowOff>
                  </from>
                  <to>
                    <xdr:col>6</xdr:col>
                    <xdr:colOff>584200</xdr:colOff>
                    <xdr:row>0</xdr:row>
                    <xdr:rowOff>533400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M34"/>
  <sheetViews>
    <sheetView tabSelected="1" workbookViewId="0">
      <pane xSplit="1" ySplit="1" topLeftCell="B2" activePane="bottomRight" state="frozen"/>
      <selection activeCell="H17" sqref="H17"/>
      <selection pane="topRight" activeCell="H17" sqref="H17"/>
      <selection pane="bottomLeft" activeCell="H17" sqref="H17"/>
      <selection pane="bottomRight" activeCell="I5" sqref="I5"/>
    </sheetView>
  </sheetViews>
  <sheetFormatPr defaultRowHeight="14.5" x14ac:dyDescent="0.35"/>
  <cols>
    <col min="1" max="1" width="28.81640625" bestFit="1" customWidth="1"/>
    <col min="2" max="2" width="19.54296875" customWidth="1"/>
    <col min="3" max="3" width="20.453125" customWidth="1"/>
    <col min="4" max="4" width="8.7265625" bestFit="1" customWidth="1"/>
    <col min="5" max="6" width="15.81640625" customWidth="1"/>
    <col min="7" max="7" width="13.453125" customWidth="1"/>
    <col min="8" max="8" width="13.81640625" style="26" customWidth="1"/>
    <col min="9" max="9" width="9.81640625" bestFit="1" customWidth="1"/>
    <col min="11" max="11" width="14.54296875" customWidth="1"/>
  </cols>
  <sheetData>
    <row r="1" spans="1:13" ht="43.5" x14ac:dyDescent="0.35">
      <c r="A1" s="1" t="s">
        <v>11</v>
      </c>
      <c r="B1" s="1" t="s">
        <v>17</v>
      </c>
      <c r="C1" s="1" t="s">
        <v>13</v>
      </c>
      <c r="D1" s="1" t="s">
        <v>12</v>
      </c>
      <c r="E1" s="3" t="s">
        <v>18</v>
      </c>
      <c r="F1" s="3" t="s">
        <v>207</v>
      </c>
      <c r="G1" s="4" t="s">
        <v>91</v>
      </c>
      <c r="H1" s="6" t="s">
        <v>161</v>
      </c>
      <c r="I1" s="2" t="s">
        <v>88</v>
      </c>
      <c r="J1" s="6" t="s">
        <v>101</v>
      </c>
      <c r="K1" s="6" t="s">
        <v>139</v>
      </c>
      <c r="L1" s="6" t="s">
        <v>371</v>
      </c>
      <c r="M1" s="6" t="s">
        <v>374</v>
      </c>
    </row>
    <row r="2" spans="1:13" x14ac:dyDescent="0.35">
      <c r="A2" s="26" t="s">
        <v>539</v>
      </c>
      <c r="B2" s="26"/>
      <c r="C2" s="26"/>
      <c r="D2" s="26"/>
      <c r="E2" s="26"/>
      <c r="F2" s="26"/>
      <c r="G2" s="26"/>
      <c r="I2" s="26"/>
      <c r="J2" s="26"/>
      <c r="K2" s="26" t="s">
        <v>236</v>
      </c>
    </row>
    <row r="3" spans="1:13" s="26" customFormat="1" x14ac:dyDescent="0.35">
      <c r="A3" s="26" t="s">
        <v>281</v>
      </c>
      <c r="C3" s="26" t="s">
        <v>540</v>
      </c>
      <c r="D3" s="26" t="s">
        <v>236</v>
      </c>
      <c r="I3" s="26">
        <v>1</v>
      </c>
    </row>
    <row r="4" spans="1:13" x14ac:dyDescent="0.35">
      <c r="A4" s="26" t="s">
        <v>140</v>
      </c>
      <c r="B4" s="26"/>
      <c r="C4" s="26" t="s">
        <v>540</v>
      </c>
      <c r="D4" s="26" t="s">
        <v>236</v>
      </c>
      <c r="E4" s="26"/>
      <c r="F4" s="26"/>
      <c r="G4" s="26"/>
      <c r="I4" s="26">
        <v>1</v>
      </c>
      <c r="J4" s="26"/>
      <c r="K4" s="26"/>
    </row>
    <row r="5" spans="1:13" x14ac:dyDescent="0.35">
      <c r="A5" s="26" t="s">
        <v>141</v>
      </c>
      <c r="B5" s="26"/>
      <c r="C5" s="26" t="s">
        <v>540</v>
      </c>
      <c r="D5" s="26" t="s">
        <v>236</v>
      </c>
      <c r="E5" s="26"/>
      <c r="F5" s="26"/>
      <c r="G5" s="26"/>
      <c r="I5" s="26">
        <v>1</v>
      </c>
      <c r="J5" s="26"/>
      <c r="K5" s="26"/>
    </row>
    <row r="6" spans="1:13" x14ac:dyDescent="0.35">
      <c r="A6" s="26" t="s">
        <v>6</v>
      </c>
      <c r="B6" s="26"/>
      <c r="C6" s="26" t="str">
        <f>VLOOKUP("Human",Dictionary!Q3:S100, 3, FALSE)</f>
        <v>Human</v>
      </c>
      <c r="D6" s="26" t="s">
        <v>236</v>
      </c>
      <c r="E6" s="26" t="s">
        <v>236</v>
      </c>
      <c r="F6" s="26" t="s">
        <v>162</v>
      </c>
      <c r="G6" s="26"/>
      <c r="I6" s="26"/>
      <c r="J6" s="26"/>
      <c r="K6" s="26"/>
    </row>
    <row r="7" spans="1:13" x14ac:dyDescent="0.35">
      <c r="A7" s="26" t="s">
        <v>4</v>
      </c>
      <c r="B7" s="26"/>
      <c r="C7" s="26" t="s">
        <v>541</v>
      </c>
      <c r="D7" s="26">
        <v>1</v>
      </c>
      <c r="E7" s="26"/>
      <c r="F7" s="26"/>
      <c r="G7" s="26"/>
      <c r="I7" s="26"/>
      <c r="J7" s="26"/>
      <c r="K7" s="26"/>
    </row>
    <row r="8" spans="1:13" x14ac:dyDescent="0.35">
      <c r="A8" s="26" t="s">
        <v>5</v>
      </c>
      <c r="B8" s="26"/>
      <c r="C8" s="26" t="s">
        <v>542</v>
      </c>
      <c r="D8" s="26" t="s">
        <v>236</v>
      </c>
      <c r="E8" s="26"/>
      <c r="F8" s="26"/>
      <c r="G8" s="26"/>
      <c r="I8" s="26"/>
      <c r="J8" s="26"/>
      <c r="K8" s="26"/>
    </row>
    <row r="9" spans="1:13" s="26" customFormat="1" x14ac:dyDescent="0.35">
      <c r="A9" s="26" t="s">
        <v>134</v>
      </c>
      <c r="C9" s="26" t="str">
        <f>VLOOKUP("Blood",Dictionary!I3:K100, 3, FALSE)</f>
        <v>Bl__Blood</v>
      </c>
      <c r="D9" s="26" t="s">
        <v>236</v>
      </c>
      <c r="E9" s="26" t="s">
        <v>236</v>
      </c>
      <c r="F9" s="26" t="s">
        <v>164</v>
      </c>
    </row>
    <row r="10" spans="1:13" x14ac:dyDescent="0.35">
      <c r="A10" s="26" t="s">
        <v>286</v>
      </c>
      <c r="B10" s="26"/>
      <c r="C10" s="26" t="str">
        <f>VLOOKUP("PBMC",Dictionary!BE3:BG100, 3,FALSE  )</f>
        <v>PBM_PBMC</v>
      </c>
      <c r="D10" s="26" t="s">
        <v>236</v>
      </c>
      <c r="E10" s="26" t="s">
        <v>236</v>
      </c>
      <c r="F10" s="26" t="s">
        <v>287</v>
      </c>
      <c r="G10" s="26"/>
      <c r="I10" s="26"/>
      <c r="J10" s="26"/>
      <c r="K10" s="26"/>
    </row>
    <row r="11" spans="1:13" s="26" customFormat="1" x14ac:dyDescent="0.35">
      <c r="A11" s="26" t="s">
        <v>208</v>
      </c>
      <c r="C11" s="26" t="str">
        <f>VLOOKUP("Source Specimen",Dictionary!M3:O100, 3, FALSE )</f>
        <v>SSp_ Source Specimen</v>
      </c>
      <c r="D11" s="26" t="s">
        <v>236</v>
      </c>
      <c r="E11" s="26" t="s">
        <v>236</v>
      </c>
      <c r="F11" s="26" t="s">
        <v>165</v>
      </c>
    </row>
    <row r="12" spans="1:13" s="26" customFormat="1" x14ac:dyDescent="0.35">
      <c r="A12" s="26" t="s">
        <v>283</v>
      </c>
      <c r="C12" s="26">
        <v>10</v>
      </c>
      <c r="D12" s="26" t="s">
        <v>236</v>
      </c>
      <c r="L12" s="26" t="s">
        <v>236</v>
      </c>
    </row>
    <row r="13" spans="1:13" x14ac:dyDescent="0.35">
      <c r="A13" s="26" t="s">
        <v>366</v>
      </c>
      <c r="B13" s="26"/>
      <c r="C13" s="26">
        <v>10</v>
      </c>
      <c r="D13" s="26" t="s">
        <v>236</v>
      </c>
      <c r="E13" s="26"/>
      <c r="F13" s="26"/>
      <c r="G13" s="26"/>
      <c r="I13" s="26"/>
      <c r="J13" s="26"/>
      <c r="K13" s="26"/>
      <c r="L13" t="s">
        <v>236</v>
      </c>
    </row>
    <row r="14" spans="1:13" s="26" customFormat="1" x14ac:dyDescent="0.35">
      <c r="A14" s="26" t="s">
        <v>9</v>
      </c>
      <c r="C14" s="26" t="str">
        <f>VLOOKUP("Cells (M)",Dictionary!AK3:AM100, 3, FALSE)</f>
        <v>Cells (M)</v>
      </c>
      <c r="D14" s="26" t="s">
        <v>236</v>
      </c>
      <c r="E14" s="26" t="s">
        <v>236</v>
      </c>
      <c r="F14" s="26" t="s">
        <v>284</v>
      </c>
    </row>
    <row r="15" spans="1:13" x14ac:dyDescent="0.35">
      <c r="A15" s="26" t="s">
        <v>8</v>
      </c>
      <c r="B15" s="26"/>
      <c r="C15" s="26" t="str">
        <f>VLOOKUP("Cryovial",Dictionary!Y3:AA100, 3, FALSE)</f>
        <v>Cryovial</v>
      </c>
      <c r="D15" s="26" t="s">
        <v>236</v>
      </c>
      <c r="E15" s="26" t="s">
        <v>236</v>
      </c>
      <c r="F15" s="26" t="s">
        <v>282</v>
      </c>
      <c r="G15" s="26"/>
      <c r="I15" s="26"/>
      <c r="J15" s="26"/>
      <c r="K15" s="26"/>
    </row>
    <row r="16" spans="1:13" x14ac:dyDescent="0.35">
      <c r="A16" s="26" t="s">
        <v>209</v>
      </c>
      <c r="B16" s="26"/>
      <c r="C16" s="26"/>
      <c r="D16" s="26"/>
      <c r="E16" s="26"/>
      <c r="F16" s="26"/>
      <c r="G16" s="26"/>
      <c r="I16" s="26"/>
      <c r="J16" s="26"/>
      <c r="K16" s="26"/>
      <c r="M16" s="26"/>
    </row>
    <row r="17" spans="1:11" x14ac:dyDescent="0.35">
      <c r="A17" s="26" t="s">
        <v>7</v>
      </c>
      <c r="B17" s="26"/>
      <c r="C17" s="26" t="s">
        <v>544</v>
      </c>
      <c r="D17" s="26" t="s">
        <v>236</v>
      </c>
      <c r="E17" s="26" t="s">
        <v>236</v>
      </c>
      <c r="F17" s="26" t="s">
        <v>163</v>
      </c>
      <c r="G17" s="26"/>
      <c r="I17" s="26"/>
      <c r="J17" s="26"/>
      <c r="K17" s="26"/>
    </row>
    <row r="18" spans="1:11" s="26" customFormat="1" x14ac:dyDescent="0.35">
      <c r="A18" s="26" t="s">
        <v>142</v>
      </c>
      <c r="D18" s="26" t="s">
        <v>236</v>
      </c>
      <c r="E18" s="26" t="s">
        <v>236</v>
      </c>
      <c r="F18" s="26" t="s">
        <v>166</v>
      </c>
    </row>
    <row r="19" spans="1:11" x14ac:dyDescent="0.35">
      <c r="A19" s="26" t="s">
        <v>382</v>
      </c>
      <c r="B19" s="26"/>
      <c r="C19" s="26"/>
      <c r="D19" s="26" t="s">
        <v>236</v>
      </c>
      <c r="E19" s="26"/>
      <c r="F19" s="26"/>
      <c r="G19" s="26"/>
      <c r="I19" s="26"/>
      <c r="J19" s="26"/>
      <c r="K19" s="26"/>
    </row>
    <row r="20" spans="1:11" x14ac:dyDescent="0.35">
      <c r="A20" s="26" t="s">
        <v>383</v>
      </c>
      <c r="B20" s="26"/>
      <c r="C20" s="26"/>
      <c r="D20" s="26" t="s">
        <v>236</v>
      </c>
      <c r="E20" s="26"/>
      <c r="F20" s="26"/>
      <c r="G20" s="26"/>
      <c r="I20" s="26"/>
      <c r="J20" s="26"/>
      <c r="K20" s="26"/>
    </row>
    <row r="21" spans="1:11" s="26" customFormat="1" x14ac:dyDescent="0.35">
      <c r="A21" s="26" t="s">
        <v>143</v>
      </c>
      <c r="D21" s="26" t="s">
        <v>236</v>
      </c>
    </row>
    <row r="22" spans="1:11" s="26" customFormat="1" x14ac:dyDescent="0.35">
      <c r="A22" s="26" t="s">
        <v>144</v>
      </c>
      <c r="D22" s="26" t="s">
        <v>236</v>
      </c>
    </row>
    <row r="23" spans="1:11" s="26" customFormat="1" x14ac:dyDescent="0.35">
      <c r="A23" s="26" t="s">
        <v>145</v>
      </c>
      <c r="D23" s="26" t="s">
        <v>236</v>
      </c>
    </row>
    <row r="24" spans="1:11" s="26" customFormat="1" x14ac:dyDescent="0.35"/>
    <row r="25" spans="1:11" s="26" customFormat="1" x14ac:dyDescent="0.35"/>
    <row r="26" spans="1:11" s="26" customFormat="1" x14ac:dyDescent="0.35"/>
    <row r="27" spans="1:11" s="26" customFormat="1" x14ac:dyDescent="0.35"/>
    <row r="28" spans="1:11" x14ac:dyDescent="0.35">
      <c r="A28" s="26"/>
      <c r="B28" s="26"/>
      <c r="C28" s="26"/>
      <c r="D28" s="26"/>
      <c r="E28" s="26"/>
      <c r="F28" s="26"/>
      <c r="G28" s="26"/>
      <c r="I28" s="26"/>
      <c r="J28" s="26"/>
      <c r="K28" s="26"/>
    </row>
    <row r="29" spans="1:11" x14ac:dyDescent="0.35">
      <c r="A29" s="26"/>
      <c r="B29" s="26"/>
      <c r="C29" s="26"/>
      <c r="D29" s="26"/>
      <c r="E29" s="26"/>
      <c r="F29" s="26"/>
      <c r="G29" s="26"/>
      <c r="I29" s="26"/>
      <c r="J29" s="26"/>
      <c r="K29" s="26"/>
    </row>
    <row r="30" spans="1:11" x14ac:dyDescent="0.35">
      <c r="A30" s="26"/>
      <c r="B30" s="26"/>
      <c r="C30" s="26"/>
      <c r="D30" s="26"/>
      <c r="E30" s="26"/>
      <c r="F30" s="26"/>
      <c r="G30" s="26"/>
      <c r="I30" s="26"/>
      <c r="J30" s="26"/>
      <c r="K30" s="26"/>
    </row>
    <row r="31" spans="1:11" x14ac:dyDescent="0.35">
      <c r="A31" s="26"/>
      <c r="B31" s="26"/>
      <c r="C31" s="26"/>
      <c r="D31" s="26"/>
      <c r="E31" s="26"/>
      <c r="F31" s="26"/>
      <c r="G31" s="26"/>
      <c r="I31" s="26"/>
      <c r="J31" s="26"/>
      <c r="K31" s="26"/>
    </row>
    <row r="32" spans="1:11" x14ac:dyDescent="0.35">
      <c r="A32" s="26"/>
      <c r="B32" s="26"/>
      <c r="C32" s="26"/>
      <c r="D32" s="26"/>
      <c r="E32" s="26"/>
      <c r="F32" s="26"/>
      <c r="G32" s="26"/>
      <c r="I32" s="26"/>
      <c r="J32" s="26"/>
      <c r="K32" s="26"/>
    </row>
    <row r="33" spans="1:11" x14ac:dyDescent="0.35">
      <c r="A33" s="26"/>
      <c r="B33" s="26"/>
      <c r="C33" s="26"/>
      <c r="D33" s="26"/>
      <c r="E33" s="26"/>
      <c r="F33" s="26"/>
      <c r="G33" s="26"/>
      <c r="I33" s="26"/>
      <c r="J33" s="26"/>
      <c r="K33" s="26"/>
    </row>
    <row r="34" spans="1:11" x14ac:dyDescent="0.35">
      <c r="A34" s="26"/>
      <c r="B34" s="26"/>
      <c r="C34" s="26"/>
      <c r="D34" s="26"/>
      <c r="E34" s="26"/>
      <c r="F34" s="26"/>
      <c r="G34" s="26"/>
      <c r="I34" s="26"/>
      <c r="J34" s="26"/>
      <c r="K34" s="26"/>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C22"/>
  <sheetViews>
    <sheetView workbookViewId="0">
      <selection activeCell="A2" sqref="A2"/>
    </sheetView>
  </sheetViews>
  <sheetFormatPr defaultRowHeight="14.5" x14ac:dyDescent="0.35"/>
  <cols>
    <col min="1" max="1" width="36" customWidth="1"/>
    <col min="2" max="2" width="102.81640625" bestFit="1" customWidth="1"/>
    <col min="3" max="3" width="10.54296875" bestFit="1" customWidth="1"/>
  </cols>
  <sheetData>
    <row r="1" spans="1:3" x14ac:dyDescent="0.35">
      <c r="A1" t="s">
        <v>244</v>
      </c>
      <c r="B1" t="s">
        <v>245</v>
      </c>
      <c r="C1" t="s">
        <v>372</v>
      </c>
    </row>
    <row r="2" spans="1:3" x14ac:dyDescent="0.35">
      <c r="A2" t="s">
        <v>250</v>
      </c>
      <c r="B2" s="26" t="s">
        <v>364</v>
      </c>
    </row>
    <row r="3" spans="1:3" x14ac:dyDescent="0.35">
      <c r="A3" t="s">
        <v>246</v>
      </c>
      <c r="B3" t="s">
        <v>247</v>
      </c>
    </row>
    <row r="4" spans="1:3" x14ac:dyDescent="0.35">
      <c r="A4" s="26" t="s">
        <v>248</v>
      </c>
      <c r="B4" s="26" t="s">
        <v>249</v>
      </c>
      <c r="C4" t="s">
        <v>373</v>
      </c>
    </row>
    <row r="5" spans="1:3" s="26" customFormat="1" x14ac:dyDescent="0.35">
      <c r="A5" s="26" t="s">
        <v>364</v>
      </c>
      <c r="B5" s="26" t="s">
        <v>365</v>
      </c>
    </row>
    <row r="6" spans="1:3" x14ac:dyDescent="0.35">
      <c r="A6" t="s">
        <v>251</v>
      </c>
      <c r="B6" t="s">
        <v>252</v>
      </c>
    </row>
    <row r="7" spans="1:3" x14ac:dyDescent="0.35">
      <c r="A7" t="s">
        <v>253</v>
      </c>
      <c r="B7" t="s">
        <v>255</v>
      </c>
    </row>
    <row r="8" spans="1:3" x14ac:dyDescent="0.35">
      <c r="A8" t="s">
        <v>256</v>
      </c>
      <c r="B8" s="26" t="s">
        <v>261</v>
      </c>
    </row>
    <row r="9" spans="1:3" x14ac:dyDescent="0.35">
      <c r="A9" s="26" t="s">
        <v>257</v>
      </c>
      <c r="B9" s="40" t="s">
        <v>384</v>
      </c>
    </row>
    <row r="10" spans="1:3" x14ac:dyDescent="0.35">
      <c r="A10" t="s">
        <v>258</v>
      </c>
      <c r="B10" t="s">
        <v>252</v>
      </c>
    </row>
    <row r="11" spans="1:3" x14ac:dyDescent="0.35">
      <c r="A11" t="s">
        <v>259</v>
      </c>
      <c r="B11" s="26" t="s">
        <v>260</v>
      </c>
    </row>
    <row r="12" spans="1:3" x14ac:dyDescent="0.35">
      <c r="A12" t="s">
        <v>262</v>
      </c>
      <c r="B12" t="s">
        <v>263</v>
      </c>
    </row>
    <row r="13" spans="1:3" x14ac:dyDescent="0.35">
      <c r="A13" t="s">
        <v>264</v>
      </c>
      <c r="B13" s="5">
        <v>2500</v>
      </c>
    </row>
    <row r="14" spans="1:3" s="26" customFormat="1" x14ac:dyDescent="0.35">
      <c r="A14" s="26" t="s">
        <v>265</v>
      </c>
      <c r="B14" s="5" t="s">
        <v>271</v>
      </c>
    </row>
    <row r="15" spans="1:3" x14ac:dyDescent="0.35">
      <c r="A15" t="s">
        <v>266</v>
      </c>
      <c r="B15" s="5">
        <v>5000</v>
      </c>
    </row>
    <row r="16" spans="1:3" x14ac:dyDescent="0.35">
      <c r="A16" t="s">
        <v>267</v>
      </c>
      <c r="B16" t="s">
        <v>252</v>
      </c>
    </row>
    <row r="17" spans="1:3" x14ac:dyDescent="0.35">
      <c r="A17" t="s">
        <v>268</v>
      </c>
      <c r="B17" s="5">
        <v>4</v>
      </c>
    </row>
    <row r="18" spans="1:3" x14ac:dyDescent="0.35">
      <c r="A18" t="s">
        <v>269</v>
      </c>
      <c r="B18" t="s">
        <v>270</v>
      </c>
    </row>
    <row r="19" spans="1:3" x14ac:dyDescent="0.35">
      <c r="A19" t="s">
        <v>285</v>
      </c>
      <c r="B19" t="b">
        <v>1</v>
      </c>
    </row>
    <row r="20" spans="1:3" s="26" customFormat="1" x14ac:dyDescent="0.35">
      <c r="A20" s="26" t="s">
        <v>381</v>
      </c>
      <c r="B20" s="26" t="b">
        <v>1</v>
      </c>
    </row>
    <row r="21" spans="1:3" x14ac:dyDescent="0.35">
      <c r="A21" t="s">
        <v>375</v>
      </c>
      <c r="B21" t="s">
        <v>376</v>
      </c>
      <c r="C21" t="s">
        <v>379</v>
      </c>
    </row>
    <row r="22" spans="1:3" x14ac:dyDescent="0.35">
      <c r="A22" t="s">
        <v>377</v>
      </c>
      <c r="B22" t="b">
        <v>1</v>
      </c>
      <c r="C22" t="s">
        <v>378</v>
      </c>
    </row>
  </sheetData>
  <sheetProtection password="EAF6" sheet="1" objects="1" scenarios="1"/>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BA96B-FA72-4514-AC17-41DFAE373422}">
  <sheetPr codeName="Sheet9"/>
  <dimension ref="A1:R1"/>
  <sheetViews>
    <sheetView workbookViewId="0">
      <selection activeCell="B1" sqref="B1"/>
    </sheetView>
  </sheetViews>
  <sheetFormatPr defaultRowHeight="14.5" x14ac:dyDescent="0.35"/>
  <cols>
    <col min="3" max="3" width="27.26953125" customWidth="1"/>
    <col min="15" max="15" width="9.1796875" style="26"/>
  </cols>
  <sheetData>
    <row r="1" spans="1:18" x14ac:dyDescent="0.35">
      <c r="A1" s="26" t="s">
        <v>385</v>
      </c>
      <c r="B1" s="26" t="str">
        <f>CONCATENATE("109,'")</f>
        <v>109,'</v>
      </c>
      <c r="C1" s="26" t="str">
        <f>TRIM(FieldSettings!A2)</f>
        <v>Lot: Lot Name</v>
      </c>
      <c r="D1" s="26" t="str">
        <f>CONCATENATE("', '",  TRIM(FieldSettings!B2))</f>
        <v>', '</v>
      </c>
      <c r="E1" s="26" t="str">
        <f>CONCATENATE("', '",  TRIM(FieldSettings!C2))</f>
        <v>', '</v>
      </c>
      <c r="F1" s="26" t="str">
        <f>CONCATENATE("', '",  TRIM(FieldSettings!D2))</f>
        <v>', '</v>
      </c>
      <c r="G1" s="26" t="str">
        <f>CONCATENATE("', '",  TRIM(FieldSettings!E2))</f>
        <v>', '</v>
      </c>
      <c r="H1" s="26" t="str">
        <f>CONCATENATE("', '",  TRIM(FieldSettings!F2))</f>
        <v>', '</v>
      </c>
      <c r="I1" s="26" t="str">
        <f>CONCATENATE("', '",  TRIM(FieldSettings!G2))</f>
        <v>', '</v>
      </c>
      <c r="J1" s="26" t="str">
        <f>CONCATENATE("', '",  TRIM(FieldSettings!H2))</f>
        <v>', '</v>
      </c>
      <c r="K1" s="26" t="str">
        <f>CONCATENATE("', '",  TRIM(FieldSettings!I2))</f>
        <v>', '</v>
      </c>
      <c r="L1" s="26" t="str">
        <f>CONCATENATE("', '",  TRIM(FieldSettings!J2))</f>
        <v>', '</v>
      </c>
      <c r="M1" s="26" t="str">
        <f>CONCATENATE("', '",  TRIM(FieldSettings!K2))</f>
        <v>', '1</v>
      </c>
      <c r="N1" s="26" t="str">
        <f>CONCATENATE("', '",  TRIM(FieldSettings!L2))</f>
        <v>', '</v>
      </c>
      <c r="O1" s="26" t="str">
        <f>CONCATENATE("', '",  TRIM(FieldSettings!M2))</f>
        <v>', '</v>
      </c>
      <c r="P1" s="38" t="str">
        <f>CONCATENATE("', ")</f>
        <v xml:space="preserve">', </v>
      </c>
      <c r="Q1" s="38" t="str">
        <f>CONCATENATE(ROW(), ")")</f>
        <v>1)</v>
      </c>
      <c r="R1" s="26" t="str">
        <f>CONCATENATE(A1,B1, C1,D1,E1,F1,G1,H1,I1, J1,K1,L1,M1,N1,O1,P1,Q1)</f>
        <v>Insert into dw_fw_field_set_profile_details (profile_id, Field_Name, Dropdown_Error_Message, [Default], [Required], Dropdown, DropDown_Values_First_Cell_Of_Lookup_Range, Calculation_Trigger, Calculation_overwrites_existing_value, Calculated, Date_Field,  Exclude_From_Export, Numeric_Only, Misc_settings, field_order) Values (109,'Lot: Lot Name', '', '', '', '', '', '', '', '', '', '1', '', '', 1)</v>
      </c>
    </row>
  </sheetData>
  <sheetProtection password="EAF6" sheet="1" objects="1" scenarios="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G133"/>
  <sheetViews>
    <sheetView workbookViewId="0">
      <selection activeCell="H17" sqref="H17"/>
    </sheetView>
  </sheetViews>
  <sheetFormatPr defaultRowHeight="14.5" x14ac:dyDescent="0.35"/>
  <cols>
    <col min="1" max="1" width="4.26953125" style="18" customWidth="1"/>
    <col min="2" max="2" width="17.54296875" style="7" bestFit="1" customWidth="1"/>
    <col min="3" max="3" width="42.26953125" style="8" customWidth="1"/>
  </cols>
  <sheetData>
    <row r="1" spans="1:7" ht="24" customHeight="1" x14ac:dyDescent="0.35">
      <c r="B1" s="49" t="s">
        <v>131</v>
      </c>
      <c r="C1" s="50"/>
    </row>
    <row r="2" spans="1:7" ht="29" x14ac:dyDescent="0.35">
      <c r="B2" s="9" t="s">
        <v>104</v>
      </c>
      <c r="C2" s="15" t="s">
        <v>105</v>
      </c>
    </row>
    <row r="3" spans="1:7" ht="29" x14ac:dyDescent="0.35">
      <c r="B3" s="10" t="s">
        <v>0</v>
      </c>
      <c r="C3" s="15" t="s">
        <v>102</v>
      </c>
    </row>
    <row r="4" spans="1:7" ht="29" x14ac:dyDescent="0.35">
      <c r="B4" s="11" t="s">
        <v>69</v>
      </c>
      <c r="C4" s="15" t="s">
        <v>103</v>
      </c>
    </row>
    <row r="5" spans="1:7" ht="29" x14ac:dyDescent="0.35">
      <c r="B5" s="12" t="s">
        <v>10</v>
      </c>
      <c r="C5" s="15" t="s">
        <v>106</v>
      </c>
    </row>
    <row r="6" spans="1:7" x14ac:dyDescent="0.35">
      <c r="B6" s="13"/>
      <c r="C6" s="15" t="s">
        <v>107</v>
      </c>
    </row>
    <row r="7" spans="1:7" x14ac:dyDescent="0.35">
      <c r="B7" s="20" t="s">
        <v>111</v>
      </c>
      <c r="C7" s="17" t="s">
        <v>132</v>
      </c>
    </row>
    <row r="8" spans="1:7" ht="29.5" thickBot="1" x14ac:dyDescent="0.4">
      <c r="B8" s="14"/>
      <c r="C8" s="16" t="s">
        <v>108</v>
      </c>
    </row>
    <row r="10" spans="1:7" ht="23.5" x14ac:dyDescent="0.35">
      <c r="A10" s="51" t="s">
        <v>109</v>
      </c>
      <c r="B10" s="51"/>
      <c r="C10" s="51"/>
      <c r="D10" s="51"/>
      <c r="E10" s="51"/>
      <c r="F10" s="51"/>
      <c r="G10" s="51"/>
    </row>
    <row r="11" spans="1:7" ht="18.5" x14ac:dyDescent="0.35">
      <c r="A11" s="19">
        <v>1</v>
      </c>
      <c r="B11" s="23" t="s">
        <v>116</v>
      </c>
    </row>
    <row r="12" spans="1:7" x14ac:dyDescent="0.35">
      <c r="A12" s="18">
        <v>1.1000000000000001</v>
      </c>
      <c r="B12" s="52" t="s">
        <v>112</v>
      </c>
      <c r="C12" s="52"/>
      <c r="D12" s="52"/>
      <c r="E12" s="52"/>
      <c r="F12" s="52"/>
      <c r="G12" s="52"/>
    </row>
    <row r="13" spans="1:7" ht="6.75" customHeight="1" x14ac:dyDescent="0.35">
      <c r="B13" s="22"/>
      <c r="C13" s="22"/>
      <c r="D13" s="22"/>
      <c r="E13" s="22"/>
      <c r="F13" s="22"/>
      <c r="G13" s="22"/>
    </row>
    <row r="14" spans="1:7" x14ac:dyDescent="0.35">
      <c r="B14" s="7" t="s">
        <v>122</v>
      </c>
    </row>
    <row r="25" spans="1:7" ht="19.5" customHeight="1" x14ac:dyDescent="0.35"/>
    <row r="26" spans="1:7" ht="18.5" x14ac:dyDescent="0.35">
      <c r="A26" s="19">
        <v>2</v>
      </c>
      <c r="B26" s="48" t="s">
        <v>118</v>
      </c>
      <c r="C26" s="48"/>
      <c r="D26" s="48"/>
      <c r="E26" s="48"/>
      <c r="F26" s="48"/>
      <c r="G26" s="48"/>
    </row>
    <row r="27" spans="1:7" x14ac:dyDescent="0.35">
      <c r="A27" s="18">
        <v>2.1</v>
      </c>
      <c r="B27" s="47" t="s">
        <v>110</v>
      </c>
      <c r="C27" s="47"/>
      <c r="D27" s="47"/>
      <c r="E27" s="47"/>
      <c r="F27" s="47"/>
      <c r="G27" s="47"/>
    </row>
    <row r="28" spans="1:7" ht="51.75" customHeight="1" x14ac:dyDescent="0.35">
      <c r="A28" s="18">
        <v>2.2000000000000002</v>
      </c>
      <c r="B28" s="46" t="s">
        <v>133</v>
      </c>
      <c r="C28" s="47"/>
      <c r="D28" s="47"/>
      <c r="E28" s="47"/>
      <c r="F28" s="47"/>
      <c r="G28" s="47"/>
    </row>
    <row r="29" spans="1:7" ht="66.75" customHeight="1" x14ac:dyDescent="0.35">
      <c r="A29" s="18">
        <v>2.2999999999999998</v>
      </c>
      <c r="B29" s="46" t="s">
        <v>117</v>
      </c>
      <c r="C29" s="46"/>
      <c r="D29" s="46"/>
      <c r="E29" s="46"/>
      <c r="F29" s="46"/>
      <c r="G29" s="46"/>
    </row>
    <row r="30" spans="1:7" ht="69" customHeight="1" x14ac:dyDescent="0.35">
      <c r="A30" s="18">
        <v>2.4</v>
      </c>
      <c r="B30" s="46" t="s">
        <v>123</v>
      </c>
      <c r="C30" s="46"/>
      <c r="D30" s="46"/>
      <c r="E30" s="46"/>
      <c r="F30" s="46"/>
      <c r="G30" s="46"/>
    </row>
    <row r="31" spans="1:7" ht="6.75" customHeight="1" x14ac:dyDescent="0.35">
      <c r="B31" s="21"/>
      <c r="C31" s="21"/>
      <c r="D31" s="21"/>
      <c r="E31" s="21"/>
      <c r="F31" s="21"/>
      <c r="G31" s="21"/>
    </row>
    <row r="32" spans="1:7" x14ac:dyDescent="0.35">
      <c r="B32" s="7" t="s">
        <v>114</v>
      </c>
    </row>
    <row r="52" spans="2:2" x14ac:dyDescent="0.35">
      <c r="B52" s="7" t="s">
        <v>113</v>
      </c>
    </row>
    <row r="79" spans="2:2" x14ac:dyDescent="0.35">
      <c r="B79" s="7" t="s">
        <v>115</v>
      </c>
    </row>
    <row r="106" spans="1:7" ht="69.75" customHeight="1" x14ac:dyDescent="0.35">
      <c r="A106" s="18">
        <v>2.5</v>
      </c>
      <c r="B106" s="46" t="s">
        <v>124</v>
      </c>
      <c r="C106" s="46"/>
      <c r="D106" s="46"/>
      <c r="E106" s="46"/>
      <c r="F106" s="46"/>
      <c r="G106" s="46"/>
    </row>
    <row r="107" spans="1:7" ht="191.25" customHeight="1" x14ac:dyDescent="0.35"/>
    <row r="108" spans="1:7" ht="42" customHeight="1" x14ac:dyDescent="0.35">
      <c r="A108" s="19">
        <v>3</v>
      </c>
      <c r="B108" s="48" t="s">
        <v>119</v>
      </c>
      <c r="C108" s="48"/>
      <c r="D108" s="48"/>
      <c r="E108" s="48"/>
      <c r="F108" s="48"/>
      <c r="G108" s="48"/>
    </row>
    <row r="109" spans="1:7" ht="33.75" customHeight="1" x14ac:dyDescent="0.35">
      <c r="A109" s="18">
        <v>3.1</v>
      </c>
      <c r="B109" s="46" t="s">
        <v>121</v>
      </c>
      <c r="C109" s="46"/>
      <c r="D109" s="46"/>
      <c r="E109" s="46"/>
      <c r="F109" s="46"/>
      <c r="G109" s="46"/>
    </row>
    <row r="110" spans="1:7" ht="31.5" customHeight="1" x14ac:dyDescent="0.35">
      <c r="A110" s="18">
        <v>3.2</v>
      </c>
      <c r="B110" s="46" t="s">
        <v>125</v>
      </c>
      <c r="C110" s="46"/>
      <c r="D110" s="46"/>
      <c r="E110" s="46"/>
      <c r="F110" s="46"/>
      <c r="G110" s="46"/>
    </row>
    <row r="112" spans="1:7" x14ac:dyDescent="0.35">
      <c r="B112" s="7" t="s">
        <v>120</v>
      </c>
    </row>
    <row r="129" spans="1:7" ht="50.25" customHeight="1" x14ac:dyDescent="0.35">
      <c r="A129" s="18">
        <v>3.3</v>
      </c>
      <c r="B129" s="45" t="s">
        <v>126</v>
      </c>
      <c r="C129" s="45"/>
      <c r="D129" s="45"/>
      <c r="E129" s="45"/>
      <c r="F129" s="45"/>
      <c r="G129" s="45"/>
    </row>
    <row r="130" spans="1:7" ht="47.25" customHeight="1" x14ac:dyDescent="0.35">
      <c r="A130" s="18">
        <v>3.4</v>
      </c>
      <c r="B130" s="45" t="s">
        <v>127</v>
      </c>
      <c r="C130" s="45"/>
      <c r="D130" s="45"/>
      <c r="E130" s="45"/>
      <c r="F130" s="45"/>
      <c r="G130" s="45"/>
    </row>
    <row r="131" spans="1:7" ht="51" customHeight="1" x14ac:dyDescent="0.35">
      <c r="A131" s="18">
        <v>3.5</v>
      </c>
      <c r="B131" s="45" t="s">
        <v>128</v>
      </c>
      <c r="C131" s="45"/>
      <c r="D131" s="45"/>
      <c r="E131" s="45"/>
      <c r="F131" s="45"/>
      <c r="G131" s="45"/>
    </row>
    <row r="132" spans="1:7" ht="63.75" customHeight="1" x14ac:dyDescent="0.35">
      <c r="A132" s="18">
        <v>3.6</v>
      </c>
      <c r="B132" s="45" t="s">
        <v>129</v>
      </c>
      <c r="C132" s="45"/>
      <c r="D132" s="45"/>
      <c r="E132" s="45"/>
      <c r="F132" s="45"/>
      <c r="G132" s="45"/>
    </row>
    <row r="133" spans="1:7" ht="34.5" customHeight="1" x14ac:dyDescent="0.35">
      <c r="A133" s="18">
        <v>3.7</v>
      </c>
      <c r="B133" s="45" t="s">
        <v>130</v>
      </c>
      <c r="C133" s="45"/>
      <c r="D133" s="45"/>
      <c r="E133" s="45"/>
      <c r="F133" s="45"/>
      <c r="G133" s="45"/>
    </row>
  </sheetData>
  <mergeCells count="17">
    <mergeCell ref="B1:C1"/>
    <mergeCell ref="A10:G10"/>
    <mergeCell ref="B27:G27"/>
    <mergeCell ref="B26:G26"/>
    <mergeCell ref="B12:G12"/>
    <mergeCell ref="B133:G133"/>
    <mergeCell ref="B28:G28"/>
    <mergeCell ref="B29:G29"/>
    <mergeCell ref="B30:G30"/>
    <mergeCell ref="B106:G106"/>
    <mergeCell ref="B108:G108"/>
    <mergeCell ref="B109:G109"/>
    <mergeCell ref="B110:G110"/>
    <mergeCell ref="B129:G129"/>
    <mergeCell ref="B130:G130"/>
    <mergeCell ref="B131:G131"/>
    <mergeCell ref="B132:G132"/>
  </mergeCells>
  <pageMargins left="0.25" right="0.25"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8</vt:i4>
      </vt:variant>
    </vt:vector>
  </HeadingPairs>
  <TitlesOfParts>
    <vt:vector size="16" baseType="lpstr">
      <vt:lpstr>RawData</vt:lpstr>
      <vt:lpstr>Validated</vt:lpstr>
      <vt:lpstr>Dictionary</vt:lpstr>
      <vt:lpstr>FlatbedScans</vt:lpstr>
      <vt:lpstr>FieldSettings</vt:lpstr>
      <vt:lpstr>Configuration</vt:lpstr>
      <vt:lpstr>SQL_Update</vt:lpstr>
      <vt:lpstr>Legend &amp; Instructions</vt:lpstr>
      <vt:lpstr>Dictionary!temp1_10</vt:lpstr>
      <vt:lpstr>Dictionary!temp1_11</vt:lpstr>
      <vt:lpstr>Dictionary!temp1_12</vt:lpstr>
      <vt:lpstr>Dictionary!temp1_2</vt:lpstr>
      <vt:lpstr>Dictionary!temp1_6</vt:lpstr>
      <vt:lpstr>Dictionary!temp1_7</vt:lpstr>
      <vt:lpstr>Dictionary!temp1_8</vt:lpstr>
      <vt:lpstr>Dictionary!temp1_9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Stas Rirak</dc:creator>
  <cp:lastModifiedBy>Stas Rirak</cp:lastModifiedBy>
  <cp:lastPrinted>2018-01-16T23:41:22Z</cp:lastPrinted>
  <dcterms:created xsi:type="dcterms:W3CDTF">2017-12-23T22:44:11Z</dcterms:created>
  <dcterms:modified xsi:type="dcterms:W3CDTF">2019-06-06T17:10:15Z</dcterms:modified>
</cp:coreProperties>
</file>