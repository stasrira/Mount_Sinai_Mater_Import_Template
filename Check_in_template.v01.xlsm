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B088290D-1185-4889-93F0-4B5629B34D87}" xr6:coauthVersionLast="45" xr6:coauthVersionMax="45" xr10:uidLastSave="{00000000-0000-0000-0000-000000000000}"/>
  <bookViews>
    <workbookView xWindow="574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FBS_TempLoad" sheetId="14" r:id="rId9"/>
    <sheet name="Legend &amp; Instructions" sheetId="7" r:id="rId10"/>
  </sheets>
  <functionGroups builtInGroupCount="19"/>
  <definedNames>
    <definedName name="_xlnm._FilterDatabase" localSheetId="3" hidden="1">FlatbedScans!$B$1:$B$97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10" l="1"/>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D2" i="13"/>
  <c r="D3" i="13"/>
  <c r="D4" i="13"/>
  <c r="D5" i="13"/>
  <c r="D6" i="13"/>
  <c r="D7" i="13"/>
  <c r="C2" i="13"/>
  <c r="C3" i="13"/>
  <c r="C4" i="13"/>
  <c r="C5" i="13"/>
  <c r="C6" i="13"/>
  <c r="C7" i="13"/>
  <c r="B2" i="13"/>
  <c r="B3" i="13"/>
  <c r="B4" i="13"/>
  <c r="B5" i="13"/>
  <c r="B6" i="13"/>
  <c r="B7" i="13"/>
  <c r="B1" i="12"/>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<sst xmlns="http://schemas.openxmlformats.org/spreadsheetml/2006/main" count="6494" uniqueCount="871">
  <si>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</si>
  <si>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</si>
  <si>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</si>
  <si>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</si>
  <si>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</si>
  <si>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</si>
  <si>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</si>
  <si>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</si>
  <si>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</si>
  <si>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</si>
  <si>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</si>
  <si>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</si>
  <si>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</si>
  <si>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</si>
  <si>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</si>
  <si>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</si>
  <si>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</si>
  <si>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</si>
  <si>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</si>
  <si>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</si>
  <si>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</si>
  <si>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</si>
  <si>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</si>
  <si>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</si>
  <si>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</si>
  <si>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</si>
  <si>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</si>
  <si>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</si>
  <si>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</si>
  <si>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</si>
  <si>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</si>
  <si>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</si>
  <si>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</si>
  <si>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</si>
  <si>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</si>
  <si>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</si>
  <si>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</si>
  <si>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</si>
  <si>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</si>
  <si>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</si>
  <si>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</si>
  <si>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</si>
  <si>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</si>
  <si>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</si>
  <si>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</si>
  <si>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</si>
  <si>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</si>
  <si>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</si>
  <si>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</si>
  <si>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</si>
  <si>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</si>
  <si>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</si>
  <si>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</si>
  <si>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</si>
  <si>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</si>
  <si>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</si>
  <si>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</si>
  <si>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</si>
  <si>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</si>
  <si>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</si>
  <si>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</si>
  <si>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</si>
  <si>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</si>
  <si>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</si>
  <si>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</si>
  <si>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</si>
  <si>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</si>
  <si>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</si>
  <si>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</si>
  <si>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</si>
  <si>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</si>
  <si>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</si>
  <si>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</si>
  <si>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</si>
  <si>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</si>
  <si>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</si>
  <si>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</si>
  <si>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</si>
  <si>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</si>
  <si>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</si>
  <si>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</si>
  <si>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</si>
  <si>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</si>
  <si>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</si>
  <si>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</si>
  <si>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</si>
  <si>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</si>
  <si>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</si>
  <si>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</si>
  <si>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</si>
  <si>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</si>
  <si>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</si>
  <si>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</si>
  <si>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</si>
  <si>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</si>
  <si>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</si>
  <si>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</si>
  <si>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</si>
  <si>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</si>
  <si>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</si>
  <si>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</si>
  <si>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</si>
  <si>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</si>
  <si>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</si>
  <si>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</si>
  <si>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</si>
  <si>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</si>
  <si>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</si>
  <si>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</si>
  <si>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</si>
  <si>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</si>
  <si>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</si>
  <si>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</si>
  <si>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</si>
  <si>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</si>
  <si>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</si>
  <si>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</si>
  <si>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</si>
  <si>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</si>
  <si>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</si>
  <si>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</si>
  <si>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</si>
  <si>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</si>
  <si>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</si>
  <si>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</si>
  <si>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</si>
  <si>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</si>
  <si>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</si>
  <si>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</si>
  <si>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</si>
  <si>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</si>
  <si>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</si>
  <si>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</si>
  <si>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</si>
  <si>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</si>
  <si>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</si>
  <si>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</si>
  <si>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</si>
  <si>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</si>
  <si>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</si>
  <si>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</si>
  <si>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</si>
  <si>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</si>
  <si>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</si>
  <si>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</si>
  <si>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</si>
  <si>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</si>
  <si>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</si>
  <si>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</si>
  <si>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</si>
  <si>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</si>
  <si>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</si>
  <si>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</si>
  <si>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</si>
  <si>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</si>
  <si>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</si>
  <si>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</si>
  <si>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</si>
  <si>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</si>
  <si>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</si>
  <si>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</si>
  <si>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</si>
  <si>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</si>
  <si>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</si>
  <si>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</si>
  <si>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</si>
  <si>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</si>
  <si>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</si>
  <si>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</si>
  <si>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</si>
  <si>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</si>
  <si>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</si>
  <si>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</si>
  <si>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</si>
  <si>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</si>
  <si>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</si>
  <si>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</si>
  <si>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</si>
  <si>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</si>
  <si>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</si>
  <si>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</si>
  <si>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</si>
  <si>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</si>
  <si>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</si>
  <si>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</si>
  <si>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</si>
  <si>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</si>
  <si>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</si>
  <si>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</si>
  <si>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</si>
  <si>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</si>
  <si>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</si>
  <si>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</si>
  <si>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</si>
  <si>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</si>
  <si>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</si>
  <si>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</si>
  <si>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</si>
  <si>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</si>
  <si>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</si>
  <si>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</si>
  <si>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</si>
  <si>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</si>
  <si>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</si>
  <si>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</si>
  <si>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</si>
  <si>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</si>
  <si>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</si>
  <si>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</si>
  <si>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</si>
  <si>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</si>
  <si>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</si>
  <si>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</si>
  <si>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</si>
  <si>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</si>
  <si>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</si>
  <si>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</si>
  <si>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</si>
  <si>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</si>
  <si>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</si>
  <si>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</si>
  <si>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</si>
  <si>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</si>
  <si>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</si>
  <si>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</si>
  <si>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</si>
  <si>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7h_ 7hPost</t>
  </si>
  <si>
    <t>7hPost</t>
  </si>
  <si>
    <t>Hpt_Hypothalamus</t>
  </si>
  <si>
    <t>Hypothalamus</t>
  </si>
  <si>
    <t>Joslin Diabetes Center</t>
  </si>
  <si>
    <t>Joslin Diabetes Ctr</t>
  </si>
  <si>
    <t>Key</t>
  </si>
  <si>
    <t>Value</t>
  </si>
  <si>
    <t>Conn_Dict_local</t>
  </si>
  <si>
    <t>Conn_Dict_Mount_Sinai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</si>
  <si>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</si>
  <si>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</si>
  <si>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</si>
  <si>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</si>
  <si>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</si>
  <si>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</si>
  <si>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</si>
  <si>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</si>
  <si>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</si>
  <si>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</si>
  <si>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</si>
  <si>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</si>
  <si>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</si>
  <si>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</si>
  <si>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</si>
  <si>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</si>
  <si>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</si>
  <si>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</si>
  <si>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</si>
  <si>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</si>
  <si>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</si>
  <si>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</si>
  <si>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</si>
  <si>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</si>
  <si>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</si>
  <si>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</si>
  <si>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</si>
  <si>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</si>
  <si>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</si>
  <si>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</si>
  <si>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</si>
  <si>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</si>
  <si>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</si>
  <si>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</si>
  <si>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</si>
  <si>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</si>
  <si>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</si>
  <si>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</si>
  <si>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</si>
  <si>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</si>
  <si>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</si>
  <si>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</si>
  <si>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</si>
  <si>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</si>
  <si>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</si>
  <si>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</si>
  <si>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</si>
  <si>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</si>
  <si>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</si>
  <si>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</si>
  <si>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</si>
  <si>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</si>
  <si>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</si>
  <si>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</si>
  <si>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</si>
  <si>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</si>
  <si>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</si>
  <si>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</si>
  <si>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</si>
  <si>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</si>
  <si>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</si>
  <si>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</si>
  <si>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</si>
  <si>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</si>
  <si>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</si>
  <si>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</si>
  <si>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</si>
  <si>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</si>
  <si>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</si>
  <si>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</si>
  <si>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</si>
  <si>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</si>
  <si>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</si>
  <si>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</si>
  <si>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</si>
  <si>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</si>
  <si>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</si>
  <si>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</si>
  <si>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</si>
  <si>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</si>
  <si>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</si>
  <si>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</si>
  <si>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</si>
  <si>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</si>
  <si>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</si>
  <si>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</si>
  <si>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</si>
  <si>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</si>
  <si>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</si>
  <si>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</si>
  <si>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</si>
  <si>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</si>
  <si>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</si>
  <si>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</si>
  <si>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</si>
  <si>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</si>
  <si>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</si>
  <si>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</si>
  <si>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</si>
  <si>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</si>
  <si>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</si>
  <si>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</si>
  <si>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</si>
  <si>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</si>
  <si>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</si>
  <si>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</si>
  <si>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</si>
  <si>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</si>
  <si>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</si>
  <si>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</si>
  <si>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</si>
  <si>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</si>
  <si>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</si>
  <si>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</si>
  <si>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</si>
  <si>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</si>
  <si>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</si>
  <si>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</si>
  <si>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</si>
  <si>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</si>
  <si>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</si>
  <si>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</si>
  <si>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</si>
  <si>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</si>
  <si>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</si>
  <si>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</si>
  <si>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</si>
  <si>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</si>
  <si>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</si>
  <si>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</si>
  <si>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</si>
  <si>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</si>
  <si>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</si>
  <si>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</si>
  <si>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</si>
  <si>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</si>
  <si>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</si>
  <si>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</si>
  <si>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</si>
  <si>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</si>
  <si>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</si>
  <si>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</si>
  <si>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</si>
  <si>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</si>
  <si>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</si>
  <si>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</si>
  <si>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</si>
  <si>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</si>
  <si>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</si>
  <si>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</si>
  <si>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</si>
  <si>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</si>
  <si>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</si>
  <si>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</si>
  <si>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</si>
  <si>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</si>
  <si>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</si>
  <si>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</si>
  <si>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</si>
  <si>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</si>
  <si>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</si>
  <si>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This connection string is to use on not School IT managed PCs (where the current user is not authenticated)</t>
  </si>
  <si>
    <t>MT_Source Aliquot Label</t>
  </si>
  <si>
    <t>MT_SubjectID</t>
  </si>
  <si>
    <t>MT_Comments</t>
  </si>
  <si>
    <t>Initial Amount</t>
  </si>
  <si>
    <t>Current Amount</t>
  </si>
  <si>
    <t>AK3</t>
  </si>
  <si>
    <t>MT_ManifestID</t>
  </si>
  <si>
    <t>MT_Sample ID</t>
  </si>
  <si>
    <t>I3</t>
  </si>
  <si>
    <t>A3</t>
  </si>
  <si>
    <t>MT_Aliquot Type</t>
  </si>
  <si>
    <t>M3</t>
  </si>
  <si>
    <t>Y3</t>
  </si>
  <si>
    <t>AS3</t>
  </si>
  <si>
    <t>Rack_p1</t>
  </si>
  <si>
    <t>Tray_p2</t>
  </si>
  <si>
    <t>Box_Plate_p3</t>
  </si>
  <si>
    <t>Row_p4</t>
  </si>
  <si>
    <t>Column_p5</t>
  </si>
  <si>
    <t>Provider=SQLNCLI11;Server=10.160.20.65\TESTINS1;Database=dw_motrpac;Trusted_Connection=yes;</t>
  </si>
  <si>
    <t>Provider=SQLNCLI11;Server=10.160.20.65\SSQL_2016;Database=dw_motrpac;Trusted_Connection=yes;</t>
  </si>
  <si>
    <t>Microsoft® SQL Server® 2012 Native Client installation link for local PCs: https://www.microsoft.com/en-us/download/confirmation.aspx?id=50402</t>
  </si>
  <si>
    <t>Database connnectivity</t>
  </si>
  <si>
    <t>Installation of the Microsoft SQL Server 2012 Native Client might be required on a local machine where from the MCT is being used.</t>
  </si>
  <si>
    <t xml:space="preserve">Here is the link for the installer: </t>
  </si>
  <si>
    <t>https://www.microsoft.com/en-us/download/confirmation.aspx?id=50402</t>
  </si>
  <si>
    <t>T00</t>
  </si>
  <si>
    <t>T03</t>
  </si>
  <si>
    <t>T04</t>
  </si>
  <si>
    <t>T07</t>
  </si>
  <si>
    <t>T08</t>
  </si>
  <si>
    <t>T10</t>
  </si>
  <si>
    <t>T13</t>
  </si>
  <si>
    <t>T14</t>
  </si>
  <si>
    <t>T15</t>
  </si>
  <si>
    <t>T17</t>
  </si>
  <si>
    <t>T20</t>
  </si>
  <si>
    <t>T21</t>
  </si>
  <si>
    <t>T23</t>
  </si>
  <si>
    <t>T25</t>
  </si>
  <si>
    <t>T28</t>
  </si>
  <si>
    <t>T32</t>
  </si>
  <si>
    <t>T35</t>
  </si>
  <si>
    <t>T37</t>
  </si>
  <si>
    <t>T39</t>
  </si>
  <si>
    <t>T40</t>
  </si>
  <si>
    <t>T42</t>
  </si>
  <si>
    <t>T46</t>
  </si>
  <si>
    <t>T49</t>
  </si>
  <si>
    <t>T53</t>
  </si>
  <si>
    <t>T56</t>
  </si>
  <si>
    <t>T60</t>
  </si>
  <si>
    <t>T63</t>
  </si>
  <si>
    <t>T67</t>
  </si>
  <si>
    <t>T70</t>
  </si>
  <si>
    <t>T74</t>
  </si>
  <si>
    <t>T77</t>
  </si>
  <si>
    <t>T81</t>
  </si>
  <si>
    <t>T84</t>
  </si>
  <si>
    <t>T88</t>
  </si>
  <si>
    <t>T91</t>
  </si>
  <si>
    <t>T98</t>
  </si>
  <si>
    <t>V01</t>
  </si>
  <si>
    <t>t01 Timepoint 1</t>
  </si>
  <si>
    <t>V02</t>
  </si>
  <si>
    <t>t02 Timepoint 2</t>
  </si>
  <si>
    <t>V03</t>
  </si>
  <si>
    <t>t03 Timepoint 3</t>
  </si>
  <si>
    <t>V04</t>
  </si>
  <si>
    <t>t04 Timepoint 4</t>
  </si>
  <si>
    <t>V05</t>
  </si>
  <si>
    <t>t05 Timepoint 5</t>
  </si>
  <si>
    <t>V06</t>
  </si>
  <si>
    <t>t06 Timepoint 6</t>
  </si>
  <si>
    <t>V07</t>
  </si>
  <si>
    <t>t07 Timepoint 7</t>
  </si>
  <si>
    <t>V08</t>
  </si>
  <si>
    <t>t08 Timepoint 8</t>
  </si>
  <si>
    <t>V09</t>
  </si>
  <si>
    <t>t09 Timepoint 9</t>
  </si>
  <si>
    <t>V10</t>
  </si>
  <si>
    <t>t10 Timepoint 10</t>
  </si>
  <si>
    <t>ECHO-CHARM</t>
  </si>
  <si>
    <t>HCW</t>
  </si>
  <si>
    <t>HRHCW</t>
  </si>
  <si>
    <t>Saliva</t>
  </si>
  <si>
    <t>SLV_Saliva</t>
  </si>
  <si>
    <t>Whole Blood</t>
  </si>
  <si>
    <t>Parris Island</t>
  </si>
  <si>
    <t>MT_14f_HCW study</t>
  </si>
  <si>
    <t>MT_19f_4C</t>
  </si>
  <si>
    <t>MT_DARPA Tank</t>
  </si>
  <si>
    <t>MT_Novare</t>
  </si>
  <si>
    <t>19f_4C_Left</t>
  </si>
  <si>
    <t>19f_4C_Right</t>
  </si>
  <si>
    <t>Brooks_PaxGene tubes</t>
  </si>
  <si>
    <t>DARPA Tank Section 1</t>
  </si>
  <si>
    <t>HCW_Cryovials</t>
  </si>
  <si>
    <t>HCW_Micronic_boxes</t>
  </si>
  <si>
    <t>Novare_Micronics</t>
  </si>
  <si>
    <t>Tempus</t>
  </si>
  <si>
    <t>Tem_Tempus</t>
  </si>
  <si>
    <t>WLB_Whole Blood</t>
  </si>
  <si>
    <t>A</t>
  </si>
  <si>
    <t>DRIVER=SQL Server Native Client 11.0;SERVER=10.9.10.59\SQLVP201606;UID=mt_internal_user;PWD=se@lf0n1nt3rn@l;DATABASE=dw_motrpac;</t>
  </si>
  <si>
    <t>DRIVER=SQL Server Native Client 11.0;SERVER=localhost\sqlexpress;Trusted_Connection=yes;DATABASE=dw_motrpac;</t>
  </si>
  <si>
    <t>Box_Code_Reported</t>
  </si>
  <si>
    <t>Position_Code_Reported</t>
  </si>
  <si>
    <t>AW3</t>
  </si>
  <si>
    <t>scanner:FlatbedScans;</t>
  </si>
  <si>
    <t>Sample Type reported</t>
  </si>
  <si>
    <t>Sample Weight Reported</t>
  </si>
  <si>
    <t>Sample Volume Reported</t>
  </si>
  <si>
    <t>BA3</t>
  </si>
  <si>
    <t>MT_Study ID</t>
  </si>
  <si>
    <t>MT_Experimental Conditions</t>
  </si>
  <si>
    <t>AG3</t>
  </si>
  <si>
    <t>ADULT</t>
  </si>
  <si>
    <t>EDTA Packed Cells</t>
  </si>
  <si>
    <t>B01</t>
  </si>
  <si>
    <t>C01</t>
  </si>
  <si>
    <t>D01</t>
  </si>
  <si>
    <t>E01</t>
  </si>
  <si>
    <t>F01</t>
  </si>
  <si>
    <t>G01</t>
  </si>
  <si>
    <t>H01</t>
  </si>
  <si>
    <t>B02</t>
  </si>
  <si>
    <t>C02</t>
  </si>
  <si>
    <t>D02</t>
  </si>
  <si>
    <t>E02</t>
  </si>
  <si>
    <t>F02</t>
  </si>
  <si>
    <t>G02</t>
  </si>
  <si>
    <t>H02</t>
  </si>
  <si>
    <t>B03</t>
  </si>
  <si>
    <t>C03</t>
  </si>
  <si>
    <t>D03</t>
  </si>
  <si>
    <t>E03</t>
  </si>
  <si>
    <t>F03</t>
  </si>
  <si>
    <t>G03</t>
  </si>
  <si>
    <t>H03</t>
  </si>
  <si>
    <t>B04</t>
  </si>
  <si>
    <t>C04</t>
  </si>
  <si>
    <t>D04</t>
  </si>
  <si>
    <t>E04</t>
  </si>
  <si>
    <t>F04</t>
  </si>
  <si>
    <t/>
  </si>
  <si>
    <t>0.25</t>
  </si>
  <si>
    <t>B</t>
  </si>
  <si>
    <t>C</t>
  </si>
  <si>
    <t>D</t>
  </si>
  <si>
    <t>E</t>
  </si>
  <si>
    <t>F</t>
  </si>
  <si>
    <t>G</t>
  </si>
  <si>
    <t>H</t>
  </si>
  <si>
    <t>02</t>
  </si>
  <si>
    <t>03</t>
  </si>
  <si>
    <t>04</t>
  </si>
  <si>
    <t>05</t>
  </si>
  <si>
    <t>06</t>
  </si>
  <si>
    <t>07</t>
  </si>
  <si>
    <t>7</t>
  </si>
  <si>
    <t>CHILD</t>
  </si>
  <si>
    <t>10.90.121.132</t>
  </si>
  <si>
    <t>study_id:24;</t>
  </si>
  <si>
    <t>No Code</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</si>
  <si>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</si>
  <si>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</si>
  <si>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</si>
  <si>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</si>
  <si>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</si>
  <si>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</si>
  <si>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</si>
  <si>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</si>
  <si>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</si>
  <si>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</si>
  <si>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</si>
  <si>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</si>
  <si>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</si>
  <si>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</si>
  <si>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</si>
  <si>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</si>
  <si>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</si>
  <si>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</si>
  <si>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</si>
  <si>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</si>
  <si>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</si>
  <si>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</si>
  <si>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</si>
  <si>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</si>
  <si>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</si>
  <si>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</si>
  <si>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</si>
  <si>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</si>
  <si>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</si>
  <si>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</si>
  <si>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</si>
  <si>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</si>
  <si>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</si>
  <si>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</si>
  <si>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</si>
  <si>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</si>
  <si>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</si>
  <si>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</si>
  <si>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</si>
  <si>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</si>
  <si>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</si>
  <si>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</si>
  <si>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</si>
  <si>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</si>
  <si>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</si>
  <si>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</si>
  <si>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</si>
  <si>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</si>
  <si>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</si>
  <si>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</si>
  <si>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</si>
  <si>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</si>
  <si>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</si>
  <si>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</si>
  <si>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</si>
  <si>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</si>
  <si>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</si>
  <si>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</si>
  <si>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</si>
  <si>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</si>
  <si>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</si>
  <si>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</si>
  <si>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</si>
  <si>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</si>
  <si>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</si>
  <si>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</si>
  <si>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ADU850-10059</t>
  </si>
  <si>
    <t>PreCOVID-Human</t>
  </si>
  <si>
    <t>ppt type_Reported</t>
  </si>
  <si>
    <t>"{ppt type_Reported}"</t>
  </si>
  <si>
    <t>FBS_LoadFromFile_ColMapping_Position</t>
  </si>
  <si>
    <t>A:A</t>
  </si>
  <si>
    <t>FBS_LoadFromFile_ColMapping_TubeID</t>
  </si>
  <si>
    <t>B:B</t>
  </si>
  <si>
    <t>FBS_LoadFromFile_ColMapping_Status</t>
  </si>
  <si>
    <t>C:C</t>
  </si>
  <si>
    <t>D:D</t>
  </si>
  <si>
    <t>FBS_LoadFromFile_ColMapping_BoxID</t>
  </si>
  <si>
    <t>Mapping for "Position" column between the FBS file and FlatbedScans tab</t>
  </si>
  <si>
    <t>Mapping for "TubeID" column between the FBS file and FlatbedScans tab</t>
  </si>
  <si>
    <t>Mapping for "Status" column between the FBS file and FlatbedScans tab</t>
  </si>
  <si>
    <t>Mapping for "BoxID" column between the FBS file and FlatbedScans tab</t>
  </si>
  <si>
    <t>Line End</t>
  </si>
  <si>
    <t>end text</t>
  </si>
  <si>
    <t>FBS_LoadFromFile_Cols_ConvertToText</t>
  </si>
  <si>
    <t>B,D</t>
  </si>
  <si>
    <t>List of columns from the FBS file that has to be converted to text (by adding ' in front of the value). It is done for barcode values.</t>
  </si>
  <si>
    <t>MH1_Motrpac_Human_1</t>
  </si>
  <si>
    <t>MH2_Motrpac_Human_2</t>
  </si>
  <si>
    <t>MH3_Motrpac_Human_3</t>
  </si>
  <si>
    <t>MH4_Motrpac_Human_4</t>
  </si>
  <si>
    <t>MH5_Motrpac_Human_5</t>
  </si>
  <si>
    <t>MH6_Motrpac_Human_6</t>
  </si>
  <si>
    <t>MH7_Motrpac_Human_7</t>
  </si>
  <si>
    <t>MoTrPAC - PreCOVID-Human Study - Ver: 2020.12</t>
  </si>
  <si>
    <t>8010748996</t>
  </si>
  <si>
    <t>8010748920</t>
  </si>
  <si>
    <t>8010748248</t>
  </si>
  <si>
    <t>8010769315</t>
  </si>
  <si>
    <t>8040163089</t>
  </si>
  <si>
    <t>8040162498</t>
  </si>
  <si>
    <t>8040163312</t>
  </si>
  <si>
    <t>8040162510</t>
  </si>
  <si>
    <t>8040162391</t>
  </si>
  <si>
    <t>8040162487</t>
  </si>
  <si>
    <t>8040162717</t>
  </si>
  <si>
    <t>8040163109</t>
  </si>
  <si>
    <t>8040162432</t>
  </si>
  <si>
    <t>8040162384</t>
  </si>
  <si>
    <t>8040162530</t>
  </si>
  <si>
    <t>8040159752</t>
  </si>
  <si>
    <t>8040162531</t>
  </si>
  <si>
    <t>8010749000</t>
  </si>
  <si>
    <t>8010748176</t>
  </si>
  <si>
    <t>8010748206</t>
  </si>
  <si>
    <t>8010748716</t>
  </si>
  <si>
    <t>8010749033</t>
  </si>
  <si>
    <t>8010748826</t>
  </si>
  <si>
    <t>8010748829</t>
  </si>
  <si>
    <t>8040158637</t>
  </si>
  <si>
    <t>8040158302</t>
  </si>
  <si>
    <t>8040159087</t>
  </si>
  <si>
    <t>8040158568</t>
  </si>
  <si>
    <t>8040158769</t>
  </si>
  <si>
    <t>8040158412</t>
  </si>
  <si>
    <t>8040159436</t>
  </si>
  <si>
    <t>8040161278</t>
  </si>
  <si>
    <t>8040158407</t>
  </si>
  <si>
    <t>8040159097</t>
  </si>
  <si>
    <t>8040161134</t>
  </si>
  <si>
    <t>8019471203</t>
  </si>
  <si>
    <t>8019471596</t>
  </si>
  <si>
    <t>8019471710</t>
  </si>
  <si>
    <t>8019471158</t>
  </si>
  <si>
    <t>8019471236</t>
  </si>
  <si>
    <t>8019471870</t>
  </si>
  <si>
    <t>8019471338</t>
  </si>
  <si>
    <t>8019471941</t>
  </si>
  <si>
    <t>8010747126</t>
  </si>
  <si>
    <t>8019471400</t>
  </si>
  <si>
    <t>8010766639</t>
  </si>
  <si>
    <t>8010766241</t>
  </si>
  <si>
    <t>8010766281</t>
  </si>
  <si>
    <t>8010765877</t>
  </si>
  <si>
    <t>8010749364</t>
  </si>
  <si>
    <t>8010745363</t>
  </si>
  <si>
    <t>8010749592</t>
  </si>
  <si>
    <t>8010749579</t>
  </si>
  <si>
    <t>8010749459</t>
  </si>
  <si>
    <t>8019471443</t>
  </si>
  <si>
    <t>8010745941</t>
  </si>
  <si>
    <t>8019471518</t>
  </si>
  <si>
    <t>8010745857</t>
  </si>
  <si>
    <t>8010745982</t>
  </si>
  <si>
    <t>8010745809</t>
  </si>
  <si>
    <t>8038294312</t>
  </si>
  <si>
    <t>8038293778</t>
  </si>
  <si>
    <t>8038293909</t>
  </si>
  <si>
    <t>8038293740</t>
  </si>
  <si>
    <t>8038293960</t>
  </si>
  <si>
    <t>8010749292</t>
  </si>
  <si>
    <t>8010749370</t>
  </si>
  <si>
    <t>8019471533</t>
  </si>
  <si>
    <t>8010749709</t>
  </si>
  <si>
    <t>8010749467</t>
  </si>
  <si>
    <t>8019472043</t>
  </si>
  <si>
    <t>8019471466</t>
  </si>
  <si>
    <t>8019471314</t>
  </si>
  <si>
    <t>8010745566</t>
  </si>
  <si>
    <t>8019471736</t>
  </si>
  <si>
    <t>8010749443</t>
  </si>
  <si>
    <t>8019471489</t>
  </si>
  <si>
    <t>8010766232</t>
  </si>
  <si>
    <t>8019471693</t>
  </si>
  <si>
    <t>8010765856</t>
  </si>
  <si>
    <t>8010766205</t>
  </si>
  <si>
    <t>8010766405</t>
  </si>
  <si>
    <t>8010747117</t>
  </si>
  <si>
    <t>8010766520</t>
  </si>
  <si>
    <t>8010766255</t>
  </si>
  <si>
    <t>8010766178</t>
  </si>
  <si>
    <t>8010765905</t>
  </si>
  <si>
    <t>8010765872</t>
  </si>
  <si>
    <t>8010766538</t>
  </si>
  <si>
    <t>8019472086</t>
  </si>
  <si>
    <t>8010766114</t>
  </si>
  <si>
    <t>8010765874</t>
  </si>
  <si>
    <t>8010766112</t>
  </si>
  <si>
    <t>8038293775</t>
  </si>
  <si>
    <t>8038300361</t>
  </si>
  <si>
    <t>8038293680</t>
  </si>
  <si>
    <t>7000226019</t>
  </si>
  <si>
    <t>11303</t>
  </si>
  <si>
    <t>11303010301</t>
  </si>
  <si>
    <t>11303040301</t>
  </si>
  <si>
    <t>11303050301</t>
  </si>
  <si>
    <t>11303070301</t>
  </si>
  <si>
    <t>11403</t>
  </si>
  <si>
    <t>11403010301</t>
  </si>
  <si>
    <t>11403020301</t>
  </si>
  <si>
    <t>11403030301</t>
  </si>
  <si>
    <t>11403040301</t>
  </si>
  <si>
    <t>11403050301</t>
  </si>
  <si>
    <t>11403070301</t>
  </si>
  <si>
    <t>11404</t>
  </si>
  <si>
    <t>11404010301</t>
  </si>
  <si>
    <t>11404020301</t>
  </si>
  <si>
    <t>11404030301</t>
  </si>
  <si>
    <t>11404040301</t>
  </si>
  <si>
    <t>11404050301</t>
  </si>
  <si>
    <t>11404060301</t>
  </si>
  <si>
    <t>11404070301</t>
  </si>
  <si>
    <t>11335</t>
  </si>
  <si>
    <t>11335010301</t>
  </si>
  <si>
    <t>11335040301</t>
  </si>
  <si>
    <t>11335050301</t>
  </si>
  <si>
    <t>11357</t>
  </si>
  <si>
    <t>11357010301</t>
  </si>
  <si>
    <t>11357040301</t>
  </si>
  <si>
    <t>11357050301</t>
  </si>
  <si>
    <t>11357060301</t>
  </si>
  <si>
    <t>11442</t>
  </si>
  <si>
    <t>11442010301</t>
  </si>
  <si>
    <t>11442020301</t>
  </si>
  <si>
    <t>11442030301</t>
  </si>
  <si>
    <t>11442040301</t>
  </si>
  <si>
    <t>11442050301</t>
  </si>
  <si>
    <t>11442060301</t>
  </si>
  <si>
    <t>11444</t>
  </si>
  <si>
    <t>11444010301</t>
  </si>
  <si>
    <t>11444020301</t>
  </si>
  <si>
    <t>11444040301</t>
  </si>
  <si>
    <t>11444050301</t>
  </si>
  <si>
    <t>11444060301</t>
  </si>
  <si>
    <t>11029</t>
  </si>
  <si>
    <t>11029010301</t>
  </si>
  <si>
    <t>11029020301</t>
  </si>
  <si>
    <t>11029030301</t>
  </si>
  <si>
    <t>11029040301</t>
  </si>
  <si>
    <t>11029050301</t>
  </si>
  <si>
    <t>11029060301</t>
  </si>
  <si>
    <t>11029070301</t>
  </si>
  <si>
    <t>11030</t>
  </si>
  <si>
    <t>11030010301</t>
  </si>
  <si>
    <t>11030020301</t>
  </si>
  <si>
    <t>11030030301</t>
  </si>
  <si>
    <t>11030040301</t>
  </si>
  <si>
    <t>11030050301</t>
  </si>
  <si>
    <t>11030060301</t>
  </si>
  <si>
    <t>11030070301</t>
  </si>
  <si>
    <t>11186</t>
  </si>
  <si>
    <t>11186010301</t>
  </si>
  <si>
    <t>11186020301</t>
  </si>
  <si>
    <t>11186030301</t>
  </si>
  <si>
    <t>11186040301</t>
  </si>
  <si>
    <t>11186050301</t>
  </si>
  <si>
    <t>11186070301</t>
  </si>
  <si>
    <t>11223</t>
  </si>
  <si>
    <t>11223010301</t>
  </si>
  <si>
    <t>11223040301</t>
  </si>
  <si>
    <t>11223050301</t>
  </si>
  <si>
    <t>11223060301</t>
  </si>
  <si>
    <t>11223070301</t>
  </si>
  <si>
    <t>11240</t>
  </si>
  <si>
    <t>11240010301</t>
  </si>
  <si>
    <t>11240040301</t>
  </si>
  <si>
    <t>11240050301</t>
  </si>
  <si>
    <t>11240060301</t>
  </si>
  <si>
    <t>11240070301</t>
  </si>
  <si>
    <t>11172</t>
  </si>
  <si>
    <t>11172010301</t>
  </si>
  <si>
    <t>11172020301</t>
  </si>
  <si>
    <t>11172030301</t>
  </si>
  <si>
    <t>11172040301</t>
  </si>
  <si>
    <t>11172050301</t>
  </si>
  <si>
    <t>11173</t>
  </si>
  <si>
    <t>11173010301</t>
  </si>
  <si>
    <t>11173020301</t>
  </si>
  <si>
    <t>11173030301</t>
  </si>
  <si>
    <t>11173040301</t>
  </si>
  <si>
    <t>11173050301</t>
  </si>
  <si>
    <t>11173070301</t>
  </si>
  <si>
    <t>11041</t>
  </si>
  <si>
    <t>11041010301</t>
  </si>
  <si>
    <t>11041020301</t>
  </si>
  <si>
    <t>11041030301</t>
  </si>
  <si>
    <t>11041040301</t>
  </si>
  <si>
    <t>11041050301</t>
  </si>
  <si>
    <t>11041060301</t>
  </si>
  <si>
    <t>11041070301</t>
  </si>
  <si>
    <t>11042</t>
  </si>
  <si>
    <t>11042010301</t>
  </si>
  <si>
    <t>11042020301</t>
  </si>
  <si>
    <t>11042030301</t>
  </si>
  <si>
    <t>11042050301</t>
  </si>
  <si>
    <t>11042070301</t>
  </si>
  <si>
    <t>11044</t>
  </si>
  <si>
    <t>11044010301</t>
  </si>
  <si>
    <t>11044020301</t>
  </si>
  <si>
    <t>11044030301</t>
  </si>
  <si>
    <t>11044040301</t>
  </si>
  <si>
    <t>11044050301</t>
  </si>
  <si>
    <t>11238</t>
  </si>
  <si>
    <t>11238050301</t>
  </si>
  <si>
    <t>11238070301</t>
  </si>
  <si>
    <t>11239</t>
  </si>
  <si>
    <t>11239010301</t>
  </si>
  <si>
    <t>Old IP address: 10.90.121.149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</si>
</sst>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
      <u/>
      <sz val="11"/>
      <color theme="1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xf numFmtId="0" fontId="27" fillId="0" borderId="0" applyNumberFormat="0" applyFill="0" applyBorder="0" applyAlignment="0" applyProtection="0"/>
  </cellStyleXfs>
  <cellXfs count="65">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4" fillId="2" borderId="1" xfId="0" applyFont="1" applyFill="1" applyBorder="1"/>
    <xf numFmtId="0" fontId="27" fillId="0" borderId="0" xfId="43"/>
    <xf numFmtId="49" fontId="0" fillId="0" borderId="0" xfId="0" applyNumberFormat="1" applyFill="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4">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43" builtinId="8"/>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19624</xdr:colOff>
      <xdr:row>50</xdr:row>
      <xdr:rowOff>91440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133351</xdr:colOff>
      <xdr:row>76</xdr:row>
      <xdr:rowOff>59055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206969</xdr:colOff>
      <xdr:row>104</xdr:row>
      <xdr:rowOff>56546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132468</xdr:colOff>
      <xdr:row>126</xdr:row>
      <xdr:rowOff>15240</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59055</xdr:colOff>
      <xdr:row>24</xdr:row>
      <xdr:rowOff>136915</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microsoft.com/en-us/download/confirmation.aspx?id=5040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hyperlink" Target="https://www.microsoft.com/en-us/download/confirmation.aspx?id=5040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97"/>
  <sheetViews>
    <sheetView tabSelected="1" zoomScaleNormal="100" workbookViewId="0"/>
  </sheetViews>
  <sheetFormatPr defaultColWidth="17.05078125" defaultRowHeight="14.4" x14ac:dyDescent="0.55000000000000004"/>
  <cols>
    <col min="1" max="1" width="17.83984375" style="24" bestFit="1" customWidth="1"/>
    <col min="2" max="2" width="19.26171875" style="24" bestFit="1" customWidth="1"/>
    <col min="3" max="3" width="21.3671875" style="24" bestFit="1" customWidth="1"/>
    <col min="4" max="4" width="11.7890625" style="24" bestFit="1" customWidth="1"/>
    <col min="5" max="5" width="14.578125" style="24" customWidth="1"/>
    <col min="6" max="6" width="19.15625" style="24" bestFit="1" customWidth="1"/>
    <col min="7" max="7" width="12.15625" style="24" customWidth="1"/>
    <col min="8" max="8" width="29.15625" style="24" bestFit="1" customWidth="1"/>
    <col min="9" max="9" width="22.15625" style="24" bestFit="1" customWidth="1"/>
    <col min="10" max="10" width="13.20703125" style="24" bestFit="1" customWidth="1"/>
    <col min="11" max="11" width="9.83984375" style="24" bestFit="1" customWidth="1"/>
    <col min="12" max="12" width="12.578125" style="24" bestFit="1" customWidth="1"/>
    <col min="13" max="13" width="21.3671875" style="24" bestFit="1" customWidth="1"/>
    <col min="14" max="14" width="14.89453125" style="24" bestFit="1" customWidth="1"/>
    <col min="15" max="15" width="13.3671875" style="24" bestFit="1" customWidth="1"/>
    <col min="16" max="16" width="14.26171875" style="24" customWidth="1"/>
    <col min="17" max="17" width="16.3671875" style="25" bestFit="1" customWidth="1"/>
    <col min="18" max="18" width="18.47265625" style="25" bestFit="1" customWidth="1"/>
    <col min="19" max="19" width="26.5234375" style="25" bestFit="1" customWidth="1"/>
    <col min="20" max="20" width="18.47265625" style="25" bestFit="1" customWidth="1"/>
    <col min="21" max="22" width="26.5234375" style="25" bestFit="1" customWidth="1"/>
    <col min="23" max="23" width="14.7890625" style="25" bestFit="1" customWidth="1"/>
    <col min="24" max="24" width="24.9453125" style="25" bestFit="1" customWidth="1"/>
    <col min="25" max="25" width="17.68359375" style="25" customWidth="1"/>
    <col min="26" max="26" width="17.9453125" style="25" bestFit="1" customWidth="1"/>
    <col min="27" max="27" width="13.20703125" style="25" bestFit="1" customWidth="1"/>
    <col min="28" max="28" width="13.3671875" style="25" bestFit="1" customWidth="1"/>
    <col min="29" max="29" width="12.15625" style="25" bestFit="1" customWidth="1"/>
    <col min="30" max="30" width="12.68359375" style="25" bestFit="1" customWidth="1"/>
    <col min="31" max="31" width="19.9453125" style="25" bestFit="1" customWidth="1"/>
    <col min="32" max="32" width="7.41796875" style="25" bestFit="1" customWidth="1"/>
    <col min="33" max="33" width="7.15625" style="25" bestFit="1" customWidth="1"/>
    <col min="34" max="34" width="12.05078125" style="25" bestFit="1" customWidth="1"/>
    <col min="35" max="35" width="7.3125" style="25" bestFit="1" customWidth="1"/>
    <col min="36" max="36" width="10.05078125" style="25" bestFit="1" customWidth="1"/>
    <col min="37" max="16384" width="17.05078125" style="25"/>
  </cols>
  <sheetData>
    <row r="1" spans="1:33" x14ac:dyDescent="0.55000000000000004">
      <c r="A1" s="28" t="s">
        <v>504</v>
      </c>
      <c r="B1" s="28" t="s">
        <v>505</v>
      </c>
      <c r="C1" s="28" t="s">
        <v>398</v>
      </c>
      <c r="D1" s="28" t="s">
        <v>138</v>
      </c>
      <c r="E1" s="28" t="s">
        <v>631</v>
      </c>
      <c r="F1" s="28" t="s">
        <v>508</v>
      </c>
      <c r="G1" s="28" t="s">
        <v>399</v>
      </c>
      <c r="H1" s="28" t="s">
        <v>509</v>
      </c>
      <c r="I1" s="28" t="s">
        <v>510</v>
      </c>
      <c r="J1" s="28" t="s">
        <v>400</v>
      </c>
      <c r="K1" s="28" t="s">
        <v>6</v>
      </c>
      <c r="L1" s="28" t="s">
        <v>401</v>
      </c>
      <c r="M1" s="28" t="s">
        <v>402</v>
      </c>
      <c r="N1" s="28" t="s">
        <v>9</v>
      </c>
      <c r="O1" s="28" t="s">
        <v>4</v>
      </c>
      <c r="P1" s="28" t="s">
        <v>404</v>
      </c>
      <c r="Q1" s="27" t="s">
        <v>198</v>
      </c>
      <c r="R1" s="27" t="s">
        <v>405</v>
      </c>
      <c r="S1" s="27" t="s">
        <v>5</v>
      </c>
      <c r="T1" s="27" t="s">
        <v>512</v>
      </c>
      <c r="U1" s="27" t="s">
        <v>133</v>
      </c>
      <c r="V1" s="25" t="s">
        <v>262</v>
      </c>
      <c r="W1" s="25" t="s">
        <v>7</v>
      </c>
      <c r="X1" s="25" t="s">
        <v>408</v>
      </c>
      <c r="Y1" s="25" t="s">
        <v>513</v>
      </c>
      <c r="Z1" s="25" t="s">
        <v>93</v>
      </c>
      <c r="AA1" s="25" t="s">
        <v>8</v>
      </c>
      <c r="AB1" s="25" t="s">
        <v>139</v>
      </c>
      <c r="AC1" s="25" t="s">
        <v>412</v>
      </c>
      <c r="AD1" s="25" t="s">
        <v>413</v>
      </c>
      <c r="AE1" s="25" t="s">
        <v>414</v>
      </c>
      <c r="AF1" s="25" t="s">
        <v>415</v>
      </c>
      <c r="AG1" s="25" t="s">
        <v>416</v>
      </c>
    </row>
    <row r="2" spans="1:33" x14ac:dyDescent="0.55000000000000004">
      <c r="A2" s="28">
        <v>7000226019</v>
      </c>
      <c r="B2" s="28" t="s">
        <v>260</v>
      </c>
      <c r="C2" s="28">
        <v>11303010301</v>
      </c>
      <c r="D2" s="48">
        <v>8010748996</v>
      </c>
      <c r="E2" s="28" t="s">
        <v>515</v>
      </c>
      <c r="F2" s="28" t="s">
        <v>516</v>
      </c>
      <c r="G2" s="28" t="s">
        <v>755</v>
      </c>
      <c r="H2" s="28"/>
      <c r="I2" s="28">
        <v>0.25</v>
      </c>
      <c r="J2" s="28" t="s">
        <v>515</v>
      </c>
      <c r="K2" s="48" t="s">
        <v>515</v>
      </c>
      <c r="L2" s="28" t="s">
        <v>544</v>
      </c>
      <c r="M2" s="28" t="s">
        <v>544</v>
      </c>
      <c r="N2" s="48" t="s">
        <v>343</v>
      </c>
      <c r="O2" s="48" t="s">
        <v>0</v>
      </c>
      <c r="P2" s="28" t="s">
        <v>629</v>
      </c>
      <c r="Q2" s="51">
        <v>7000226019</v>
      </c>
      <c r="R2" s="27">
        <v>113030103</v>
      </c>
      <c r="S2" s="51" t="s">
        <v>63</v>
      </c>
      <c r="T2" s="27" t="s">
        <v>630</v>
      </c>
      <c r="U2" s="51">
        <v>3</v>
      </c>
      <c r="V2" s="51">
        <v>3</v>
      </c>
      <c r="W2" s="51">
        <v>1</v>
      </c>
      <c r="X2" s="51" t="s">
        <v>54</v>
      </c>
      <c r="Y2" s="27"/>
      <c r="Z2" s="51" t="s">
        <v>99</v>
      </c>
      <c r="AA2" s="51" t="s">
        <v>83</v>
      </c>
      <c r="AB2" s="51" t="s">
        <v>140</v>
      </c>
      <c r="AC2" s="27">
        <v>1</v>
      </c>
      <c r="AD2" s="27">
        <v>1</v>
      </c>
      <c r="AE2" s="27">
        <v>5</v>
      </c>
      <c r="AF2" s="27" t="s">
        <v>501</v>
      </c>
      <c r="AG2" s="27">
        <v>1</v>
      </c>
    </row>
    <row r="3" spans="1:33" x14ac:dyDescent="0.55000000000000004">
      <c r="A3" s="28">
        <v>7000226019</v>
      </c>
      <c r="B3" s="28" t="s">
        <v>517</v>
      </c>
      <c r="C3" s="28">
        <v>11303040301</v>
      </c>
      <c r="D3" s="48">
        <v>8010748920</v>
      </c>
      <c r="E3" s="28" t="s">
        <v>515</v>
      </c>
      <c r="F3" s="28" t="s">
        <v>516</v>
      </c>
      <c r="G3" s="28" t="s">
        <v>755</v>
      </c>
      <c r="H3" s="28"/>
      <c r="I3" s="28">
        <v>0.25</v>
      </c>
      <c r="J3" s="28" t="s">
        <v>515</v>
      </c>
      <c r="K3" s="48" t="s">
        <v>515</v>
      </c>
      <c r="L3" s="28" t="s">
        <v>544</v>
      </c>
      <c r="M3" s="28" t="s">
        <v>544</v>
      </c>
      <c r="N3" s="48" t="s">
        <v>343</v>
      </c>
      <c r="O3" s="48" t="s">
        <v>0</v>
      </c>
      <c r="P3" s="28" t="s">
        <v>629</v>
      </c>
      <c r="Q3" s="51">
        <v>7000226019</v>
      </c>
      <c r="R3" s="27">
        <v>113030403</v>
      </c>
      <c r="S3" s="51" t="s">
        <v>63</v>
      </c>
      <c r="T3" s="27" t="s">
        <v>630</v>
      </c>
      <c r="U3" s="51">
        <v>3</v>
      </c>
      <c r="V3" s="51">
        <v>3</v>
      </c>
      <c r="W3" s="51">
        <v>4</v>
      </c>
      <c r="X3" s="51" t="s">
        <v>54</v>
      </c>
      <c r="Y3" s="27"/>
      <c r="Z3" s="51" t="s">
        <v>99</v>
      </c>
      <c r="AA3" s="51" t="s">
        <v>83</v>
      </c>
      <c r="AB3" s="51" t="s">
        <v>140</v>
      </c>
      <c r="AC3" s="27">
        <v>1</v>
      </c>
      <c r="AD3" s="27">
        <v>1</v>
      </c>
      <c r="AE3" s="27">
        <v>5</v>
      </c>
      <c r="AF3" s="27" t="s">
        <v>545</v>
      </c>
      <c r="AG3" s="27">
        <v>1</v>
      </c>
    </row>
    <row r="4" spans="1:33" x14ac:dyDescent="0.55000000000000004">
      <c r="A4" s="28">
        <v>7000226019</v>
      </c>
      <c r="B4" s="28" t="s">
        <v>518</v>
      </c>
      <c r="C4" s="28">
        <v>11303050301</v>
      </c>
      <c r="D4" s="48">
        <v>8010748248</v>
      </c>
      <c r="E4" s="28" t="s">
        <v>515</v>
      </c>
      <c r="F4" s="28" t="s">
        <v>516</v>
      </c>
      <c r="G4" s="28" t="s">
        <v>755</v>
      </c>
      <c r="H4" s="28"/>
      <c r="I4" s="28">
        <v>0.25</v>
      </c>
      <c r="J4" s="28" t="s">
        <v>515</v>
      </c>
      <c r="K4" s="48" t="s">
        <v>515</v>
      </c>
      <c r="L4" s="28" t="s">
        <v>544</v>
      </c>
      <c r="M4" s="28" t="s">
        <v>544</v>
      </c>
      <c r="N4" s="48" t="s">
        <v>343</v>
      </c>
      <c r="O4" s="48" t="s">
        <v>0</v>
      </c>
      <c r="P4" s="28" t="s">
        <v>629</v>
      </c>
      <c r="Q4" s="51">
        <v>7000226019</v>
      </c>
      <c r="R4" s="27">
        <v>113030503</v>
      </c>
      <c r="S4" s="51" t="s">
        <v>63</v>
      </c>
      <c r="T4" s="27" t="s">
        <v>630</v>
      </c>
      <c r="U4" s="51">
        <v>3</v>
      </c>
      <c r="V4" s="51">
        <v>3</v>
      </c>
      <c r="W4" s="51">
        <v>5</v>
      </c>
      <c r="X4" s="51" t="s">
        <v>54</v>
      </c>
      <c r="Y4" s="27"/>
      <c r="Z4" s="51" t="s">
        <v>99</v>
      </c>
      <c r="AA4" s="51" t="s">
        <v>83</v>
      </c>
      <c r="AB4" s="51" t="s">
        <v>140</v>
      </c>
      <c r="AC4" s="27">
        <v>1</v>
      </c>
      <c r="AD4" s="27">
        <v>1</v>
      </c>
      <c r="AE4" s="27">
        <v>5</v>
      </c>
      <c r="AF4" s="27" t="s">
        <v>546</v>
      </c>
      <c r="AG4" s="27">
        <v>1</v>
      </c>
    </row>
    <row r="5" spans="1:33" x14ac:dyDescent="0.55000000000000004">
      <c r="A5" s="28">
        <v>7000226019</v>
      </c>
      <c r="B5" s="28" t="s">
        <v>519</v>
      </c>
      <c r="C5" s="28">
        <v>11303070301</v>
      </c>
      <c r="D5" s="48">
        <v>8010769315</v>
      </c>
      <c r="E5" s="28" t="s">
        <v>515</v>
      </c>
      <c r="F5" s="28" t="s">
        <v>516</v>
      </c>
      <c r="G5" s="28" t="s">
        <v>755</v>
      </c>
      <c r="H5" s="28"/>
      <c r="I5" s="28">
        <v>0.25</v>
      </c>
      <c r="J5" s="28" t="s">
        <v>515</v>
      </c>
      <c r="K5" s="48" t="s">
        <v>515</v>
      </c>
      <c r="L5" s="28" t="s">
        <v>544</v>
      </c>
      <c r="M5" s="28" t="s">
        <v>544</v>
      </c>
      <c r="N5" s="48" t="s">
        <v>343</v>
      </c>
      <c r="O5" s="48" t="s">
        <v>0</v>
      </c>
      <c r="P5" s="28" t="s">
        <v>629</v>
      </c>
      <c r="Q5" s="51">
        <v>7000226019</v>
      </c>
      <c r="R5" s="27">
        <v>113030703</v>
      </c>
      <c r="S5" s="51" t="s">
        <v>63</v>
      </c>
      <c r="T5" s="27" t="s">
        <v>630</v>
      </c>
      <c r="U5" s="51">
        <v>3</v>
      </c>
      <c r="V5" s="51">
        <v>3</v>
      </c>
      <c r="W5" s="51">
        <v>7</v>
      </c>
      <c r="X5" s="51" t="s">
        <v>54</v>
      </c>
      <c r="Y5" s="27"/>
      <c r="Z5" s="51" t="s">
        <v>99</v>
      </c>
      <c r="AA5" s="51" t="s">
        <v>83</v>
      </c>
      <c r="AB5" s="51" t="s">
        <v>140</v>
      </c>
      <c r="AC5" s="27">
        <v>1</v>
      </c>
      <c r="AD5" s="27">
        <v>1</v>
      </c>
      <c r="AE5" s="27">
        <v>5</v>
      </c>
      <c r="AF5" s="27" t="s">
        <v>547</v>
      </c>
      <c r="AG5" s="27">
        <v>1</v>
      </c>
    </row>
    <row r="6" spans="1:33" x14ac:dyDescent="0.55000000000000004">
      <c r="A6" s="28">
        <v>7000226019</v>
      </c>
      <c r="B6" s="28" t="s">
        <v>520</v>
      </c>
      <c r="C6" s="28">
        <v>11403010301</v>
      </c>
      <c r="D6" s="48">
        <v>8040163089</v>
      </c>
      <c r="E6" s="28" t="s">
        <v>515</v>
      </c>
      <c r="F6" s="28" t="s">
        <v>516</v>
      </c>
      <c r="G6" s="28" t="s">
        <v>760</v>
      </c>
      <c r="H6" s="28"/>
      <c r="I6" s="28">
        <v>0.25</v>
      </c>
      <c r="J6" s="28" t="s">
        <v>515</v>
      </c>
      <c r="K6" s="48" t="s">
        <v>515</v>
      </c>
      <c r="L6" s="28" t="s">
        <v>544</v>
      </c>
      <c r="M6" s="28" t="s">
        <v>544</v>
      </c>
      <c r="N6" s="48" t="s">
        <v>343</v>
      </c>
      <c r="O6" s="48" t="s">
        <v>0</v>
      </c>
      <c r="P6" s="28" t="s">
        <v>629</v>
      </c>
      <c r="Q6" s="51">
        <v>7000226019</v>
      </c>
      <c r="R6" s="27">
        <v>114030103</v>
      </c>
      <c r="S6" s="51" t="s">
        <v>63</v>
      </c>
      <c r="T6" s="27" t="s">
        <v>630</v>
      </c>
      <c r="U6" s="51">
        <v>3</v>
      </c>
      <c r="V6" s="51">
        <v>3</v>
      </c>
      <c r="W6" s="51">
        <v>1</v>
      </c>
      <c r="X6" s="51" t="s">
        <v>54</v>
      </c>
      <c r="Y6" s="27"/>
      <c r="Z6" s="51" t="s">
        <v>99</v>
      </c>
      <c r="AA6" s="51" t="s">
        <v>83</v>
      </c>
      <c r="AB6" s="51" t="s">
        <v>140</v>
      </c>
      <c r="AC6" s="27">
        <v>1</v>
      </c>
      <c r="AD6" s="27">
        <v>1</v>
      </c>
      <c r="AE6" s="27">
        <v>5</v>
      </c>
      <c r="AF6" s="27" t="s">
        <v>548</v>
      </c>
      <c r="AG6" s="27">
        <v>1</v>
      </c>
    </row>
    <row r="7" spans="1:33" x14ac:dyDescent="0.55000000000000004">
      <c r="A7" s="28">
        <v>7000226019</v>
      </c>
      <c r="B7" s="28" t="s">
        <v>521</v>
      </c>
      <c r="C7" s="28">
        <v>11403020301</v>
      </c>
      <c r="D7" s="48">
        <v>8040162498</v>
      </c>
      <c r="E7" s="28" t="s">
        <v>515</v>
      </c>
      <c r="F7" s="28" t="s">
        <v>516</v>
      </c>
      <c r="G7" s="28" t="s">
        <v>760</v>
      </c>
      <c r="H7" s="28"/>
      <c r="I7" s="28">
        <v>0.25</v>
      </c>
      <c r="J7" s="28" t="s">
        <v>515</v>
      </c>
      <c r="K7" s="48" t="s">
        <v>515</v>
      </c>
      <c r="L7" s="28" t="s">
        <v>544</v>
      </c>
      <c r="M7" s="28" t="s">
        <v>544</v>
      </c>
      <c r="N7" s="48" t="s">
        <v>343</v>
      </c>
      <c r="O7" s="48" t="s">
        <v>0</v>
      </c>
      <c r="P7" s="28" t="s">
        <v>629</v>
      </c>
      <c r="Q7" s="51">
        <v>7000226019</v>
      </c>
      <c r="R7" s="27">
        <v>114030203</v>
      </c>
      <c r="S7" s="51" t="s">
        <v>63</v>
      </c>
      <c r="T7" s="27" t="s">
        <v>630</v>
      </c>
      <c r="U7" s="51">
        <v>3</v>
      </c>
      <c r="V7" s="51">
        <v>3</v>
      </c>
      <c r="W7" s="51">
        <v>2</v>
      </c>
      <c r="X7" s="51" t="s">
        <v>54</v>
      </c>
      <c r="Y7" s="27"/>
      <c r="Z7" s="51" t="s">
        <v>99</v>
      </c>
      <c r="AA7" s="51" t="s">
        <v>83</v>
      </c>
      <c r="AB7" s="51" t="s">
        <v>140</v>
      </c>
      <c r="AC7" s="27">
        <v>1</v>
      </c>
      <c r="AD7" s="27">
        <v>1</v>
      </c>
      <c r="AE7" s="27">
        <v>5</v>
      </c>
      <c r="AF7" s="27" t="s">
        <v>549</v>
      </c>
      <c r="AG7" s="27">
        <v>1</v>
      </c>
    </row>
    <row r="8" spans="1:33" x14ac:dyDescent="0.55000000000000004">
      <c r="A8" s="28">
        <v>7000226019</v>
      </c>
      <c r="B8" s="28" t="s">
        <v>522</v>
      </c>
      <c r="C8" s="28">
        <v>11403030301</v>
      </c>
      <c r="D8" s="48">
        <v>8040163312</v>
      </c>
      <c r="E8" s="28" t="s">
        <v>515</v>
      </c>
      <c r="F8" s="28" t="s">
        <v>516</v>
      </c>
      <c r="G8" s="28" t="s">
        <v>760</v>
      </c>
      <c r="H8" s="28"/>
      <c r="I8" s="28">
        <v>0.25</v>
      </c>
      <c r="J8" s="28" t="s">
        <v>515</v>
      </c>
      <c r="K8" s="48" t="s">
        <v>515</v>
      </c>
      <c r="L8" s="28" t="s">
        <v>544</v>
      </c>
      <c r="M8" s="28" t="s">
        <v>544</v>
      </c>
      <c r="N8" s="48" t="s">
        <v>343</v>
      </c>
      <c r="O8" s="48" t="s">
        <v>0</v>
      </c>
      <c r="P8" s="28" t="s">
        <v>629</v>
      </c>
      <c r="Q8" s="51">
        <v>7000226019</v>
      </c>
      <c r="R8" s="27">
        <v>114030303</v>
      </c>
      <c r="S8" s="51" t="s">
        <v>63</v>
      </c>
      <c r="T8" s="27" t="s">
        <v>630</v>
      </c>
      <c r="U8" s="51">
        <v>3</v>
      </c>
      <c r="V8" s="51">
        <v>3</v>
      </c>
      <c r="W8" s="51">
        <v>3</v>
      </c>
      <c r="X8" s="51" t="s">
        <v>54</v>
      </c>
      <c r="Y8" s="27"/>
      <c r="Z8" s="51" t="s">
        <v>99</v>
      </c>
      <c r="AA8" s="51" t="s">
        <v>83</v>
      </c>
      <c r="AB8" s="51" t="s">
        <v>140</v>
      </c>
      <c r="AC8" s="27">
        <v>1</v>
      </c>
      <c r="AD8" s="27">
        <v>1</v>
      </c>
      <c r="AE8" s="27">
        <v>5</v>
      </c>
      <c r="AF8" s="27" t="s">
        <v>550</v>
      </c>
      <c r="AG8" s="27">
        <v>1</v>
      </c>
    </row>
    <row r="9" spans="1:33" x14ac:dyDescent="0.55000000000000004">
      <c r="A9" s="28">
        <v>7000226019</v>
      </c>
      <c r="B9" s="28" t="s">
        <v>523</v>
      </c>
      <c r="C9" s="28">
        <v>11403040301</v>
      </c>
      <c r="D9" s="48">
        <v>8040162510</v>
      </c>
      <c r="E9" s="28" t="s">
        <v>515</v>
      </c>
      <c r="F9" s="28" t="s">
        <v>516</v>
      </c>
      <c r="G9" s="28" t="s">
        <v>760</v>
      </c>
      <c r="H9" s="28"/>
      <c r="I9" s="28">
        <v>0.25</v>
      </c>
      <c r="J9" s="28" t="s">
        <v>515</v>
      </c>
      <c r="K9" s="48" t="s">
        <v>515</v>
      </c>
      <c r="L9" s="28" t="s">
        <v>544</v>
      </c>
      <c r="M9" s="28" t="s">
        <v>544</v>
      </c>
      <c r="N9" s="48" t="s">
        <v>343</v>
      </c>
      <c r="O9" s="48" t="s">
        <v>0</v>
      </c>
      <c r="P9" s="28" t="s">
        <v>629</v>
      </c>
      <c r="Q9" s="51">
        <v>7000226019</v>
      </c>
      <c r="R9" s="27">
        <v>114030403</v>
      </c>
      <c r="S9" s="51" t="s">
        <v>63</v>
      </c>
      <c r="T9" s="27" t="s">
        <v>630</v>
      </c>
      <c r="U9" s="51">
        <v>3</v>
      </c>
      <c r="V9" s="51">
        <v>3</v>
      </c>
      <c r="W9" s="51">
        <v>4</v>
      </c>
      <c r="X9" s="51" t="s">
        <v>54</v>
      </c>
      <c r="Y9" s="27"/>
      <c r="Z9" s="51" t="s">
        <v>99</v>
      </c>
      <c r="AA9" s="51" t="s">
        <v>83</v>
      </c>
      <c r="AB9" s="51" t="s">
        <v>140</v>
      </c>
      <c r="AC9" s="27">
        <v>1</v>
      </c>
      <c r="AD9" s="27">
        <v>1</v>
      </c>
      <c r="AE9" s="27">
        <v>5</v>
      </c>
      <c r="AF9" s="27" t="s">
        <v>551</v>
      </c>
      <c r="AG9" s="27">
        <v>1</v>
      </c>
    </row>
    <row r="10" spans="1:33" x14ac:dyDescent="0.55000000000000004">
      <c r="A10" s="28">
        <v>7000226019</v>
      </c>
      <c r="B10" s="28" t="s">
        <v>355</v>
      </c>
      <c r="C10" s="28">
        <v>11403050301</v>
      </c>
      <c r="D10" s="48">
        <v>8040162391</v>
      </c>
      <c r="E10" s="28" t="s">
        <v>515</v>
      </c>
      <c r="F10" s="28" t="s">
        <v>516</v>
      </c>
      <c r="G10" s="28" t="s">
        <v>760</v>
      </c>
      <c r="H10" s="28"/>
      <c r="I10" s="28">
        <v>0.25</v>
      </c>
      <c r="J10" s="28" t="s">
        <v>515</v>
      </c>
      <c r="K10" s="48" t="s">
        <v>515</v>
      </c>
      <c r="L10" s="28" t="s">
        <v>544</v>
      </c>
      <c r="M10" s="28" t="s">
        <v>544</v>
      </c>
      <c r="N10" s="48" t="s">
        <v>343</v>
      </c>
      <c r="O10" s="48" t="s">
        <v>0</v>
      </c>
      <c r="P10" s="28" t="s">
        <v>629</v>
      </c>
      <c r="Q10" s="51">
        <v>7000226019</v>
      </c>
      <c r="R10" s="27">
        <v>114030503</v>
      </c>
      <c r="S10" s="51" t="s">
        <v>63</v>
      </c>
      <c r="T10" s="27" t="s">
        <v>630</v>
      </c>
      <c r="U10" s="51">
        <v>3</v>
      </c>
      <c r="V10" s="51">
        <v>3</v>
      </c>
      <c r="W10" s="51">
        <v>5</v>
      </c>
      <c r="X10" s="51" t="s">
        <v>54</v>
      </c>
      <c r="Y10" s="27"/>
      <c r="Z10" s="51" t="s">
        <v>99</v>
      </c>
      <c r="AA10" s="51" t="s">
        <v>83</v>
      </c>
      <c r="AB10" s="51" t="s">
        <v>140</v>
      </c>
      <c r="AC10" s="27">
        <v>1</v>
      </c>
      <c r="AD10" s="27">
        <v>1</v>
      </c>
      <c r="AE10" s="27">
        <v>5</v>
      </c>
      <c r="AF10" s="27" t="s">
        <v>501</v>
      </c>
      <c r="AG10" s="27">
        <v>2</v>
      </c>
    </row>
    <row r="11" spans="1:33" x14ac:dyDescent="0.55000000000000004">
      <c r="A11" s="28">
        <v>7000226019</v>
      </c>
      <c r="B11" s="28" t="s">
        <v>524</v>
      </c>
      <c r="C11" s="28">
        <v>11403070301</v>
      </c>
      <c r="D11" s="48">
        <v>8040162487</v>
      </c>
      <c r="E11" s="28" t="s">
        <v>515</v>
      </c>
      <c r="F11" s="28" t="s">
        <v>516</v>
      </c>
      <c r="G11" s="28" t="s">
        <v>760</v>
      </c>
      <c r="H11" s="28"/>
      <c r="I11" s="28">
        <v>0.25</v>
      </c>
      <c r="J11" s="28" t="s">
        <v>515</v>
      </c>
      <c r="K11" s="48" t="s">
        <v>515</v>
      </c>
      <c r="L11" s="28" t="s">
        <v>544</v>
      </c>
      <c r="M11" s="28" t="s">
        <v>544</v>
      </c>
      <c r="N11" s="48" t="s">
        <v>343</v>
      </c>
      <c r="O11" s="48" t="s">
        <v>0</v>
      </c>
      <c r="P11" s="28" t="s">
        <v>629</v>
      </c>
      <c r="Q11" s="51">
        <v>7000226019</v>
      </c>
      <c r="R11" s="27">
        <v>114030703</v>
      </c>
      <c r="S11" s="51" t="s">
        <v>63</v>
      </c>
      <c r="T11" s="27" t="s">
        <v>630</v>
      </c>
      <c r="U11" s="51">
        <v>3</v>
      </c>
      <c r="V11" s="51">
        <v>3</v>
      </c>
      <c r="W11" s="51">
        <v>7</v>
      </c>
      <c r="X11" s="51" t="s">
        <v>54</v>
      </c>
      <c r="Y11" s="27"/>
      <c r="Z11" s="51" t="s">
        <v>99</v>
      </c>
      <c r="AA11" s="51" t="s">
        <v>83</v>
      </c>
      <c r="AB11" s="51" t="s">
        <v>140</v>
      </c>
      <c r="AC11" s="27">
        <v>1</v>
      </c>
      <c r="AD11" s="27">
        <v>1</v>
      </c>
      <c r="AE11" s="27">
        <v>5</v>
      </c>
      <c r="AF11" s="27" t="s">
        <v>545</v>
      </c>
      <c r="AG11" s="27">
        <v>2</v>
      </c>
    </row>
    <row r="12" spans="1:33" x14ac:dyDescent="0.55000000000000004">
      <c r="A12" s="28">
        <v>7000226019</v>
      </c>
      <c r="B12" s="28" t="s">
        <v>525</v>
      </c>
      <c r="C12" s="28">
        <v>11404010301</v>
      </c>
      <c r="D12" s="48">
        <v>8040162717</v>
      </c>
      <c r="E12" s="28" t="s">
        <v>515</v>
      </c>
      <c r="F12" s="28" t="s">
        <v>516</v>
      </c>
      <c r="G12" s="28" t="s">
        <v>767</v>
      </c>
      <c r="H12" s="28"/>
      <c r="I12" s="28">
        <v>0.25</v>
      </c>
      <c r="J12" s="28" t="s">
        <v>515</v>
      </c>
      <c r="K12" s="48" t="s">
        <v>515</v>
      </c>
      <c r="L12" s="28" t="s">
        <v>544</v>
      </c>
      <c r="M12" s="28" t="s">
        <v>544</v>
      </c>
      <c r="N12" s="48" t="s">
        <v>343</v>
      </c>
      <c r="O12" s="48" t="s">
        <v>0</v>
      </c>
      <c r="P12" s="28" t="s">
        <v>629</v>
      </c>
      <c r="Q12" s="51">
        <v>7000226019</v>
      </c>
      <c r="R12" s="27">
        <v>114040103</v>
      </c>
      <c r="S12" s="51" t="s">
        <v>63</v>
      </c>
      <c r="T12" s="27" t="s">
        <v>630</v>
      </c>
      <c r="U12" s="51">
        <v>3</v>
      </c>
      <c r="V12" s="51">
        <v>3</v>
      </c>
      <c r="W12" s="51">
        <v>1</v>
      </c>
      <c r="X12" s="51" t="s">
        <v>54</v>
      </c>
      <c r="Y12" s="27"/>
      <c r="Z12" s="51" t="s">
        <v>99</v>
      </c>
      <c r="AA12" s="51" t="s">
        <v>83</v>
      </c>
      <c r="AB12" s="51" t="s">
        <v>140</v>
      </c>
      <c r="AC12" s="27">
        <v>1</v>
      </c>
      <c r="AD12" s="27">
        <v>1</v>
      </c>
      <c r="AE12" s="27">
        <v>5</v>
      </c>
      <c r="AF12" s="27" t="s">
        <v>546</v>
      </c>
      <c r="AG12" s="27">
        <v>2</v>
      </c>
    </row>
    <row r="13" spans="1:33" x14ac:dyDescent="0.55000000000000004">
      <c r="A13" s="28">
        <v>7000226019</v>
      </c>
      <c r="B13" s="28" t="s">
        <v>526</v>
      </c>
      <c r="C13" s="28">
        <v>11404020301</v>
      </c>
      <c r="D13" s="48">
        <v>8040163109</v>
      </c>
      <c r="E13" s="28" t="s">
        <v>515</v>
      </c>
      <c r="F13" s="28" t="s">
        <v>516</v>
      </c>
      <c r="G13" s="28" t="s">
        <v>767</v>
      </c>
      <c r="H13" s="28"/>
      <c r="I13" s="28">
        <v>0.25</v>
      </c>
      <c r="J13" s="28" t="s">
        <v>515</v>
      </c>
      <c r="K13" s="48" t="s">
        <v>515</v>
      </c>
      <c r="L13" s="28" t="s">
        <v>544</v>
      </c>
      <c r="M13" s="28" t="s">
        <v>544</v>
      </c>
      <c r="N13" s="48" t="s">
        <v>343</v>
      </c>
      <c r="O13" s="48" t="s">
        <v>0</v>
      </c>
      <c r="P13" s="28" t="s">
        <v>629</v>
      </c>
      <c r="Q13" s="51">
        <v>7000226019</v>
      </c>
      <c r="R13" s="27">
        <v>114040203</v>
      </c>
      <c r="S13" s="51" t="s">
        <v>63</v>
      </c>
      <c r="T13" s="27" t="s">
        <v>630</v>
      </c>
      <c r="U13" s="51">
        <v>3</v>
      </c>
      <c r="V13" s="51">
        <v>3</v>
      </c>
      <c r="W13" s="51">
        <v>2</v>
      </c>
      <c r="X13" s="51" t="s">
        <v>54</v>
      </c>
      <c r="Y13" s="27"/>
      <c r="Z13" s="51" t="s">
        <v>99</v>
      </c>
      <c r="AA13" s="51" t="s">
        <v>83</v>
      </c>
      <c r="AB13" s="51" t="s">
        <v>140</v>
      </c>
      <c r="AC13" s="27">
        <v>1</v>
      </c>
      <c r="AD13" s="27">
        <v>1</v>
      </c>
      <c r="AE13" s="27">
        <v>5</v>
      </c>
      <c r="AF13" s="27" t="s">
        <v>547</v>
      </c>
      <c r="AG13" s="27">
        <v>2</v>
      </c>
    </row>
    <row r="14" spans="1:33" x14ac:dyDescent="0.55000000000000004">
      <c r="A14" s="28">
        <v>7000226019</v>
      </c>
      <c r="B14" s="28" t="s">
        <v>527</v>
      </c>
      <c r="C14" s="28">
        <v>11404030301</v>
      </c>
      <c r="D14" s="48">
        <v>8040162432</v>
      </c>
      <c r="E14" s="28" t="s">
        <v>515</v>
      </c>
      <c r="F14" s="28" t="s">
        <v>516</v>
      </c>
      <c r="G14" s="28" t="s">
        <v>767</v>
      </c>
      <c r="H14" s="28"/>
      <c r="I14" s="28">
        <v>0.25</v>
      </c>
      <c r="J14" s="28" t="s">
        <v>515</v>
      </c>
      <c r="K14" s="48" t="s">
        <v>515</v>
      </c>
      <c r="L14" s="28" t="s">
        <v>544</v>
      </c>
      <c r="M14" s="28" t="s">
        <v>544</v>
      </c>
      <c r="N14" s="48" t="s">
        <v>343</v>
      </c>
      <c r="O14" s="48" t="s">
        <v>0</v>
      </c>
      <c r="P14" s="28" t="s">
        <v>629</v>
      </c>
      <c r="Q14" s="51">
        <v>7000226019</v>
      </c>
      <c r="R14" s="27">
        <v>114040303</v>
      </c>
      <c r="S14" s="51" t="s">
        <v>63</v>
      </c>
      <c r="T14" s="27" t="s">
        <v>630</v>
      </c>
      <c r="U14" s="51">
        <v>3</v>
      </c>
      <c r="V14" s="51">
        <v>3</v>
      </c>
      <c r="W14" s="51">
        <v>3</v>
      </c>
      <c r="X14" s="51" t="s">
        <v>54</v>
      </c>
      <c r="Y14" s="27"/>
      <c r="Z14" s="51" t="s">
        <v>99</v>
      </c>
      <c r="AA14" s="51" t="s">
        <v>83</v>
      </c>
      <c r="AB14" s="51" t="s">
        <v>140</v>
      </c>
      <c r="AC14" s="27">
        <v>1</v>
      </c>
      <c r="AD14" s="27">
        <v>1</v>
      </c>
      <c r="AE14" s="27">
        <v>5</v>
      </c>
      <c r="AF14" s="27" t="s">
        <v>548</v>
      </c>
      <c r="AG14" s="27">
        <v>2</v>
      </c>
    </row>
    <row r="15" spans="1:33" x14ac:dyDescent="0.55000000000000004">
      <c r="A15" s="28">
        <v>7000226019</v>
      </c>
      <c r="B15" s="28" t="s">
        <v>528</v>
      </c>
      <c r="C15" s="28">
        <v>11404040301</v>
      </c>
      <c r="D15" s="48">
        <v>8040162384</v>
      </c>
      <c r="E15" s="28" t="s">
        <v>515</v>
      </c>
      <c r="F15" s="28" t="s">
        <v>516</v>
      </c>
      <c r="G15" s="28" t="s">
        <v>767</v>
      </c>
      <c r="H15" s="28"/>
      <c r="I15" s="28">
        <v>0.25</v>
      </c>
      <c r="J15" s="28" t="s">
        <v>515</v>
      </c>
      <c r="K15" s="48" t="s">
        <v>515</v>
      </c>
      <c r="L15" s="28" t="s">
        <v>544</v>
      </c>
      <c r="M15" s="28" t="s">
        <v>544</v>
      </c>
      <c r="N15" s="48" t="s">
        <v>343</v>
      </c>
      <c r="O15" s="48" t="s">
        <v>0</v>
      </c>
      <c r="P15" s="28" t="s">
        <v>629</v>
      </c>
      <c r="Q15" s="51">
        <v>7000226019</v>
      </c>
      <c r="R15" s="27">
        <v>114040403</v>
      </c>
      <c r="S15" s="51" t="s">
        <v>63</v>
      </c>
      <c r="T15" s="27" t="s">
        <v>630</v>
      </c>
      <c r="U15" s="51">
        <v>3</v>
      </c>
      <c r="V15" s="51">
        <v>3</v>
      </c>
      <c r="W15" s="51">
        <v>4</v>
      </c>
      <c r="X15" s="51" t="s">
        <v>54</v>
      </c>
      <c r="Y15" s="27"/>
      <c r="Z15" s="51" t="s">
        <v>99</v>
      </c>
      <c r="AA15" s="51" t="s">
        <v>83</v>
      </c>
      <c r="AB15" s="51" t="s">
        <v>140</v>
      </c>
      <c r="AC15" s="27">
        <v>1</v>
      </c>
      <c r="AD15" s="27">
        <v>1</v>
      </c>
      <c r="AE15" s="27">
        <v>5</v>
      </c>
      <c r="AF15" s="27" t="s">
        <v>549</v>
      </c>
      <c r="AG15" s="27">
        <v>2</v>
      </c>
    </row>
    <row r="16" spans="1:33" x14ac:dyDescent="0.55000000000000004">
      <c r="A16" s="28">
        <v>7000226019</v>
      </c>
      <c r="B16" s="28" t="s">
        <v>529</v>
      </c>
      <c r="C16" s="28">
        <v>11404050301</v>
      </c>
      <c r="D16" s="48">
        <v>8040162530</v>
      </c>
      <c r="E16" s="28" t="s">
        <v>515</v>
      </c>
      <c r="F16" s="28" t="s">
        <v>516</v>
      </c>
      <c r="G16" s="28" t="s">
        <v>767</v>
      </c>
      <c r="H16" s="28"/>
      <c r="I16" s="28">
        <v>0.25</v>
      </c>
      <c r="J16" s="28" t="s">
        <v>515</v>
      </c>
      <c r="K16" s="48" t="s">
        <v>515</v>
      </c>
      <c r="L16" s="28" t="s">
        <v>544</v>
      </c>
      <c r="M16" s="28" t="s">
        <v>544</v>
      </c>
      <c r="N16" s="48" t="s">
        <v>343</v>
      </c>
      <c r="O16" s="48" t="s">
        <v>0</v>
      </c>
      <c r="P16" s="28" t="s">
        <v>629</v>
      </c>
      <c r="Q16" s="51">
        <v>7000226019</v>
      </c>
      <c r="R16" s="27">
        <v>114040503</v>
      </c>
      <c r="S16" s="51" t="s">
        <v>63</v>
      </c>
      <c r="T16" s="27" t="s">
        <v>630</v>
      </c>
      <c r="U16" s="51">
        <v>3</v>
      </c>
      <c r="V16" s="51">
        <v>3</v>
      </c>
      <c r="W16" s="51">
        <v>5</v>
      </c>
      <c r="X16" s="51" t="s">
        <v>54</v>
      </c>
      <c r="Y16" s="27"/>
      <c r="Z16" s="51" t="s">
        <v>99</v>
      </c>
      <c r="AA16" s="51" t="s">
        <v>83</v>
      </c>
      <c r="AB16" s="51" t="s">
        <v>140</v>
      </c>
      <c r="AC16" s="27">
        <v>1</v>
      </c>
      <c r="AD16" s="27">
        <v>1</v>
      </c>
      <c r="AE16" s="27">
        <v>5</v>
      </c>
      <c r="AF16" s="27" t="s">
        <v>550</v>
      </c>
      <c r="AG16" s="27">
        <v>2</v>
      </c>
    </row>
    <row r="17" spans="1:33" x14ac:dyDescent="0.55000000000000004">
      <c r="A17" s="28">
        <v>7000226019</v>
      </c>
      <c r="B17" s="28" t="s">
        <v>530</v>
      </c>
      <c r="C17" s="28">
        <v>11404060301</v>
      </c>
      <c r="D17" s="48">
        <v>8040159752</v>
      </c>
      <c r="E17" s="28" t="s">
        <v>515</v>
      </c>
      <c r="F17" s="28" t="s">
        <v>516</v>
      </c>
      <c r="G17" s="28" t="s">
        <v>767</v>
      </c>
      <c r="H17" s="28"/>
      <c r="I17" s="28">
        <v>0.25</v>
      </c>
      <c r="J17" s="28" t="s">
        <v>515</v>
      </c>
      <c r="K17" s="48" t="s">
        <v>515</v>
      </c>
      <c r="L17" s="28" t="s">
        <v>544</v>
      </c>
      <c r="M17" s="28" t="s">
        <v>544</v>
      </c>
      <c r="N17" s="48" t="s">
        <v>343</v>
      </c>
      <c r="O17" s="48" t="s">
        <v>0</v>
      </c>
      <c r="P17" s="28" t="s">
        <v>629</v>
      </c>
      <c r="Q17" s="51">
        <v>7000226019</v>
      </c>
      <c r="R17" s="27">
        <v>114040603</v>
      </c>
      <c r="S17" s="51" t="s">
        <v>63</v>
      </c>
      <c r="T17" s="27" t="s">
        <v>630</v>
      </c>
      <c r="U17" s="51">
        <v>3</v>
      </c>
      <c r="V17" s="51">
        <v>3</v>
      </c>
      <c r="W17" s="51">
        <v>6</v>
      </c>
      <c r="X17" s="51" t="s">
        <v>54</v>
      </c>
      <c r="Y17" s="27"/>
      <c r="Z17" s="51" t="s">
        <v>99</v>
      </c>
      <c r="AA17" s="51" t="s">
        <v>83</v>
      </c>
      <c r="AB17" s="51" t="s">
        <v>140</v>
      </c>
      <c r="AC17" s="27">
        <v>1</v>
      </c>
      <c r="AD17" s="27">
        <v>1</v>
      </c>
      <c r="AE17" s="27">
        <v>5</v>
      </c>
      <c r="AF17" s="27" t="s">
        <v>551</v>
      </c>
      <c r="AG17" s="27">
        <v>2</v>
      </c>
    </row>
    <row r="18" spans="1:33" x14ac:dyDescent="0.55000000000000004">
      <c r="A18" s="28">
        <v>7000226019</v>
      </c>
      <c r="B18" s="28" t="s">
        <v>356</v>
      </c>
      <c r="C18" s="28">
        <v>11404070301</v>
      </c>
      <c r="D18" s="48">
        <v>8040162531</v>
      </c>
      <c r="E18" s="28" t="s">
        <v>515</v>
      </c>
      <c r="F18" s="28" t="s">
        <v>516</v>
      </c>
      <c r="G18" s="28" t="s">
        <v>767</v>
      </c>
      <c r="H18" s="28"/>
      <c r="I18" s="28">
        <v>0.25</v>
      </c>
      <c r="J18" s="28" t="s">
        <v>515</v>
      </c>
      <c r="K18" s="48" t="s">
        <v>515</v>
      </c>
      <c r="L18" s="28" t="s">
        <v>544</v>
      </c>
      <c r="M18" s="28" t="s">
        <v>544</v>
      </c>
      <c r="N18" s="48" t="s">
        <v>343</v>
      </c>
      <c r="O18" s="48" t="s">
        <v>0</v>
      </c>
      <c r="P18" s="28" t="s">
        <v>629</v>
      </c>
      <c r="Q18" s="51">
        <v>7000226019</v>
      </c>
      <c r="R18" s="27">
        <v>114040703</v>
      </c>
      <c r="S18" s="51" t="s">
        <v>63</v>
      </c>
      <c r="T18" s="27" t="s">
        <v>630</v>
      </c>
      <c r="U18" s="51">
        <v>3</v>
      </c>
      <c r="V18" s="51">
        <v>3</v>
      </c>
      <c r="W18" s="51">
        <v>7</v>
      </c>
      <c r="X18" s="51" t="s">
        <v>54</v>
      </c>
      <c r="Y18" s="27"/>
      <c r="Z18" s="51" t="s">
        <v>99</v>
      </c>
      <c r="AA18" s="51" t="s">
        <v>83</v>
      </c>
      <c r="AB18" s="51" t="s">
        <v>140</v>
      </c>
      <c r="AC18" s="27">
        <v>1</v>
      </c>
      <c r="AD18" s="27">
        <v>1</v>
      </c>
      <c r="AE18" s="27">
        <v>5</v>
      </c>
      <c r="AF18" s="27" t="s">
        <v>501</v>
      </c>
      <c r="AG18" s="27">
        <v>3</v>
      </c>
    </row>
    <row r="19" spans="1:33" x14ac:dyDescent="0.55000000000000004">
      <c r="A19" s="28">
        <v>7000226019</v>
      </c>
      <c r="B19" s="28" t="s">
        <v>531</v>
      </c>
      <c r="C19" s="28">
        <v>11335010301</v>
      </c>
      <c r="D19" s="48">
        <v>8010749000</v>
      </c>
      <c r="E19" s="28" t="s">
        <v>515</v>
      </c>
      <c r="F19" s="28" t="s">
        <v>516</v>
      </c>
      <c r="G19" s="28" t="s">
        <v>775</v>
      </c>
      <c r="H19" s="28"/>
      <c r="I19" s="28">
        <v>0.25</v>
      </c>
      <c r="J19" s="28" t="s">
        <v>515</v>
      </c>
      <c r="K19" s="48" t="s">
        <v>515</v>
      </c>
      <c r="L19" s="28" t="s">
        <v>544</v>
      </c>
      <c r="M19" s="28" t="s">
        <v>544</v>
      </c>
      <c r="N19" s="48" t="s">
        <v>343</v>
      </c>
      <c r="O19" s="48" t="s">
        <v>0</v>
      </c>
      <c r="P19" s="28" t="s">
        <v>629</v>
      </c>
      <c r="Q19" s="51">
        <v>7000226019</v>
      </c>
      <c r="R19" s="27">
        <v>113350103</v>
      </c>
      <c r="S19" s="51" t="s">
        <v>63</v>
      </c>
      <c r="T19" s="27" t="s">
        <v>630</v>
      </c>
      <c r="U19" s="51">
        <v>3</v>
      </c>
      <c r="V19" s="51">
        <v>3</v>
      </c>
      <c r="W19" s="51">
        <v>1</v>
      </c>
      <c r="X19" s="51" t="s">
        <v>54</v>
      </c>
      <c r="Y19" s="27"/>
      <c r="Z19" s="51" t="s">
        <v>99</v>
      </c>
      <c r="AA19" s="51" t="s">
        <v>83</v>
      </c>
      <c r="AB19" s="51" t="s">
        <v>140</v>
      </c>
      <c r="AC19" s="27">
        <v>1</v>
      </c>
      <c r="AD19" s="27">
        <v>1</v>
      </c>
      <c r="AE19" s="27">
        <v>5</v>
      </c>
      <c r="AF19" s="27" t="s">
        <v>545</v>
      </c>
      <c r="AG19" s="27">
        <v>3</v>
      </c>
    </row>
    <row r="20" spans="1:33" x14ac:dyDescent="0.55000000000000004">
      <c r="A20" s="28">
        <v>7000226019</v>
      </c>
      <c r="B20" s="28" t="s">
        <v>532</v>
      </c>
      <c r="C20" s="28">
        <v>11335040301</v>
      </c>
      <c r="D20" s="48">
        <v>8010748176</v>
      </c>
      <c r="E20" s="28" t="s">
        <v>515</v>
      </c>
      <c r="F20" s="28" t="s">
        <v>516</v>
      </c>
      <c r="G20" s="28" t="s">
        <v>775</v>
      </c>
      <c r="H20" s="28"/>
      <c r="I20" s="28">
        <v>0.25</v>
      </c>
      <c r="J20" s="28" t="s">
        <v>515</v>
      </c>
      <c r="K20" s="48" t="s">
        <v>515</v>
      </c>
      <c r="L20" s="28" t="s">
        <v>544</v>
      </c>
      <c r="M20" s="28" t="s">
        <v>544</v>
      </c>
      <c r="N20" s="48" t="s">
        <v>343</v>
      </c>
      <c r="O20" s="48" t="s">
        <v>0</v>
      </c>
      <c r="P20" s="28" t="s">
        <v>629</v>
      </c>
      <c r="Q20" s="51">
        <v>7000226019</v>
      </c>
      <c r="R20" s="27">
        <v>113350403</v>
      </c>
      <c r="S20" s="51" t="s">
        <v>63</v>
      </c>
      <c r="T20" s="27" t="s">
        <v>630</v>
      </c>
      <c r="U20" s="51">
        <v>3</v>
      </c>
      <c r="V20" s="51">
        <v>3</v>
      </c>
      <c r="W20" s="51">
        <v>4</v>
      </c>
      <c r="X20" s="51" t="s">
        <v>54</v>
      </c>
      <c r="Y20" s="27"/>
      <c r="Z20" s="51" t="s">
        <v>99</v>
      </c>
      <c r="AA20" s="51" t="s">
        <v>83</v>
      </c>
      <c r="AB20" s="51" t="s">
        <v>140</v>
      </c>
      <c r="AC20" s="27">
        <v>1</v>
      </c>
      <c r="AD20" s="27">
        <v>1</v>
      </c>
      <c r="AE20" s="27">
        <v>5</v>
      </c>
      <c r="AF20" s="27" t="s">
        <v>546</v>
      </c>
      <c r="AG20" s="27">
        <v>3</v>
      </c>
    </row>
    <row r="21" spans="1:33" x14ac:dyDescent="0.55000000000000004">
      <c r="A21" s="28">
        <v>7000226019</v>
      </c>
      <c r="B21" s="28" t="s">
        <v>533</v>
      </c>
      <c r="C21" s="28">
        <v>11335050301</v>
      </c>
      <c r="D21" s="48">
        <v>8010748206</v>
      </c>
      <c r="E21" s="28" t="s">
        <v>515</v>
      </c>
      <c r="F21" s="28" t="s">
        <v>516</v>
      </c>
      <c r="G21" s="28" t="s">
        <v>775</v>
      </c>
      <c r="H21" s="28"/>
      <c r="I21" s="28">
        <v>0.25</v>
      </c>
      <c r="J21" s="28" t="s">
        <v>515</v>
      </c>
      <c r="K21" s="48" t="s">
        <v>515</v>
      </c>
      <c r="L21" s="28" t="s">
        <v>544</v>
      </c>
      <c r="M21" s="28" t="s">
        <v>544</v>
      </c>
      <c r="N21" s="48" t="s">
        <v>343</v>
      </c>
      <c r="O21" s="48" t="s">
        <v>0</v>
      </c>
      <c r="P21" s="28" t="s">
        <v>629</v>
      </c>
      <c r="Q21" s="51">
        <v>7000226019</v>
      </c>
      <c r="R21" s="27">
        <v>113350503</v>
      </c>
      <c r="S21" s="51" t="s">
        <v>63</v>
      </c>
      <c r="T21" s="27" t="s">
        <v>630</v>
      </c>
      <c r="U21" s="51">
        <v>3</v>
      </c>
      <c r="V21" s="51">
        <v>3</v>
      </c>
      <c r="W21" s="51">
        <v>5</v>
      </c>
      <c r="X21" s="51" t="s">
        <v>54</v>
      </c>
      <c r="Y21" s="27"/>
      <c r="Z21" s="51" t="s">
        <v>99</v>
      </c>
      <c r="AA21" s="51" t="s">
        <v>83</v>
      </c>
      <c r="AB21" s="51" t="s">
        <v>140</v>
      </c>
      <c r="AC21" s="27">
        <v>1</v>
      </c>
      <c r="AD21" s="27">
        <v>1</v>
      </c>
      <c r="AE21" s="27">
        <v>5</v>
      </c>
      <c r="AF21" s="27" t="s">
        <v>547</v>
      </c>
      <c r="AG21" s="27">
        <v>3</v>
      </c>
    </row>
    <row r="22" spans="1:33" x14ac:dyDescent="0.55000000000000004">
      <c r="A22" s="28">
        <v>7000226019</v>
      </c>
      <c r="B22" s="28" t="s">
        <v>534</v>
      </c>
      <c r="C22" s="28">
        <v>11357010301</v>
      </c>
      <c r="D22" s="48">
        <v>8010748716</v>
      </c>
      <c r="E22" s="28" t="s">
        <v>515</v>
      </c>
      <c r="F22" s="28" t="s">
        <v>516</v>
      </c>
      <c r="G22" s="28" t="s">
        <v>779</v>
      </c>
      <c r="H22" s="28"/>
      <c r="I22" s="28">
        <v>0.25</v>
      </c>
      <c r="J22" s="28" t="s">
        <v>515</v>
      </c>
      <c r="K22" s="48" t="s">
        <v>515</v>
      </c>
      <c r="L22" s="28" t="s">
        <v>544</v>
      </c>
      <c r="M22" s="28" t="s">
        <v>544</v>
      </c>
      <c r="N22" s="48" t="s">
        <v>343</v>
      </c>
      <c r="O22" s="48" t="s">
        <v>0</v>
      </c>
      <c r="P22" s="28" t="s">
        <v>629</v>
      </c>
      <c r="Q22" s="51">
        <v>7000226019</v>
      </c>
      <c r="R22" s="27">
        <v>113570103</v>
      </c>
      <c r="S22" s="51" t="s">
        <v>63</v>
      </c>
      <c r="T22" s="27" t="s">
        <v>630</v>
      </c>
      <c r="U22" s="51">
        <v>3</v>
      </c>
      <c r="V22" s="51">
        <v>3</v>
      </c>
      <c r="W22" s="51">
        <v>1</v>
      </c>
      <c r="X22" s="51" t="s">
        <v>54</v>
      </c>
      <c r="Y22" s="27"/>
      <c r="Z22" s="51" t="s">
        <v>99</v>
      </c>
      <c r="AA22" s="51" t="s">
        <v>83</v>
      </c>
      <c r="AB22" s="51" t="s">
        <v>140</v>
      </c>
      <c r="AC22" s="27">
        <v>1</v>
      </c>
      <c r="AD22" s="27">
        <v>1</v>
      </c>
      <c r="AE22" s="27">
        <v>5</v>
      </c>
      <c r="AF22" s="27" t="s">
        <v>548</v>
      </c>
      <c r="AG22" s="27">
        <v>3</v>
      </c>
    </row>
    <row r="23" spans="1:33" x14ac:dyDescent="0.55000000000000004">
      <c r="A23" s="28">
        <v>7000226019</v>
      </c>
      <c r="B23" s="28" t="s">
        <v>535</v>
      </c>
      <c r="C23" s="28">
        <v>11357040301</v>
      </c>
      <c r="D23" s="48">
        <v>8010749033</v>
      </c>
      <c r="E23" s="28" t="s">
        <v>515</v>
      </c>
      <c r="F23" s="28" t="s">
        <v>516</v>
      </c>
      <c r="G23" s="28" t="s">
        <v>779</v>
      </c>
      <c r="H23" s="28"/>
      <c r="I23" s="28">
        <v>0.25</v>
      </c>
      <c r="J23" s="28" t="s">
        <v>515</v>
      </c>
      <c r="K23" s="48" t="s">
        <v>515</v>
      </c>
      <c r="L23" s="28" t="s">
        <v>544</v>
      </c>
      <c r="M23" s="28" t="s">
        <v>544</v>
      </c>
      <c r="N23" s="48" t="s">
        <v>343</v>
      </c>
      <c r="O23" s="48" t="s">
        <v>0</v>
      </c>
      <c r="P23" s="28" t="s">
        <v>629</v>
      </c>
      <c r="Q23" s="51">
        <v>7000226019</v>
      </c>
      <c r="R23" s="27">
        <v>113570403</v>
      </c>
      <c r="S23" s="51" t="s">
        <v>63</v>
      </c>
      <c r="T23" s="27" t="s">
        <v>630</v>
      </c>
      <c r="U23" s="51">
        <v>3</v>
      </c>
      <c r="V23" s="51">
        <v>3</v>
      </c>
      <c r="W23" s="51">
        <v>4</v>
      </c>
      <c r="X23" s="51" t="s">
        <v>54</v>
      </c>
      <c r="Y23" s="27"/>
      <c r="Z23" s="51" t="s">
        <v>99</v>
      </c>
      <c r="AA23" s="51" t="s">
        <v>83</v>
      </c>
      <c r="AB23" s="51" t="s">
        <v>140</v>
      </c>
      <c r="AC23" s="27">
        <v>1</v>
      </c>
      <c r="AD23" s="27">
        <v>1</v>
      </c>
      <c r="AE23" s="27">
        <v>5</v>
      </c>
      <c r="AF23" s="27" t="s">
        <v>549</v>
      </c>
      <c r="AG23" s="27">
        <v>3</v>
      </c>
    </row>
    <row r="24" spans="1:33" x14ac:dyDescent="0.55000000000000004">
      <c r="A24" s="28">
        <v>7000226019</v>
      </c>
      <c r="B24" s="28" t="s">
        <v>536</v>
      </c>
      <c r="C24" s="28">
        <v>11357050301</v>
      </c>
      <c r="D24" s="48">
        <v>8010748826</v>
      </c>
      <c r="E24" s="28" t="s">
        <v>515</v>
      </c>
      <c r="F24" s="28" t="s">
        <v>516</v>
      </c>
      <c r="G24" s="28" t="s">
        <v>779</v>
      </c>
      <c r="H24" s="28"/>
      <c r="I24" s="28">
        <v>0.25</v>
      </c>
      <c r="J24" s="28" t="s">
        <v>515</v>
      </c>
      <c r="K24" s="48" t="s">
        <v>515</v>
      </c>
      <c r="L24" s="28" t="s">
        <v>544</v>
      </c>
      <c r="M24" s="28" t="s">
        <v>544</v>
      </c>
      <c r="N24" s="48" t="s">
        <v>343</v>
      </c>
      <c r="O24" s="48" t="s">
        <v>0</v>
      </c>
      <c r="P24" s="28" t="s">
        <v>629</v>
      </c>
      <c r="Q24" s="51">
        <v>7000226019</v>
      </c>
      <c r="R24" s="27">
        <v>113570503</v>
      </c>
      <c r="S24" s="51" t="s">
        <v>63</v>
      </c>
      <c r="T24" s="27" t="s">
        <v>630</v>
      </c>
      <c r="U24" s="51">
        <v>3</v>
      </c>
      <c r="V24" s="51">
        <v>3</v>
      </c>
      <c r="W24" s="51">
        <v>5</v>
      </c>
      <c r="X24" s="51" t="s">
        <v>54</v>
      </c>
      <c r="Y24" s="27"/>
      <c r="Z24" s="51" t="s">
        <v>99</v>
      </c>
      <c r="AA24" s="51" t="s">
        <v>83</v>
      </c>
      <c r="AB24" s="51" t="s">
        <v>140</v>
      </c>
      <c r="AC24" s="27">
        <v>1</v>
      </c>
      <c r="AD24" s="27">
        <v>1</v>
      </c>
      <c r="AE24" s="27">
        <v>5</v>
      </c>
      <c r="AF24" s="27" t="s">
        <v>550</v>
      </c>
      <c r="AG24" s="27">
        <v>3</v>
      </c>
    </row>
    <row r="25" spans="1:33" x14ac:dyDescent="0.55000000000000004">
      <c r="A25" s="28">
        <v>7000226019</v>
      </c>
      <c r="B25" s="28" t="s">
        <v>537</v>
      </c>
      <c r="C25" s="28">
        <v>11357060301</v>
      </c>
      <c r="D25" s="48">
        <v>8010748829</v>
      </c>
      <c r="E25" s="28" t="s">
        <v>515</v>
      </c>
      <c r="F25" s="28" t="s">
        <v>516</v>
      </c>
      <c r="G25" s="28" t="s">
        <v>779</v>
      </c>
      <c r="H25" s="28"/>
      <c r="I25" s="28">
        <v>0.25</v>
      </c>
      <c r="J25" s="28" t="s">
        <v>515</v>
      </c>
      <c r="K25" s="48" t="s">
        <v>515</v>
      </c>
      <c r="L25" s="28" t="s">
        <v>544</v>
      </c>
      <c r="M25" s="28" t="s">
        <v>544</v>
      </c>
      <c r="N25" s="48" t="s">
        <v>343</v>
      </c>
      <c r="O25" s="48" t="s">
        <v>0</v>
      </c>
      <c r="P25" s="28" t="s">
        <v>629</v>
      </c>
      <c r="Q25" s="51">
        <v>7000226019</v>
      </c>
      <c r="R25" s="27">
        <v>113570603</v>
      </c>
      <c r="S25" s="51" t="s">
        <v>63</v>
      </c>
      <c r="T25" s="27" t="s">
        <v>630</v>
      </c>
      <c r="U25" s="51">
        <v>3</v>
      </c>
      <c r="V25" s="51">
        <v>3</v>
      </c>
      <c r="W25" s="51">
        <v>6</v>
      </c>
      <c r="X25" s="51" t="s">
        <v>54</v>
      </c>
      <c r="Y25" s="27"/>
      <c r="Z25" s="51" t="s">
        <v>99</v>
      </c>
      <c r="AA25" s="51" t="s">
        <v>83</v>
      </c>
      <c r="AB25" s="51" t="s">
        <v>140</v>
      </c>
      <c r="AC25" s="27">
        <v>1</v>
      </c>
      <c r="AD25" s="27">
        <v>1</v>
      </c>
      <c r="AE25" s="27">
        <v>5</v>
      </c>
      <c r="AF25" s="27" t="s">
        <v>551</v>
      </c>
      <c r="AG25" s="27">
        <v>3</v>
      </c>
    </row>
    <row r="26" spans="1:33" x14ac:dyDescent="0.55000000000000004">
      <c r="A26" s="28">
        <v>7000226019</v>
      </c>
      <c r="B26" s="28" t="s">
        <v>357</v>
      </c>
      <c r="C26" s="28">
        <v>11442010301</v>
      </c>
      <c r="D26" s="48">
        <v>8040158637</v>
      </c>
      <c r="E26" s="28" t="s">
        <v>515</v>
      </c>
      <c r="F26" s="28" t="s">
        <v>516</v>
      </c>
      <c r="G26" s="28" t="s">
        <v>784</v>
      </c>
      <c r="H26" s="28"/>
      <c r="I26" s="28">
        <v>0.25</v>
      </c>
      <c r="J26" s="28" t="s">
        <v>515</v>
      </c>
      <c r="K26" s="48" t="s">
        <v>515</v>
      </c>
      <c r="L26" s="28" t="s">
        <v>544</v>
      </c>
      <c r="M26" s="28" t="s">
        <v>544</v>
      </c>
      <c r="N26" s="48" t="s">
        <v>343</v>
      </c>
      <c r="O26" s="48" t="s">
        <v>0</v>
      </c>
      <c r="P26" s="28" t="s">
        <v>629</v>
      </c>
      <c r="Q26" s="51">
        <v>7000226019</v>
      </c>
      <c r="R26" s="27">
        <v>114420103</v>
      </c>
      <c r="S26" s="51" t="s">
        <v>63</v>
      </c>
      <c r="T26" s="27" t="s">
        <v>630</v>
      </c>
      <c r="U26" s="51">
        <v>3</v>
      </c>
      <c r="V26" s="51">
        <v>3</v>
      </c>
      <c r="W26" s="51">
        <v>1</v>
      </c>
      <c r="X26" s="51" t="s">
        <v>54</v>
      </c>
      <c r="Y26" s="27"/>
      <c r="Z26" s="51" t="s">
        <v>99</v>
      </c>
      <c r="AA26" s="51" t="s">
        <v>83</v>
      </c>
      <c r="AB26" s="51" t="s">
        <v>140</v>
      </c>
      <c r="AC26" s="27">
        <v>1</v>
      </c>
      <c r="AD26" s="27">
        <v>1</v>
      </c>
      <c r="AE26" s="27">
        <v>5</v>
      </c>
      <c r="AF26" s="27" t="s">
        <v>501</v>
      </c>
      <c r="AG26" s="27">
        <v>4</v>
      </c>
    </row>
    <row r="27" spans="1:33" x14ac:dyDescent="0.55000000000000004">
      <c r="A27" s="28">
        <v>7000226019</v>
      </c>
      <c r="B27" s="28" t="s">
        <v>538</v>
      </c>
      <c r="C27" s="28">
        <v>11442020301</v>
      </c>
      <c r="D27" s="48">
        <v>8040158302</v>
      </c>
      <c r="E27" s="28" t="s">
        <v>515</v>
      </c>
      <c r="F27" s="28" t="s">
        <v>516</v>
      </c>
      <c r="G27" s="28" t="s">
        <v>784</v>
      </c>
      <c r="H27" s="28"/>
      <c r="I27" s="28">
        <v>0.25</v>
      </c>
      <c r="J27" s="28" t="s">
        <v>515</v>
      </c>
      <c r="K27" s="48" t="s">
        <v>515</v>
      </c>
      <c r="L27" s="28" t="s">
        <v>544</v>
      </c>
      <c r="M27" s="28" t="s">
        <v>544</v>
      </c>
      <c r="N27" s="48" t="s">
        <v>343</v>
      </c>
      <c r="O27" s="48" t="s">
        <v>0</v>
      </c>
      <c r="P27" s="28" t="s">
        <v>629</v>
      </c>
      <c r="Q27" s="51">
        <v>7000226019</v>
      </c>
      <c r="R27" s="27">
        <v>114420203</v>
      </c>
      <c r="S27" s="51" t="s">
        <v>63</v>
      </c>
      <c r="T27" s="27" t="s">
        <v>630</v>
      </c>
      <c r="U27" s="51">
        <v>3</v>
      </c>
      <c r="V27" s="51">
        <v>3</v>
      </c>
      <c r="W27" s="51">
        <v>2</v>
      </c>
      <c r="X27" s="51" t="s">
        <v>54</v>
      </c>
      <c r="Y27" s="27"/>
      <c r="Z27" s="51" t="s">
        <v>99</v>
      </c>
      <c r="AA27" s="51" t="s">
        <v>83</v>
      </c>
      <c r="AB27" s="51" t="s">
        <v>140</v>
      </c>
      <c r="AC27" s="27">
        <v>1</v>
      </c>
      <c r="AD27" s="27">
        <v>1</v>
      </c>
      <c r="AE27" s="27">
        <v>5</v>
      </c>
      <c r="AF27" s="27" t="s">
        <v>545</v>
      </c>
      <c r="AG27" s="27">
        <v>4</v>
      </c>
    </row>
    <row r="28" spans="1:33" x14ac:dyDescent="0.55000000000000004">
      <c r="A28" s="28">
        <v>7000226019</v>
      </c>
      <c r="B28" s="28" t="s">
        <v>539</v>
      </c>
      <c r="C28" s="28">
        <v>11442030301</v>
      </c>
      <c r="D28" s="48">
        <v>8040159087</v>
      </c>
      <c r="E28" s="28" t="s">
        <v>515</v>
      </c>
      <c r="F28" s="28" t="s">
        <v>516</v>
      </c>
      <c r="G28" s="28" t="s">
        <v>784</v>
      </c>
      <c r="H28" s="28"/>
      <c r="I28" s="28">
        <v>0.25</v>
      </c>
      <c r="J28" s="28" t="s">
        <v>515</v>
      </c>
      <c r="K28" s="48" t="s">
        <v>515</v>
      </c>
      <c r="L28" s="28" t="s">
        <v>544</v>
      </c>
      <c r="M28" s="28" t="s">
        <v>544</v>
      </c>
      <c r="N28" s="48" t="s">
        <v>343</v>
      </c>
      <c r="O28" s="48" t="s">
        <v>0</v>
      </c>
      <c r="P28" s="28" t="s">
        <v>629</v>
      </c>
      <c r="Q28" s="51">
        <v>7000226019</v>
      </c>
      <c r="R28" s="27">
        <v>114420303</v>
      </c>
      <c r="S28" s="51" t="s">
        <v>63</v>
      </c>
      <c r="T28" s="27" t="s">
        <v>630</v>
      </c>
      <c r="U28" s="51">
        <v>3</v>
      </c>
      <c r="V28" s="51">
        <v>3</v>
      </c>
      <c r="W28" s="51">
        <v>3</v>
      </c>
      <c r="X28" s="51" t="s">
        <v>54</v>
      </c>
      <c r="Y28" s="27"/>
      <c r="Z28" s="51" t="s">
        <v>99</v>
      </c>
      <c r="AA28" s="51" t="s">
        <v>83</v>
      </c>
      <c r="AB28" s="51" t="s">
        <v>140</v>
      </c>
      <c r="AC28" s="27">
        <v>1</v>
      </c>
      <c r="AD28" s="27">
        <v>1</v>
      </c>
      <c r="AE28" s="27">
        <v>5</v>
      </c>
      <c r="AF28" s="27" t="s">
        <v>546</v>
      </c>
      <c r="AG28" s="27">
        <v>4</v>
      </c>
    </row>
    <row r="29" spans="1:33" x14ac:dyDescent="0.55000000000000004">
      <c r="A29" s="28">
        <v>7000226019</v>
      </c>
      <c r="B29" s="28" t="s">
        <v>540</v>
      </c>
      <c r="C29" s="28">
        <v>11442040301</v>
      </c>
      <c r="D29" s="48">
        <v>8040158568</v>
      </c>
      <c r="E29" s="28" t="s">
        <v>515</v>
      </c>
      <c r="F29" s="28" t="s">
        <v>516</v>
      </c>
      <c r="G29" s="28" t="s">
        <v>784</v>
      </c>
      <c r="H29" s="28"/>
      <c r="I29" s="28">
        <v>0.25</v>
      </c>
      <c r="J29" s="28" t="s">
        <v>515</v>
      </c>
      <c r="K29" s="48" t="s">
        <v>515</v>
      </c>
      <c r="L29" s="28" t="s">
        <v>544</v>
      </c>
      <c r="M29" s="28" t="s">
        <v>544</v>
      </c>
      <c r="N29" s="48" t="s">
        <v>343</v>
      </c>
      <c r="O29" s="48" t="s">
        <v>0</v>
      </c>
      <c r="P29" s="28" t="s">
        <v>629</v>
      </c>
      <c r="Q29" s="51">
        <v>7000226019</v>
      </c>
      <c r="R29" s="27">
        <v>114420403</v>
      </c>
      <c r="S29" s="51" t="s">
        <v>63</v>
      </c>
      <c r="T29" s="27" t="s">
        <v>630</v>
      </c>
      <c r="U29" s="51">
        <v>3</v>
      </c>
      <c r="V29" s="51">
        <v>3</v>
      </c>
      <c r="W29" s="51">
        <v>4</v>
      </c>
      <c r="X29" s="51" t="s">
        <v>54</v>
      </c>
      <c r="Y29" s="27"/>
      <c r="Z29" s="51" t="s">
        <v>99</v>
      </c>
      <c r="AA29" s="51" t="s">
        <v>83</v>
      </c>
      <c r="AB29" s="51" t="s">
        <v>140</v>
      </c>
      <c r="AC29" s="27">
        <v>1</v>
      </c>
      <c r="AD29" s="27">
        <v>1</v>
      </c>
      <c r="AE29" s="27">
        <v>5</v>
      </c>
      <c r="AF29" s="27" t="s">
        <v>547</v>
      </c>
      <c r="AG29" s="27">
        <v>4</v>
      </c>
    </row>
    <row r="30" spans="1:33" x14ac:dyDescent="0.55000000000000004">
      <c r="A30" s="28">
        <v>7000226019</v>
      </c>
      <c r="B30" s="28" t="s">
        <v>541</v>
      </c>
      <c r="C30" s="28">
        <v>11442050301</v>
      </c>
      <c r="D30" s="48">
        <v>8040158769</v>
      </c>
      <c r="E30" s="28" t="s">
        <v>515</v>
      </c>
      <c r="F30" s="28" t="s">
        <v>516</v>
      </c>
      <c r="G30" s="28" t="s">
        <v>784</v>
      </c>
      <c r="H30" s="28"/>
      <c r="I30" s="28">
        <v>0.25</v>
      </c>
      <c r="J30" s="28" t="s">
        <v>515</v>
      </c>
      <c r="K30" s="48" t="s">
        <v>515</v>
      </c>
      <c r="L30" s="28" t="s">
        <v>544</v>
      </c>
      <c r="M30" s="28" t="s">
        <v>544</v>
      </c>
      <c r="N30" s="48" t="s">
        <v>343</v>
      </c>
      <c r="O30" s="48" t="s">
        <v>0</v>
      </c>
      <c r="P30" s="28" t="s">
        <v>629</v>
      </c>
      <c r="Q30" s="51">
        <v>7000226019</v>
      </c>
      <c r="R30" s="27">
        <v>114420503</v>
      </c>
      <c r="S30" s="51" t="s">
        <v>63</v>
      </c>
      <c r="T30" s="27" t="s">
        <v>630</v>
      </c>
      <c r="U30" s="51">
        <v>3</v>
      </c>
      <c r="V30" s="51">
        <v>3</v>
      </c>
      <c r="W30" s="51">
        <v>5</v>
      </c>
      <c r="X30" s="51" t="s">
        <v>54</v>
      </c>
      <c r="Y30" s="27"/>
      <c r="Z30" s="51" t="s">
        <v>99</v>
      </c>
      <c r="AA30" s="51" t="s">
        <v>83</v>
      </c>
      <c r="AB30" s="51" t="s">
        <v>140</v>
      </c>
      <c r="AC30" s="27">
        <v>1</v>
      </c>
      <c r="AD30" s="27">
        <v>1</v>
      </c>
      <c r="AE30" s="27">
        <v>5</v>
      </c>
      <c r="AF30" s="27" t="s">
        <v>548</v>
      </c>
      <c r="AG30" s="27">
        <v>4</v>
      </c>
    </row>
    <row r="31" spans="1:33" x14ac:dyDescent="0.55000000000000004">
      <c r="A31" s="28">
        <v>7000226019</v>
      </c>
      <c r="B31" s="28" t="s">
        <v>542</v>
      </c>
      <c r="C31" s="28">
        <v>11442060301</v>
      </c>
      <c r="D31" s="48">
        <v>8040158412</v>
      </c>
      <c r="E31" s="28" t="s">
        <v>515</v>
      </c>
      <c r="F31" s="28" t="s">
        <v>516</v>
      </c>
      <c r="G31" s="28" t="s">
        <v>784</v>
      </c>
      <c r="H31" s="28"/>
      <c r="I31" s="28">
        <v>0.25</v>
      </c>
      <c r="J31" s="28" t="s">
        <v>515</v>
      </c>
      <c r="K31" s="48" t="s">
        <v>515</v>
      </c>
      <c r="L31" s="28" t="s">
        <v>544</v>
      </c>
      <c r="M31" s="28" t="s">
        <v>544</v>
      </c>
      <c r="N31" s="48" t="s">
        <v>343</v>
      </c>
      <c r="O31" s="48" t="s">
        <v>0</v>
      </c>
      <c r="P31" s="28" t="s">
        <v>629</v>
      </c>
      <c r="Q31" s="51">
        <v>7000226019</v>
      </c>
      <c r="R31" s="27">
        <v>114420603</v>
      </c>
      <c r="S31" s="51" t="s">
        <v>63</v>
      </c>
      <c r="T31" s="27" t="s">
        <v>630</v>
      </c>
      <c r="U31" s="51">
        <v>3</v>
      </c>
      <c r="V31" s="51">
        <v>3</v>
      </c>
      <c r="W31" s="51">
        <v>6</v>
      </c>
      <c r="X31" s="51" t="s">
        <v>54</v>
      </c>
      <c r="Y31" s="27"/>
      <c r="Z31" s="51" t="s">
        <v>99</v>
      </c>
      <c r="AA31" s="51" t="s">
        <v>83</v>
      </c>
      <c r="AB31" s="51" t="s">
        <v>140</v>
      </c>
      <c r="AC31" s="27">
        <v>1</v>
      </c>
      <c r="AD31" s="27">
        <v>1</v>
      </c>
      <c r="AE31" s="27">
        <v>5</v>
      </c>
      <c r="AF31" s="27" t="s">
        <v>549</v>
      </c>
      <c r="AG31" s="27">
        <v>4</v>
      </c>
    </row>
    <row r="32" spans="1:33" x14ac:dyDescent="0.55000000000000004">
      <c r="A32" s="28">
        <v>7000226019</v>
      </c>
      <c r="B32" s="28" t="s">
        <v>563</v>
      </c>
      <c r="C32" s="28">
        <v>11444010301</v>
      </c>
      <c r="D32" s="48">
        <v>8040159436</v>
      </c>
      <c r="E32" s="28" t="s">
        <v>515</v>
      </c>
      <c r="F32" s="28" t="s">
        <v>516</v>
      </c>
      <c r="G32" s="28" t="s">
        <v>791</v>
      </c>
      <c r="H32" s="28"/>
      <c r="I32" s="28">
        <v>0.25</v>
      </c>
      <c r="J32" s="28" t="s">
        <v>515</v>
      </c>
      <c r="K32" s="48" t="s">
        <v>515</v>
      </c>
      <c r="L32" s="28" t="s">
        <v>544</v>
      </c>
      <c r="M32" s="28" t="s">
        <v>544</v>
      </c>
      <c r="N32" s="48" t="s">
        <v>343</v>
      </c>
      <c r="O32" s="48" t="s">
        <v>0</v>
      </c>
      <c r="P32" s="28" t="s">
        <v>629</v>
      </c>
      <c r="Q32" s="51">
        <v>7000226019</v>
      </c>
      <c r="R32" s="27">
        <v>114440103</v>
      </c>
      <c r="S32" s="51" t="s">
        <v>63</v>
      </c>
      <c r="T32" s="27" t="s">
        <v>630</v>
      </c>
      <c r="U32" s="51">
        <v>3</v>
      </c>
      <c r="V32" s="51">
        <v>3</v>
      </c>
      <c r="W32" s="51">
        <v>1</v>
      </c>
      <c r="X32" s="51" t="s">
        <v>54</v>
      </c>
      <c r="Y32" s="27"/>
      <c r="Z32" s="51" t="s">
        <v>99</v>
      </c>
      <c r="AA32" s="51" t="s">
        <v>83</v>
      </c>
      <c r="AB32" s="51" t="s">
        <v>140</v>
      </c>
      <c r="AC32" s="27">
        <v>1</v>
      </c>
      <c r="AD32" s="27">
        <v>1</v>
      </c>
      <c r="AE32" s="27">
        <v>5</v>
      </c>
      <c r="AF32" s="27" t="s">
        <v>550</v>
      </c>
      <c r="AG32" s="27">
        <v>4</v>
      </c>
    </row>
    <row r="33" spans="1:33" x14ac:dyDescent="0.55000000000000004">
      <c r="A33" s="28">
        <v>7000226019</v>
      </c>
      <c r="B33" s="28" t="s">
        <v>564</v>
      </c>
      <c r="C33" s="28">
        <v>11444020301</v>
      </c>
      <c r="D33" s="48">
        <v>8040161278</v>
      </c>
      <c r="E33" s="28" t="s">
        <v>515</v>
      </c>
      <c r="F33" s="28" t="s">
        <v>516</v>
      </c>
      <c r="G33" s="28" t="s">
        <v>791</v>
      </c>
      <c r="H33" s="28"/>
      <c r="I33" s="28">
        <v>0.25</v>
      </c>
      <c r="J33" s="28" t="s">
        <v>515</v>
      </c>
      <c r="K33" s="48" t="s">
        <v>515</v>
      </c>
      <c r="L33" s="28" t="s">
        <v>544</v>
      </c>
      <c r="M33" s="28" t="s">
        <v>544</v>
      </c>
      <c r="N33" s="48" t="s">
        <v>343</v>
      </c>
      <c r="O33" s="48" t="s">
        <v>0</v>
      </c>
      <c r="P33" s="28" t="s">
        <v>629</v>
      </c>
      <c r="Q33" s="51">
        <v>7000226019</v>
      </c>
      <c r="R33" s="27">
        <v>114440203</v>
      </c>
      <c r="S33" s="51" t="s">
        <v>63</v>
      </c>
      <c r="T33" s="27" t="s">
        <v>630</v>
      </c>
      <c r="U33" s="51">
        <v>3</v>
      </c>
      <c r="V33" s="51">
        <v>3</v>
      </c>
      <c r="W33" s="51">
        <v>2</v>
      </c>
      <c r="X33" s="51" t="s">
        <v>54</v>
      </c>
      <c r="Y33" s="27"/>
      <c r="Z33" s="51" t="s">
        <v>99</v>
      </c>
      <c r="AA33" s="51" t="s">
        <v>83</v>
      </c>
      <c r="AB33" s="51" t="s">
        <v>140</v>
      </c>
      <c r="AC33" s="27">
        <v>1</v>
      </c>
      <c r="AD33" s="27">
        <v>1</v>
      </c>
      <c r="AE33" s="27">
        <v>5</v>
      </c>
      <c r="AF33" s="27" t="s">
        <v>551</v>
      </c>
      <c r="AG33" s="27">
        <v>4</v>
      </c>
    </row>
    <row r="34" spans="1:33" x14ac:dyDescent="0.55000000000000004">
      <c r="A34" s="28">
        <v>7000226019</v>
      </c>
      <c r="B34" s="28" t="s">
        <v>565</v>
      </c>
      <c r="C34" s="28">
        <v>11444040301</v>
      </c>
      <c r="D34" s="48">
        <v>8040158407</v>
      </c>
      <c r="E34" s="28" t="s">
        <v>515</v>
      </c>
      <c r="F34" s="28" t="s">
        <v>516</v>
      </c>
      <c r="G34" s="28" t="s">
        <v>791</v>
      </c>
      <c r="H34" s="28"/>
      <c r="I34" s="28">
        <v>0.25</v>
      </c>
      <c r="J34" s="28" t="s">
        <v>515</v>
      </c>
      <c r="K34" s="48" t="s">
        <v>515</v>
      </c>
      <c r="L34" s="28" t="s">
        <v>544</v>
      </c>
      <c r="M34" s="28" t="s">
        <v>544</v>
      </c>
      <c r="N34" s="48" t="s">
        <v>343</v>
      </c>
      <c r="O34" s="48" t="s">
        <v>0</v>
      </c>
      <c r="P34" s="28" t="s">
        <v>629</v>
      </c>
      <c r="Q34" s="51">
        <v>7000226019</v>
      </c>
      <c r="R34" s="27">
        <v>114440403</v>
      </c>
      <c r="S34" s="51" t="s">
        <v>63</v>
      </c>
      <c r="T34" s="27" t="s">
        <v>630</v>
      </c>
      <c r="U34" s="51">
        <v>3</v>
      </c>
      <c r="V34" s="51">
        <v>3</v>
      </c>
      <c r="W34" s="51">
        <v>4</v>
      </c>
      <c r="X34" s="51" t="s">
        <v>54</v>
      </c>
      <c r="Y34" s="27"/>
      <c r="Z34" s="51" t="s">
        <v>99</v>
      </c>
      <c r="AA34" s="51" t="s">
        <v>83</v>
      </c>
      <c r="AB34" s="51" t="s">
        <v>140</v>
      </c>
      <c r="AC34" s="27">
        <v>1</v>
      </c>
      <c r="AD34" s="27">
        <v>1</v>
      </c>
      <c r="AE34" s="27">
        <v>5</v>
      </c>
      <c r="AF34" s="27" t="s">
        <v>501</v>
      </c>
      <c r="AG34" s="27">
        <v>5</v>
      </c>
    </row>
    <row r="35" spans="1:33" x14ac:dyDescent="0.55000000000000004">
      <c r="A35" s="28">
        <v>7000226019</v>
      </c>
      <c r="B35" s="28" t="s">
        <v>566</v>
      </c>
      <c r="C35" s="28">
        <v>11444050301</v>
      </c>
      <c r="D35" s="48">
        <v>8040159097</v>
      </c>
      <c r="E35" s="28" t="s">
        <v>515</v>
      </c>
      <c r="F35" s="28" t="s">
        <v>516</v>
      </c>
      <c r="G35" s="28" t="s">
        <v>791</v>
      </c>
      <c r="H35" s="28"/>
      <c r="I35" s="28">
        <v>0.25</v>
      </c>
      <c r="J35" s="28" t="s">
        <v>515</v>
      </c>
      <c r="K35" s="48" t="s">
        <v>515</v>
      </c>
      <c r="L35" s="28" t="s">
        <v>544</v>
      </c>
      <c r="M35" s="28" t="s">
        <v>544</v>
      </c>
      <c r="N35" s="48" t="s">
        <v>343</v>
      </c>
      <c r="O35" s="48" t="s">
        <v>0</v>
      </c>
      <c r="P35" s="28" t="s">
        <v>629</v>
      </c>
      <c r="Q35" s="51">
        <v>7000226019</v>
      </c>
      <c r="R35" s="27">
        <v>114440503</v>
      </c>
      <c r="S35" s="51" t="s">
        <v>63</v>
      </c>
      <c r="T35" s="27" t="s">
        <v>630</v>
      </c>
      <c r="U35" s="51">
        <v>3</v>
      </c>
      <c r="V35" s="51">
        <v>3</v>
      </c>
      <c r="W35" s="51">
        <v>5</v>
      </c>
      <c r="X35" s="51" t="s">
        <v>54</v>
      </c>
      <c r="Y35" s="27"/>
      <c r="Z35" s="51" t="s">
        <v>99</v>
      </c>
      <c r="AA35" s="51" t="s">
        <v>83</v>
      </c>
      <c r="AB35" s="51" t="s">
        <v>140</v>
      </c>
      <c r="AC35" s="27">
        <v>1</v>
      </c>
      <c r="AD35" s="27">
        <v>1</v>
      </c>
      <c r="AE35" s="27">
        <v>5</v>
      </c>
      <c r="AF35" s="27" t="s">
        <v>545</v>
      </c>
      <c r="AG35" s="27">
        <v>5</v>
      </c>
    </row>
    <row r="36" spans="1:33" x14ac:dyDescent="0.55000000000000004">
      <c r="A36" s="28">
        <v>7000226019</v>
      </c>
      <c r="B36" s="28" t="s">
        <v>567</v>
      </c>
      <c r="C36" s="28">
        <v>11444060301</v>
      </c>
      <c r="D36" s="48">
        <v>8040161134</v>
      </c>
      <c r="E36" s="28" t="s">
        <v>515</v>
      </c>
      <c r="F36" s="28" t="s">
        <v>516</v>
      </c>
      <c r="G36" s="28" t="s">
        <v>791</v>
      </c>
      <c r="H36" s="28"/>
      <c r="I36" s="28">
        <v>0.25</v>
      </c>
      <c r="J36" s="28" t="s">
        <v>515</v>
      </c>
      <c r="K36" s="48" t="s">
        <v>515</v>
      </c>
      <c r="L36" s="28" t="s">
        <v>544</v>
      </c>
      <c r="M36" s="28" t="s">
        <v>544</v>
      </c>
      <c r="N36" s="48" t="s">
        <v>343</v>
      </c>
      <c r="O36" s="48" t="s">
        <v>0</v>
      </c>
      <c r="P36" s="28" t="s">
        <v>629</v>
      </c>
      <c r="Q36" s="51">
        <v>7000226019</v>
      </c>
      <c r="R36" s="27">
        <v>114440603</v>
      </c>
      <c r="S36" s="51" t="s">
        <v>63</v>
      </c>
      <c r="T36" s="27" t="s">
        <v>630</v>
      </c>
      <c r="U36" s="51">
        <v>3</v>
      </c>
      <c r="V36" s="51">
        <v>3</v>
      </c>
      <c r="W36" s="51">
        <v>6</v>
      </c>
      <c r="X36" s="51" t="s">
        <v>54</v>
      </c>
      <c r="Y36" s="27"/>
      <c r="Z36" s="51" t="s">
        <v>99</v>
      </c>
      <c r="AA36" s="51" t="s">
        <v>83</v>
      </c>
      <c r="AB36" s="51" t="s">
        <v>140</v>
      </c>
      <c r="AC36" s="27">
        <v>1</v>
      </c>
      <c r="AD36" s="27">
        <v>1</v>
      </c>
      <c r="AE36" s="27">
        <v>5</v>
      </c>
      <c r="AF36" s="27" t="s">
        <v>546</v>
      </c>
      <c r="AG36" s="27">
        <v>5</v>
      </c>
    </row>
    <row r="37" spans="1:33" x14ac:dyDescent="0.55000000000000004">
      <c r="A37" s="28">
        <v>7000226019</v>
      </c>
      <c r="B37" s="28" t="s">
        <v>568</v>
      </c>
      <c r="C37" s="28">
        <v>11029010301</v>
      </c>
      <c r="D37" s="48">
        <v>8019471203</v>
      </c>
      <c r="E37" s="28" t="s">
        <v>515</v>
      </c>
      <c r="F37" s="28" t="s">
        <v>516</v>
      </c>
      <c r="G37" s="28" t="s">
        <v>797</v>
      </c>
      <c r="H37" s="28"/>
      <c r="I37" s="28">
        <v>0.25</v>
      </c>
      <c r="J37" s="28" t="s">
        <v>515</v>
      </c>
      <c r="K37" s="48" t="s">
        <v>515</v>
      </c>
      <c r="L37" s="28" t="s">
        <v>544</v>
      </c>
      <c r="M37" s="28" t="s">
        <v>544</v>
      </c>
      <c r="N37" s="48" t="s">
        <v>343</v>
      </c>
      <c r="O37" s="48" t="s">
        <v>0</v>
      </c>
      <c r="P37" s="28" t="s">
        <v>629</v>
      </c>
      <c r="Q37" s="51">
        <v>7000226019</v>
      </c>
      <c r="R37" s="27">
        <v>110290103</v>
      </c>
      <c r="S37" s="51" t="s">
        <v>63</v>
      </c>
      <c r="T37" s="27" t="s">
        <v>630</v>
      </c>
      <c r="U37" s="51">
        <v>3</v>
      </c>
      <c r="V37" s="51">
        <v>3</v>
      </c>
      <c r="W37" s="51">
        <v>1</v>
      </c>
      <c r="X37" s="51" t="s">
        <v>54</v>
      </c>
      <c r="Y37" s="27"/>
      <c r="Z37" s="51" t="s">
        <v>99</v>
      </c>
      <c r="AA37" s="51" t="s">
        <v>83</v>
      </c>
      <c r="AB37" s="51" t="s">
        <v>140</v>
      </c>
      <c r="AC37" s="27">
        <v>1</v>
      </c>
      <c r="AD37" s="27">
        <v>1</v>
      </c>
      <c r="AE37" s="27">
        <v>5</v>
      </c>
      <c r="AF37" s="27" t="s">
        <v>547</v>
      </c>
      <c r="AG37" s="27">
        <v>5</v>
      </c>
    </row>
    <row r="38" spans="1:33" x14ac:dyDescent="0.55000000000000004">
      <c r="A38" s="28">
        <v>7000226019</v>
      </c>
      <c r="B38" s="28" t="s">
        <v>569</v>
      </c>
      <c r="C38" s="28">
        <v>11029020301</v>
      </c>
      <c r="D38" s="48">
        <v>8019471596</v>
      </c>
      <c r="E38" s="28" t="s">
        <v>515</v>
      </c>
      <c r="F38" s="28" t="s">
        <v>516</v>
      </c>
      <c r="G38" s="28" t="s">
        <v>797</v>
      </c>
      <c r="H38" s="28"/>
      <c r="I38" s="28">
        <v>0.25</v>
      </c>
      <c r="J38" s="28" t="s">
        <v>515</v>
      </c>
      <c r="K38" s="48" t="s">
        <v>515</v>
      </c>
      <c r="L38" s="28" t="s">
        <v>544</v>
      </c>
      <c r="M38" s="28" t="s">
        <v>544</v>
      </c>
      <c r="N38" s="48" t="s">
        <v>343</v>
      </c>
      <c r="O38" s="48" t="s">
        <v>0</v>
      </c>
      <c r="P38" s="28" t="s">
        <v>629</v>
      </c>
      <c r="Q38" s="51">
        <v>7000226019</v>
      </c>
      <c r="R38" s="27">
        <v>110290203</v>
      </c>
      <c r="S38" s="51" t="s">
        <v>63</v>
      </c>
      <c r="T38" s="27" t="s">
        <v>630</v>
      </c>
      <c r="U38" s="51">
        <v>3</v>
      </c>
      <c r="V38" s="51">
        <v>3</v>
      </c>
      <c r="W38" s="51">
        <v>2</v>
      </c>
      <c r="X38" s="51" t="s">
        <v>54</v>
      </c>
      <c r="Y38" s="27"/>
      <c r="Z38" s="51" t="s">
        <v>99</v>
      </c>
      <c r="AA38" s="51" t="s">
        <v>83</v>
      </c>
      <c r="AB38" s="51" t="s">
        <v>140</v>
      </c>
      <c r="AC38" s="27">
        <v>1</v>
      </c>
      <c r="AD38" s="27">
        <v>1</v>
      </c>
      <c r="AE38" s="27">
        <v>5</v>
      </c>
      <c r="AF38" s="27" t="s">
        <v>548</v>
      </c>
      <c r="AG38" s="27">
        <v>5</v>
      </c>
    </row>
    <row r="39" spans="1:33" x14ac:dyDescent="0.55000000000000004">
      <c r="A39" s="28">
        <v>7000226019</v>
      </c>
      <c r="B39" s="28" t="s">
        <v>570</v>
      </c>
      <c r="C39" s="28">
        <v>11029030301</v>
      </c>
      <c r="D39" s="48">
        <v>8019471710</v>
      </c>
      <c r="E39" s="28" t="s">
        <v>515</v>
      </c>
      <c r="F39" s="28" t="s">
        <v>516</v>
      </c>
      <c r="G39" s="28" t="s">
        <v>797</v>
      </c>
      <c r="H39" s="28"/>
      <c r="I39" s="28">
        <v>0.25</v>
      </c>
      <c r="J39" s="28" t="s">
        <v>515</v>
      </c>
      <c r="K39" s="48" t="s">
        <v>515</v>
      </c>
      <c r="L39" s="28" t="s">
        <v>544</v>
      </c>
      <c r="M39" s="28" t="s">
        <v>544</v>
      </c>
      <c r="N39" s="48" t="s">
        <v>343</v>
      </c>
      <c r="O39" s="48" t="s">
        <v>0</v>
      </c>
      <c r="P39" s="28" t="s">
        <v>629</v>
      </c>
      <c r="Q39" s="51">
        <v>7000226019</v>
      </c>
      <c r="R39" s="27">
        <v>110290303</v>
      </c>
      <c r="S39" s="51" t="s">
        <v>63</v>
      </c>
      <c r="T39" s="27" t="s">
        <v>630</v>
      </c>
      <c r="U39" s="51">
        <v>3</v>
      </c>
      <c r="V39" s="51">
        <v>3</v>
      </c>
      <c r="W39" s="51">
        <v>3</v>
      </c>
      <c r="X39" s="51" t="s">
        <v>54</v>
      </c>
      <c r="Y39" s="27"/>
      <c r="Z39" s="51" t="s">
        <v>99</v>
      </c>
      <c r="AA39" s="51" t="s">
        <v>83</v>
      </c>
      <c r="AB39" s="51" t="s">
        <v>140</v>
      </c>
      <c r="AC39" s="27">
        <v>1</v>
      </c>
      <c r="AD39" s="27">
        <v>1</v>
      </c>
      <c r="AE39" s="27">
        <v>5</v>
      </c>
      <c r="AF39" s="27" t="s">
        <v>549</v>
      </c>
      <c r="AG39" s="27">
        <v>5</v>
      </c>
    </row>
    <row r="40" spans="1:33" x14ac:dyDescent="0.55000000000000004">
      <c r="A40" s="28">
        <v>7000226019</v>
      </c>
      <c r="B40" s="28" t="s">
        <v>571</v>
      </c>
      <c r="C40" s="28">
        <v>11029040301</v>
      </c>
      <c r="D40" s="48">
        <v>8019471158</v>
      </c>
      <c r="E40" s="28" t="s">
        <v>515</v>
      </c>
      <c r="F40" s="28" t="s">
        <v>516</v>
      </c>
      <c r="G40" s="28" t="s">
        <v>797</v>
      </c>
      <c r="H40" s="28"/>
      <c r="I40" s="28">
        <v>0.25</v>
      </c>
      <c r="J40" s="28" t="s">
        <v>515</v>
      </c>
      <c r="K40" s="48" t="s">
        <v>515</v>
      </c>
      <c r="L40" s="28" t="s">
        <v>544</v>
      </c>
      <c r="M40" s="28" t="s">
        <v>544</v>
      </c>
      <c r="N40" s="48" t="s">
        <v>343</v>
      </c>
      <c r="O40" s="48" t="s">
        <v>0</v>
      </c>
      <c r="P40" s="28" t="s">
        <v>629</v>
      </c>
      <c r="Q40" s="51">
        <v>7000226019</v>
      </c>
      <c r="R40" s="27">
        <v>110290403</v>
      </c>
      <c r="S40" s="51" t="s">
        <v>63</v>
      </c>
      <c r="T40" s="27" t="s">
        <v>630</v>
      </c>
      <c r="U40" s="51">
        <v>3</v>
      </c>
      <c r="V40" s="51">
        <v>3</v>
      </c>
      <c r="W40" s="51">
        <v>4</v>
      </c>
      <c r="X40" s="51" t="s">
        <v>54</v>
      </c>
      <c r="Y40" s="27"/>
      <c r="Z40" s="51" t="s">
        <v>99</v>
      </c>
      <c r="AA40" s="51" t="s">
        <v>83</v>
      </c>
      <c r="AB40" s="51" t="s">
        <v>140</v>
      </c>
      <c r="AC40" s="27">
        <v>1</v>
      </c>
      <c r="AD40" s="27">
        <v>1</v>
      </c>
      <c r="AE40" s="27">
        <v>5</v>
      </c>
      <c r="AF40" s="27" t="s">
        <v>550</v>
      </c>
      <c r="AG40" s="27">
        <v>5</v>
      </c>
    </row>
    <row r="41" spans="1:33" x14ac:dyDescent="0.55000000000000004">
      <c r="A41" s="28">
        <v>7000226019</v>
      </c>
      <c r="B41" s="28" t="s">
        <v>572</v>
      </c>
      <c r="C41" s="28">
        <v>11029050301</v>
      </c>
      <c r="D41" s="48">
        <v>8019471236</v>
      </c>
      <c r="E41" s="28" t="s">
        <v>515</v>
      </c>
      <c r="F41" s="28" t="s">
        <v>516</v>
      </c>
      <c r="G41" s="28" t="s">
        <v>797</v>
      </c>
      <c r="H41" s="28"/>
      <c r="I41" s="28">
        <v>0.25</v>
      </c>
      <c r="J41" s="28" t="s">
        <v>515</v>
      </c>
      <c r="K41" s="48" t="s">
        <v>515</v>
      </c>
      <c r="L41" s="28" t="s">
        <v>544</v>
      </c>
      <c r="M41" s="28" t="s">
        <v>544</v>
      </c>
      <c r="N41" s="48" t="s">
        <v>343</v>
      </c>
      <c r="O41" s="48" t="s">
        <v>0</v>
      </c>
      <c r="P41" s="28" t="s">
        <v>629</v>
      </c>
      <c r="Q41" s="51">
        <v>7000226019</v>
      </c>
      <c r="R41" s="27">
        <v>110290503</v>
      </c>
      <c r="S41" s="51" t="s">
        <v>63</v>
      </c>
      <c r="T41" s="27" t="s">
        <v>630</v>
      </c>
      <c r="U41" s="51">
        <v>3</v>
      </c>
      <c r="V41" s="51">
        <v>3</v>
      </c>
      <c r="W41" s="51">
        <v>5</v>
      </c>
      <c r="X41" s="51" t="s">
        <v>54</v>
      </c>
      <c r="Y41" s="27"/>
      <c r="Z41" s="51" t="s">
        <v>99</v>
      </c>
      <c r="AA41" s="51" t="s">
        <v>83</v>
      </c>
      <c r="AB41" s="51" t="s">
        <v>140</v>
      </c>
      <c r="AC41" s="27">
        <v>1</v>
      </c>
      <c r="AD41" s="27">
        <v>1</v>
      </c>
      <c r="AE41" s="27">
        <v>5</v>
      </c>
      <c r="AF41" s="27" t="s">
        <v>551</v>
      </c>
      <c r="AG41" s="27">
        <v>5</v>
      </c>
    </row>
    <row r="42" spans="1:33" x14ac:dyDescent="0.55000000000000004">
      <c r="A42" s="28">
        <v>7000226019</v>
      </c>
      <c r="B42" s="28" t="s">
        <v>573</v>
      </c>
      <c r="C42" s="28">
        <v>11029060301</v>
      </c>
      <c r="D42" s="48">
        <v>8019471870</v>
      </c>
      <c r="E42" s="28" t="s">
        <v>515</v>
      </c>
      <c r="F42" s="28" t="s">
        <v>516</v>
      </c>
      <c r="G42" s="28" t="s">
        <v>797</v>
      </c>
      <c r="H42" s="28"/>
      <c r="I42" s="28">
        <v>0.25</v>
      </c>
      <c r="J42" s="28" t="s">
        <v>515</v>
      </c>
      <c r="K42" s="48" t="s">
        <v>515</v>
      </c>
      <c r="L42" s="28" t="s">
        <v>544</v>
      </c>
      <c r="M42" s="28" t="s">
        <v>544</v>
      </c>
      <c r="N42" s="48" t="s">
        <v>343</v>
      </c>
      <c r="O42" s="48" t="s">
        <v>0</v>
      </c>
      <c r="P42" s="28" t="s">
        <v>629</v>
      </c>
      <c r="Q42" s="51">
        <v>7000226019</v>
      </c>
      <c r="R42" s="27">
        <v>110290603</v>
      </c>
      <c r="S42" s="51" t="s">
        <v>63</v>
      </c>
      <c r="T42" s="27" t="s">
        <v>630</v>
      </c>
      <c r="U42" s="51">
        <v>3</v>
      </c>
      <c r="V42" s="51">
        <v>3</v>
      </c>
      <c r="W42" s="51">
        <v>6</v>
      </c>
      <c r="X42" s="51" t="s">
        <v>54</v>
      </c>
      <c r="Y42" s="27"/>
      <c r="Z42" s="51" t="s">
        <v>99</v>
      </c>
      <c r="AA42" s="51" t="s">
        <v>83</v>
      </c>
      <c r="AB42" s="51" t="s">
        <v>140</v>
      </c>
      <c r="AC42" s="27">
        <v>1</v>
      </c>
      <c r="AD42" s="27">
        <v>1</v>
      </c>
      <c r="AE42" s="27">
        <v>5</v>
      </c>
      <c r="AF42" s="27" t="s">
        <v>501</v>
      </c>
      <c r="AG42" s="27">
        <v>6</v>
      </c>
    </row>
    <row r="43" spans="1:33" x14ac:dyDescent="0.55000000000000004">
      <c r="A43" s="28">
        <v>7000226019</v>
      </c>
      <c r="B43" s="28" t="s">
        <v>574</v>
      </c>
      <c r="C43" s="28">
        <v>11029070301</v>
      </c>
      <c r="D43" s="48">
        <v>8019471338</v>
      </c>
      <c r="E43" s="28" t="s">
        <v>515</v>
      </c>
      <c r="F43" s="28" t="s">
        <v>516</v>
      </c>
      <c r="G43" s="28" t="s">
        <v>797</v>
      </c>
      <c r="H43" s="28"/>
      <c r="I43" s="28">
        <v>0.25</v>
      </c>
      <c r="J43" s="28" t="s">
        <v>515</v>
      </c>
      <c r="K43" s="48" t="s">
        <v>515</v>
      </c>
      <c r="L43" s="28" t="s">
        <v>544</v>
      </c>
      <c r="M43" s="28" t="s">
        <v>544</v>
      </c>
      <c r="N43" s="48" t="s">
        <v>343</v>
      </c>
      <c r="O43" s="48" t="s">
        <v>0</v>
      </c>
      <c r="P43" s="28" t="s">
        <v>629</v>
      </c>
      <c r="Q43" s="51">
        <v>7000226019</v>
      </c>
      <c r="R43" s="27">
        <v>110290703</v>
      </c>
      <c r="S43" s="51" t="s">
        <v>63</v>
      </c>
      <c r="T43" s="27" t="s">
        <v>630</v>
      </c>
      <c r="U43" s="51">
        <v>3</v>
      </c>
      <c r="V43" s="51">
        <v>3</v>
      </c>
      <c r="W43" s="51">
        <v>7</v>
      </c>
      <c r="X43" s="51" t="s">
        <v>54</v>
      </c>
      <c r="Y43" s="27"/>
      <c r="Z43" s="51" t="s">
        <v>99</v>
      </c>
      <c r="AA43" s="51" t="s">
        <v>83</v>
      </c>
      <c r="AB43" s="51" t="s">
        <v>140</v>
      </c>
      <c r="AC43" s="27">
        <v>1</v>
      </c>
      <c r="AD43" s="27">
        <v>1</v>
      </c>
      <c r="AE43" s="27">
        <v>5</v>
      </c>
      <c r="AF43" s="27" t="s">
        <v>545</v>
      </c>
      <c r="AG43" s="27">
        <v>6</v>
      </c>
    </row>
    <row r="44" spans="1:33" x14ac:dyDescent="0.55000000000000004">
      <c r="A44" s="28">
        <v>7000226019</v>
      </c>
      <c r="B44" s="28" t="s">
        <v>575</v>
      </c>
      <c r="C44" s="28">
        <v>11030010301</v>
      </c>
      <c r="D44" s="48">
        <v>8019471941</v>
      </c>
      <c r="E44" s="28" t="s">
        <v>515</v>
      </c>
      <c r="F44" s="28" t="s">
        <v>516</v>
      </c>
      <c r="G44" s="28" t="s">
        <v>805</v>
      </c>
      <c r="H44" s="28"/>
      <c r="I44" s="28">
        <v>0.25</v>
      </c>
      <c r="J44" s="28" t="s">
        <v>515</v>
      </c>
      <c r="K44" s="48" t="s">
        <v>515</v>
      </c>
      <c r="L44" s="28" t="s">
        <v>544</v>
      </c>
      <c r="M44" s="28" t="s">
        <v>544</v>
      </c>
      <c r="N44" s="48" t="s">
        <v>343</v>
      </c>
      <c r="O44" s="48" t="s">
        <v>0</v>
      </c>
      <c r="P44" s="28" t="s">
        <v>629</v>
      </c>
      <c r="Q44" s="51">
        <v>7000226019</v>
      </c>
      <c r="R44" s="27">
        <v>110300103</v>
      </c>
      <c r="S44" s="51" t="s">
        <v>63</v>
      </c>
      <c r="T44" s="27" t="s">
        <v>630</v>
      </c>
      <c r="U44" s="51">
        <v>3</v>
      </c>
      <c r="V44" s="51">
        <v>3</v>
      </c>
      <c r="W44" s="51">
        <v>1</v>
      </c>
      <c r="X44" s="51" t="s">
        <v>54</v>
      </c>
      <c r="Y44" s="27"/>
      <c r="Z44" s="51" t="s">
        <v>99</v>
      </c>
      <c r="AA44" s="51" t="s">
        <v>83</v>
      </c>
      <c r="AB44" s="51" t="s">
        <v>140</v>
      </c>
      <c r="AC44" s="27">
        <v>1</v>
      </c>
      <c r="AD44" s="27">
        <v>1</v>
      </c>
      <c r="AE44" s="27">
        <v>5</v>
      </c>
      <c r="AF44" s="27" t="s">
        <v>546</v>
      </c>
      <c r="AG44" s="27">
        <v>6</v>
      </c>
    </row>
    <row r="45" spans="1:33" x14ac:dyDescent="0.55000000000000004">
      <c r="A45" s="28">
        <v>7000226019</v>
      </c>
      <c r="B45" s="28" t="s">
        <v>576</v>
      </c>
      <c r="C45" s="28">
        <v>11030020301</v>
      </c>
      <c r="D45" s="48">
        <v>8010747126</v>
      </c>
      <c r="E45" s="28" t="s">
        <v>515</v>
      </c>
      <c r="F45" s="28" t="s">
        <v>516</v>
      </c>
      <c r="G45" s="28" t="s">
        <v>805</v>
      </c>
      <c r="H45" s="28"/>
      <c r="I45" s="28">
        <v>0.25</v>
      </c>
      <c r="J45" s="28" t="s">
        <v>515</v>
      </c>
      <c r="K45" s="48" t="s">
        <v>515</v>
      </c>
      <c r="L45" s="28" t="s">
        <v>544</v>
      </c>
      <c r="M45" s="28" t="s">
        <v>544</v>
      </c>
      <c r="N45" s="48" t="s">
        <v>343</v>
      </c>
      <c r="O45" s="48" t="s">
        <v>0</v>
      </c>
      <c r="P45" s="28" t="s">
        <v>629</v>
      </c>
      <c r="Q45" s="51">
        <v>7000226019</v>
      </c>
      <c r="R45" s="27">
        <v>110300203</v>
      </c>
      <c r="S45" s="51" t="s">
        <v>63</v>
      </c>
      <c r="T45" s="27" t="s">
        <v>630</v>
      </c>
      <c r="U45" s="51">
        <v>3</v>
      </c>
      <c r="V45" s="51">
        <v>3</v>
      </c>
      <c r="W45" s="51">
        <v>2</v>
      </c>
      <c r="X45" s="51" t="s">
        <v>54</v>
      </c>
      <c r="Y45" s="27"/>
      <c r="Z45" s="51" t="s">
        <v>99</v>
      </c>
      <c r="AA45" s="51" t="s">
        <v>83</v>
      </c>
      <c r="AB45" s="51" t="s">
        <v>140</v>
      </c>
      <c r="AC45" s="27">
        <v>1</v>
      </c>
      <c r="AD45" s="27">
        <v>1</v>
      </c>
      <c r="AE45" s="27">
        <v>5</v>
      </c>
      <c r="AF45" s="27" t="s">
        <v>547</v>
      </c>
      <c r="AG45" s="27">
        <v>6</v>
      </c>
    </row>
    <row r="46" spans="1:33" x14ac:dyDescent="0.55000000000000004">
      <c r="A46" s="28">
        <v>7000226019</v>
      </c>
      <c r="B46" s="28" t="s">
        <v>577</v>
      </c>
      <c r="C46" s="28">
        <v>11030030301</v>
      </c>
      <c r="D46" s="48">
        <v>8019471400</v>
      </c>
      <c r="E46" s="28" t="s">
        <v>515</v>
      </c>
      <c r="F46" s="28" t="s">
        <v>516</v>
      </c>
      <c r="G46" s="28" t="s">
        <v>805</v>
      </c>
      <c r="H46" s="28"/>
      <c r="I46" s="28">
        <v>0.25</v>
      </c>
      <c r="J46" s="28" t="s">
        <v>515</v>
      </c>
      <c r="K46" s="48" t="s">
        <v>515</v>
      </c>
      <c r="L46" s="28" t="s">
        <v>544</v>
      </c>
      <c r="M46" s="28" t="s">
        <v>544</v>
      </c>
      <c r="N46" s="48" t="s">
        <v>343</v>
      </c>
      <c r="O46" s="48" t="s">
        <v>0</v>
      </c>
      <c r="P46" s="28" t="s">
        <v>629</v>
      </c>
      <c r="Q46" s="51">
        <v>7000226019</v>
      </c>
      <c r="R46" s="27">
        <v>110300303</v>
      </c>
      <c r="S46" s="51" t="s">
        <v>63</v>
      </c>
      <c r="T46" s="27" t="s">
        <v>630</v>
      </c>
      <c r="U46" s="51">
        <v>3</v>
      </c>
      <c r="V46" s="51">
        <v>3</v>
      </c>
      <c r="W46" s="51">
        <v>3</v>
      </c>
      <c r="X46" s="51" t="s">
        <v>54</v>
      </c>
      <c r="Y46" s="27"/>
      <c r="Z46" s="51" t="s">
        <v>99</v>
      </c>
      <c r="AA46" s="51" t="s">
        <v>83</v>
      </c>
      <c r="AB46" s="51" t="s">
        <v>140</v>
      </c>
      <c r="AC46" s="27">
        <v>1</v>
      </c>
      <c r="AD46" s="27">
        <v>1</v>
      </c>
      <c r="AE46" s="27">
        <v>5</v>
      </c>
      <c r="AF46" s="27" t="s">
        <v>548</v>
      </c>
      <c r="AG46" s="27">
        <v>6</v>
      </c>
    </row>
    <row r="47" spans="1:33" x14ac:dyDescent="0.55000000000000004">
      <c r="A47" s="28">
        <v>7000226019</v>
      </c>
      <c r="B47" s="28" t="s">
        <v>578</v>
      </c>
      <c r="C47" s="28">
        <v>11030040301</v>
      </c>
      <c r="D47" s="48">
        <v>8010766639</v>
      </c>
      <c r="E47" s="28" t="s">
        <v>515</v>
      </c>
      <c r="F47" s="28" t="s">
        <v>516</v>
      </c>
      <c r="G47" s="28" t="s">
        <v>805</v>
      </c>
      <c r="H47" s="28"/>
      <c r="I47" s="28">
        <v>0.25</v>
      </c>
      <c r="J47" s="28" t="s">
        <v>515</v>
      </c>
      <c r="K47" s="48" t="s">
        <v>515</v>
      </c>
      <c r="L47" s="28" t="s">
        <v>544</v>
      </c>
      <c r="M47" s="28" t="s">
        <v>544</v>
      </c>
      <c r="N47" s="48" t="s">
        <v>343</v>
      </c>
      <c r="O47" s="48" t="s">
        <v>0</v>
      </c>
      <c r="P47" s="28" t="s">
        <v>629</v>
      </c>
      <c r="Q47" s="51">
        <v>7000226019</v>
      </c>
      <c r="R47" s="27">
        <v>110300403</v>
      </c>
      <c r="S47" s="51" t="s">
        <v>63</v>
      </c>
      <c r="T47" s="27" t="s">
        <v>630</v>
      </c>
      <c r="U47" s="51">
        <v>3</v>
      </c>
      <c r="V47" s="51">
        <v>3</v>
      </c>
      <c r="W47" s="51">
        <v>4</v>
      </c>
      <c r="X47" s="51" t="s">
        <v>54</v>
      </c>
      <c r="Y47" s="27"/>
      <c r="Z47" s="51" t="s">
        <v>99</v>
      </c>
      <c r="AA47" s="51" t="s">
        <v>83</v>
      </c>
      <c r="AB47" s="51" t="s">
        <v>140</v>
      </c>
      <c r="AC47" s="27">
        <v>1</v>
      </c>
      <c r="AD47" s="27">
        <v>1</v>
      </c>
      <c r="AE47" s="27">
        <v>5</v>
      </c>
      <c r="AF47" s="27" t="s">
        <v>549</v>
      </c>
      <c r="AG47" s="27">
        <v>6</v>
      </c>
    </row>
    <row r="48" spans="1:33" x14ac:dyDescent="0.55000000000000004">
      <c r="A48" s="28">
        <v>7000226019</v>
      </c>
      <c r="B48" s="28" t="s">
        <v>579</v>
      </c>
      <c r="C48" s="28">
        <v>11030050301</v>
      </c>
      <c r="D48" s="48">
        <v>8010766241</v>
      </c>
      <c r="E48" s="28" t="s">
        <v>515</v>
      </c>
      <c r="F48" s="28" t="s">
        <v>516</v>
      </c>
      <c r="G48" s="28" t="s">
        <v>805</v>
      </c>
      <c r="H48" s="28"/>
      <c r="I48" s="28">
        <v>0.25</v>
      </c>
      <c r="J48" s="28" t="s">
        <v>515</v>
      </c>
      <c r="K48" s="48" t="s">
        <v>515</v>
      </c>
      <c r="L48" s="28" t="s">
        <v>544</v>
      </c>
      <c r="M48" s="28" t="s">
        <v>544</v>
      </c>
      <c r="N48" s="48" t="s">
        <v>343</v>
      </c>
      <c r="O48" s="48" t="s">
        <v>0</v>
      </c>
      <c r="P48" s="28" t="s">
        <v>629</v>
      </c>
      <c r="Q48" s="51">
        <v>7000226019</v>
      </c>
      <c r="R48" s="27">
        <v>110300503</v>
      </c>
      <c r="S48" s="51" t="s">
        <v>63</v>
      </c>
      <c r="T48" s="27" t="s">
        <v>630</v>
      </c>
      <c r="U48" s="51">
        <v>3</v>
      </c>
      <c r="V48" s="51">
        <v>3</v>
      </c>
      <c r="W48" s="51">
        <v>5</v>
      </c>
      <c r="X48" s="51" t="s">
        <v>54</v>
      </c>
      <c r="Y48" s="27"/>
      <c r="Z48" s="51" t="s">
        <v>99</v>
      </c>
      <c r="AA48" s="51" t="s">
        <v>83</v>
      </c>
      <c r="AB48" s="51" t="s">
        <v>140</v>
      </c>
      <c r="AC48" s="27">
        <v>1</v>
      </c>
      <c r="AD48" s="27">
        <v>1</v>
      </c>
      <c r="AE48" s="27">
        <v>5</v>
      </c>
      <c r="AF48" s="27" t="s">
        <v>550</v>
      </c>
      <c r="AG48" s="27">
        <v>6</v>
      </c>
    </row>
    <row r="49" spans="1:33" x14ac:dyDescent="0.55000000000000004">
      <c r="A49" s="28">
        <v>7000226019</v>
      </c>
      <c r="B49" s="28" t="s">
        <v>580</v>
      </c>
      <c r="C49" s="28">
        <v>11030060301</v>
      </c>
      <c r="D49" s="48">
        <v>8010766281</v>
      </c>
      <c r="E49" s="28" t="s">
        <v>515</v>
      </c>
      <c r="F49" s="28" t="s">
        <v>516</v>
      </c>
      <c r="G49" s="28" t="s">
        <v>805</v>
      </c>
      <c r="H49" s="28"/>
      <c r="I49" s="28">
        <v>0.25</v>
      </c>
      <c r="J49" s="28" t="s">
        <v>515</v>
      </c>
      <c r="K49" s="48" t="s">
        <v>515</v>
      </c>
      <c r="L49" s="28" t="s">
        <v>544</v>
      </c>
      <c r="M49" s="28" t="s">
        <v>544</v>
      </c>
      <c r="N49" s="48" t="s">
        <v>343</v>
      </c>
      <c r="O49" s="48" t="s">
        <v>0</v>
      </c>
      <c r="P49" s="28" t="s">
        <v>629</v>
      </c>
      <c r="Q49" s="51">
        <v>7000226019</v>
      </c>
      <c r="R49" s="27">
        <v>110300603</v>
      </c>
      <c r="S49" s="51" t="s">
        <v>63</v>
      </c>
      <c r="T49" s="27" t="s">
        <v>630</v>
      </c>
      <c r="U49" s="51">
        <v>3</v>
      </c>
      <c r="V49" s="51">
        <v>3</v>
      </c>
      <c r="W49" s="51">
        <v>6</v>
      </c>
      <c r="X49" s="51" t="s">
        <v>54</v>
      </c>
      <c r="Y49" s="27"/>
      <c r="Z49" s="51" t="s">
        <v>99</v>
      </c>
      <c r="AA49" s="51" t="s">
        <v>83</v>
      </c>
      <c r="AB49" s="51" t="s">
        <v>140</v>
      </c>
      <c r="AC49" s="27">
        <v>1</v>
      </c>
      <c r="AD49" s="27">
        <v>1</v>
      </c>
      <c r="AE49" s="27">
        <v>5</v>
      </c>
      <c r="AF49" s="27" t="s">
        <v>551</v>
      </c>
      <c r="AG49" s="27">
        <v>6</v>
      </c>
    </row>
    <row r="50" spans="1:33" x14ac:dyDescent="0.55000000000000004">
      <c r="A50" s="28">
        <v>7000226019</v>
      </c>
      <c r="B50" s="28" t="s">
        <v>581</v>
      </c>
      <c r="C50" s="28">
        <v>11030070301</v>
      </c>
      <c r="D50" s="48">
        <v>8010765877</v>
      </c>
      <c r="E50" s="28" t="s">
        <v>515</v>
      </c>
      <c r="F50" s="28" t="s">
        <v>516</v>
      </c>
      <c r="G50" s="28" t="s">
        <v>805</v>
      </c>
      <c r="H50" s="28"/>
      <c r="I50" s="28">
        <v>0.25</v>
      </c>
      <c r="J50" s="28" t="s">
        <v>515</v>
      </c>
      <c r="K50" s="48" t="s">
        <v>515</v>
      </c>
      <c r="L50" s="28" t="s">
        <v>544</v>
      </c>
      <c r="M50" s="28" t="s">
        <v>544</v>
      </c>
      <c r="N50" s="48" t="s">
        <v>343</v>
      </c>
      <c r="O50" s="48" t="s">
        <v>0</v>
      </c>
      <c r="P50" s="28" t="s">
        <v>629</v>
      </c>
      <c r="Q50" s="51">
        <v>7000226019</v>
      </c>
      <c r="R50" s="27">
        <v>110300703</v>
      </c>
      <c r="S50" s="51" t="s">
        <v>63</v>
      </c>
      <c r="T50" s="27" t="s">
        <v>630</v>
      </c>
      <c r="U50" s="51">
        <v>3</v>
      </c>
      <c r="V50" s="51">
        <v>3</v>
      </c>
      <c r="W50" s="51">
        <v>7</v>
      </c>
      <c r="X50" s="51" t="s">
        <v>54</v>
      </c>
      <c r="Y50" s="27"/>
      <c r="Z50" s="51" t="s">
        <v>99</v>
      </c>
      <c r="AA50" s="51" t="s">
        <v>83</v>
      </c>
      <c r="AB50" s="51" t="s">
        <v>140</v>
      </c>
      <c r="AC50" s="27">
        <v>1</v>
      </c>
      <c r="AD50" s="27">
        <v>1</v>
      </c>
      <c r="AE50" s="27">
        <v>5</v>
      </c>
      <c r="AF50" s="27" t="s">
        <v>501</v>
      </c>
      <c r="AG50" s="27">
        <v>7</v>
      </c>
    </row>
    <row r="51" spans="1:33" x14ac:dyDescent="0.55000000000000004">
      <c r="A51" s="28">
        <v>7000226019</v>
      </c>
      <c r="B51" s="28" t="s">
        <v>582</v>
      </c>
      <c r="C51" s="28">
        <v>11186010301</v>
      </c>
      <c r="D51" s="48">
        <v>8010749364</v>
      </c>
      <c r="E51" s="28" t="s">
        <v>515</v>
      </c>
      <c r="F51" s="28" t="s">
        <v>516</v>
      </c>
      <c r="G51" s="28" t="s">
        <v>813</v>
      </c>
      <c r="H51" s="28"/>
      <c r="I51" s="28">
        <v>0.25</v>
      </c>
      <c r="J51" s="28" t="s">
        <v>515</v>
      </c>
      <c r="K51" s="48" t="s">
        <v>515</v>
      </c>
      <c r="L51" s="28" t="s">
        <v>544</v>
      </c>
      <c r="M51" s="28" t="s">
        <v>544</v>
      </c>
      <c r="N51" s="48" t="s">
        <v>343</v>
      </c>
      <c r="O51" s="48" t="s">
        <v>0</v>
      </c>
      <c r="P51" s="28" t="s">
        <v>629</v>
      </c>
      <c r="Q51" s="51">
        <v>7000226019</v>
      </c>
      <c r="R51" s="27">
        <v>111860103</v>
      </c>
      <c r="S51" s="51" t="s">
        <v>63</v>
      </c>
      <c r="T51" s="27" t="s">
        <v>630</v>
      </c>
      <c r="U51" s="51">
        <v>3</v>
      </c>
      <c r="V51" s="51">
        <v>3</v>
      </c>
      <c r="W51" s="51">
        <v>1</v>
      </c>
      <c r="X51" s="51" t="s">
        <v>54</v>
      </c>
      <c r="Y51" s="27"/>
      <c r="Z51" s="51" t="s">
        <v>99</v>
      </c>
      <c r="AA51" s="51" t="s">
        <v>83</v>
      </c>
      <c r="AB51" s="51" t="s">
        <v>140</v>
      </c>
      <c r="AC51" s="27">
        <v>1</v>
      </c>
      <c r="AD51" s="27">
        <v>1</v>
      </c>
      <c r="AE51" s="27">
        <v>5</v>
      </c>
      <c r="AF51" s="27" t="s">
        <v>545</v>
      </c>
      <c r="AG51" s="27">
        <v>7</v>
      </c>
    </row>
    <row r="52" spans="1:33" x14ac:dyDescent="0.55000000000000004">
      <c r="A52" s="28">
        <v>7000226019</v>
      </c>
      <c r="B52" s="28" t="s">
        <v>583</v>
      </c>
      <c r="C52" s="28">
        <v>11186020301</v>
      </c>
      <c r="D52" s="48">
        <v>8010745363</v>
      </c>
      <c r="E52" s="28" t="s">
        <v>515</v>
      </c>
      <c r="F52" s="28" t="s">
        <v>516</v>
      </c>
      <c r="G52" s="28" t="s">
        <v>813</v>
      </c>
      <c r="H52" s="28"/>
      <c r="I52" s="28">
        <v>0.25</v>
      </c>
      <c r="J52" s="28" t="s">
        <v>515</v>
      </c>
      <c r="K52" s="48" t="s">
        <v>515</v>
      </c>
      <c r="L52" s="28" t="s">
        <v>544</v>
      </c>
      <c r="M52" s="28" t="s">
        <v>544</v>
      </c>
      <c r="N52" s="48" t="s">
        <v>343</v>
      </c>
      <c r="O52" s="48" t="s">
        <v>0</v>
      </c>
      <c r="P52" s="28" t="s">
        <v>629</v>
      </c>
      <c r="Q52" s="51">
        <v>7000226019</v>
      </c>
      <c r="R52" s="27">
        <v>111860203</v>
      </c>
      <c r="S52" s="51" t="s">
        <v>63</v>
      </c>
      <c r="T52" s="27" t="s">
        <v>630</v>
      </c>
      <c r="U52" s="51">
        <v>3</v>
      </c>
      <c r="V52" s="51">
        <v>3</v>
      </c>
      <c r="W52" s="51">
        <v>2</v>
      </c>
      <c r="X52" s="51" t="s">
        <v>54</v>
      </c>
      <c r="Y52" s="27"/>
      <c r="Z52" s="51" t="s">
        <v>99</v>
      </c>
      <c r="AA52" s="51" t="s">
        <v>83</v>
      </c>
      <c r="AB52" s="51" t="s">
        <v>140</v>
      </c>
      <c r="AC52" s="27">
        <v>1</v>
      </c>
      <c r="AD52" s="27">
        <v>1</v>
      </c>
      <c r="AE52" s="27">
        <v>5</v>
      </c>
      <c r="AF52" s="27" t="s">
        <v>546</v>
      </c>
      <c r="AG52" s="27">
        <v>7</v>
      </c>
    </row>
    <row r="53" spans="1:33" x14ac:dyDescent="0.55000000000000004">
      <c r="A53" s="28">
        <v>7000226019</v>
      </c>
      <c r="B53" s="28" t="s">
        <v>584</v>
      </c>
      <c r="C53" s="28">
        <v>11186030301</v>
      </c>
      <c r="D53" s="48">
        <v>8010749592</v>
      </c>
      <c r="E53" s="28" t="s">
        <v>515</v>
      </c>
      <c r="F53" s="28" t="s">
        <v>516</v>
      </c>
      <c r="G53" s="28" t="s">
        <v>813</v>
      </c>
      <c r="H53" s="28"/>
      <c r="I53" s="28">
        <v>0.25</v>
      </c>
      <c r="J53" s="28" t="s">
        <v>515</v>
      </c>
      <c r="K53" s="48" t="s">
        <v>515</v>
      </c>
      <c r="L53" s="28" t="s">
        <v>544</v>
      </c>
      <c r="M53" s="28" t="s">
        <v>544</v>
      </c>
      <c r="N53" s="48" t="s">
        <v>343</v>
      </c>
      <c r="O53" s="48" t="s">
        <v>0</v>
      </c>
      <c r="P53" s="28" t="s">
        <v>629</v>
      </c>
      <c r="Q53" s="51">
        <v>7000226019</v>
      </c>
      <c r="R53" s="27">
        <v>111860303</v>
      </c>
      <c r="S53" s="51" t="s">
        <v>63</v>
      </c>
      <c r="T53" s="27" t="s">
        <v>630</v>
      </c>
      <c r="U53" s="51">
        <v>3</v>
      </c>
      <c r="V53" s="51">
        <v>3</v>
      </c>
      <c r="W53" s="51">
        <v>3</v>
      </c>
      <c r="X53" s="51" t="s">
        <v>54</v>
      </c>
      <c r="Y53" s="27"/>
      <c r="Z53" s="51" t="s">
        <v>99</v>
      </c>
      <c r="AA53" s="51" t="s">
        <v>83</v>
      </c>
      <c r="AB53" s="51" t="s">
        <v>140</v>
      </c>
      <c r="AC53" s="27">
        <v>1</v>
      </c>
      <c r="AD53" s="27">
        <v>1</v>
      </c>
      <c r="AE53" s="27">
        <v>5</v>
      </c>
      <c r="AF53" s="27" t="s">
        <v>547</v>
      </c>
      <c r="AG53" s="27">
        <v>7</v>
      </c>
    </row>
    <row r="54" spans="1:33" x14ac:dyDescent="0.55000000000000004">
      <c r="A54" s="28">
        <v>7000226019</v>
      </c>
      <c r="B54" s="28" t="s">
        <v>585</v>
      </c>
      <c r="C54" s="28">
        <v>11186040301</v>
      </c>
      <c r="D54" s="48">
        <v>8010749579</v>
      </c>
      <c r="E54" s="28" t="s">
        <v>515</v>
      </c>
      <c r="F54" s="28" t="s">
        <v>516</v>
      </c>
      <c r="G54" s="28" t="s">
        <v>813</v>
      </c>
      <c r="H54" s="28"/>
      <c r="I54" s="28">
        <v>0.25</v>
      </c>
      <c r="J54" s="28" t="s">
        <v>515</v>
      </c>
      <c r="K54" s="48" t="s">
        <v>515</v>
      </c>
      <c r="L54" s="28" t="s">
        <v>544</v>
      </c>
      <c r="M54" s="28" t="s">
        <v>544</v>
      </c>
      <c r="N54" s="48" t="s">
        <v>343</v>
      </c>
      <c r="O54" s="48" t="s">
        <v>0</v>
      </c>
      <c r="P54" s="28" t="s">
        <v>629</v>
      </c>
      <c r="Q54" s="51">
        <v>7000226019</v>
      </c>
      <c r="R54" s="27">
        <v>111860403</v>
      </c>
      <c r="S54" s="51" t="s">
        <v>63</v>
      </c>
      <c r="T54" s="27" t="s">
        <v>630</v>
      </c>
      <c r="U54" s="51">
        <v>3</v>
      </c>
      <c r="V54" s="51">
        <v>3</v>
      </c>
      <c r="W54" s="51">
        <v>4</v>
      </c>
      <c r="X54" s="51" t="s">
        <v>54</v>
      </c>
      <c r="Y54" s="27"/>
      <c r="Z54" s="51" t="s">
        <v>99</v>
      </c>
      <c r="AA54" s="51" t="s">
        <v>83</v>
      </c>
      <c r="AB54" s="51" t="s">
        <v>140</v>
      </c>
      <c r="AC54" s="27">
        <v>1</v>
      </c>
      <c r="AD54" s="27">
        <v>1</v>
      </c>
      <c r="AE54" s="27">
        <v>5</v>
      </c>
      <c r="AF54" s="27" t="s">
        <v>548</v>
      </c>
      <c r="AG54" s="27">
        <v>7</v>
      </c>
    </row>
    <row r="55" spans="1:33" x14ac:dyDescent="0.55000000000000004">
      <c r="A55" s="28">
        <v>7000226019</v>
      </c>
      <c r="B55" s="28" t="s">
        <v>586</v>
      </c>
      <c r="C55" s="28">
        <v>11186050301</v>
      </c>
      <c r="D55" s="48">
        <v>8010749459</v>
      </c>
      <c r="E55" s="28" t="s">
        <v>515</v>
      </c>
      <c r="F55" s="28" t="s">
        <v>516</v>
      </c>
      <c r="G55" s="28" t="s">
        <v>813</v>
      </c>
      <c r="H55" s="28"/>
      <c r="I55" s="28">
        <v>0.25</v>
      </c>
      <c r="J55" s="28" t="s">
        <v>515</v>
      </c>
      <c r="K55" s="48" t="s">
        <v>515</v>
      </c>
      <c r="L55" s="28" t="s">
        <v>544</v>
      </c>
      <c r="M55" s="28" t="s">
        <v>544</v>
      </c>
      <c r="N55" s="48" t="s">
        <v>343</v>
      </c>
      <c r="O55" s="48" t="s">
        <v>0</v>
      </c>
      <c r="P55" s="28" t="s">
        <v>629</v>
      </c>
      <c r="Q55" s="51">
        <v>7000226019</v>
      </c>
      <c r="R55" s="27">
        <v>111860503</v>
      </c>
      <c r="S55" s="51" t="s">
        <v>63</v>
      </c>
      <c r="T55" s="27" t="s">
        <v>630</v>
      </c>
      <c r="U55" s="51">
        <v>3</v>
      </c>
      <c r="V55" s="51">
        <v>3</v>
      </c>
      <c r="W55" s="51">
        <v>5</v>
      </c>
      <c r="X55" s="51" t="s">
        <v>54</v>
      </c>
      <c r="Y55" s="27"/>
      <c r="Z55" s="51" t="s">
        <v>99</v>
      </c>
      <c r="AA55" s="51" t="s">
        <v>83</v>
      </c>
      <c r="AB55" s="51" t="s">
        <v>140</v>
      </c>
      <c r="AC55" s="27">
        <v>1</v>
      </c>
      <c r="AD55" s="27">
        <v>1</v>
      </c>
      <c r="AE55" s="27">
        <v>5</v>
      </c>
      <c r="AF55" s="27" t="s">
        <v>549</v>
      </c>
      <c r="AG55" s="27">
        <v>7</v>
      </c>
    </row>
    <row r="56" spans="1:33" x14ac:dyDescent="0.55000000000000004">
      <c r="A56" s="28">
        <v>7000226019</v>
      </c>
      <c r="B56" s="28" t="s">
        <v>587</v>
      </c>
      <c r="C56" s="28">
        <v>11186070301</v>
      </c>
      <c r="D56" s="48">
        <v>8019471443</v>
      </c>
      <c r="E56" s="28" t="s">
        <v>515</v>
      </c>
      <c r="F56" s="28" t="s">
        <v>516</v>
      </c>
      <c r="G56" s="28" t="s">
        <v>813</v>
      </c>
      <c r="H56" s="28"/>
      <c r="I56" s="28">
        <v>0.25</v>
      </c>
      <c r="J56" s="28" t="s">
        <v>515</v>
      </c>
      <c r="K56" s="48" t="s">
        <v>515</v>
      </c>
      <c r="L56" s="28" t="s">
        <v>544</v>
      </c>
      <c r="M56" s="28" t="s">
        <v>544</v>
      </c>
      <c r="N56" s="48" t="s">
        <v>343</v>
      </c>
      <c r="O56" s="48" t="s">
        <v>0</v>
      </c>
      <c r="P56" s="28" t="s">
        <v>629</v>
      </c>
      <c r="Q56" s="51">
        <v>7000226019</v>
      </c>
      <c r="R56" s="27">
        <v>111860703</v>
      </c>
      <c r="S56" s="51" t="s">
        <v>63</v>
      </c>
      <c r="T56" s="27" t="s">
        <v>630</v>
      </c>
      <c r="U56" s="51">
        <v>3</v>
      </c>
      <c r="V56" s="51">
        <v>3</v>
      </c>
      <c r="W56" s="51">
        <v>7</v>
      </c>
      <c r="X56" s="51" t="s">
        <v>54</v>
      </c>
      <c r="Y56" s="27"/>
      <c r="Z56" s="51" t="s">
        <v>99</v>
      </c>
      <c r="AA56" s="51" t="s">
        <v>83</v>
      </c>
      <c r="AB56" s="51" t="s">
        <v>140</v>
      </c>
      <c r="AC56" s="27">
        <v>1</v>
      </c>
      <c r="AD56" s="27">
        <v>1</v>
      </c>
      <c r="AE56" s="27">
        <v>5</v>
      </c>
      <c r="AF56" s="27" t="s">
        <v>550</v>
      </c>
      <c r="AG56" s="27">
        <v>7</v>
      </c>
    </row>
    <row r="57" spans="1:33" x14ac:dyDescent="0.55000000000000004">
      <c r="A57" s="28">
        <v>7000226019</v>
      </c>
      <c r="B57" s="28" t="s">
        <v>588</v>
      </c>
      <c r="C57" s="28">
        <v>11223010301</v>
      </c>
      <c r="D57" s="48">
        <v>8010745941</v>
      </c>
      <c r="E57" s="28" t="s">
        <v>515</v>
      </c>
      <c r="F57" s="28" t="s">
        <v>516</v>
      </c>
      <c r="G57" s="28" t="s">
        <v>820</v>
      </c>
      <c r="H57" s="28"/>
      <c r="I57" s="28">
        <v>0.25</v>
      </c>
      <c r="J57" s="28" t="s">
        <v>515</v>
      </c>
      <c r="K57" s="48" t="s">
        <v>515</v>
      </c>
      <c r="L57" s="28" t="s">
        <v>544</v>
      </c>
      <c r="M57" s="28" t="s">
        <v>544</v>
      </c>
      <c r="N57" s="48" t="s">
        <v>343</v>
      </c>
      <c r="O57" s="48" t="s">
        <v>0</v>
      </c>
      <c r="P57" s="28" t="s">
        <v>629</v>
      </c>
      <c r="Q57" s="51">
        <v>7000226019</v>
      </c>
      <c r="R57" s="27">
        <v>112230103</v>
      </c>
      <c r="S57" s="51" t="s">
        <v>63</v>
      </c>
      <c r="T57" s="27" t="s">
        <v>630</v>
      </c>
      <c r="U57" s="51">
        <v>3</v>
      </c>
      <c r="V57" s="51">
        <v>3</v>
      </c>
      <c r="W57" s="51">
        <v>1</v>
      </c>
      <c r="X57" s="51" t="s">
        <v>54</v>
      </c>
      <c r="Y57" s="27"/>
      <c r="Z57" s="51" t="s">
        <v>99</v>
      </c>
      <c r="AA57" s="51" t="s">
        <v>83</v>
      </c>
      <c r="AB57" s="51" t="s">
        <v>140</v>
      </c>
      <c r="AC57" s="27">
        <v>1</v>
      </c>
      <c r="AD57" s="27">
        <v>1</v>
      </c>
      <c r="AE57" s="27">
        <v>5</v>
      </c>
      <c r="AF57" s="27" t="s">
        <v>551</v>
      </c>
      <c r="AG57" s="27">
        <v>7</v>
      </c>
    </row>
    <row r="58" spans="1:33" x14ac:dyDescent="0.55000000000000004">
      <c r="A58" s="28">
        <v>7000226019</v>
      </c>
      <c r="B58" s="28" t="s">
        <v>589</v>
      </c>
      <c r="C58" s="28">
        <v>11223040301</v>
      </c>
      <c r="D58" s="48">
        <v>8019471518</v>
      </c>
      <c r="E58" s="28" t="s">
        <v>515</v>
      </c>
      <c r="F58" s="28" t="s">
        <v>516</v>
      </c>
      <c r="G58" s="28" t="s">
        <v>820</v>
      </c>
      <c r="H58" s="28"/>
      <c r="I58" s="28">
        <v>0.25</v>
      </c>
      <c r="J58" s="28" t="s">
        <v>515</v>
      </c>
      <c r="K58" s="48" t="s">
        <v>515</v>
      </c>
      <c r="L58" s="28" t="s">
        <v>544</v>
      </c>
      <c r="M58" s="28" t="s">
        <v>544</v>
      </c>
      <c r="N58" s="48" t="s">
        <v>343</v>
      </c>
      <c r="O58" s="48" t="s">
        <v>0</v>
      </c>
      <c r="P58" s="28" t="s">
        <v>629</v>
      </c>
      <c r="Q58" s="51">
        <v>7000226019</v>
      </c>
      <c r="R58" s="27">
        <v>112230403</v>
      </c>
      <c r="S58" s="51" t="s">
        <v>63</v>
      </c>
      <c r="T58" s="27" t="s">
        <v>630</v>
      </c>
      <c r="U58" s="51">
        <v>3</v>
      </c>
      <c r="V58" s="51">
        <v>3</v>
      </c>
      <c r="W58" s="51">
        <v>4</v>
      </c>
      <c r="X58" s="51" t="s">
        <v>54</v>
      </c>
      <c r="Y58" s="27"/>
      <c r="Z58" s="51" t="s">
        <v>99</v>
      </c>
      <c r="AA58" s="51" t="s">
        <v>83</v>
      </c>
      <c r="AB58" s="51" t="s">
        <v>140</v>
      </c>
      <c r="AC58" s="27">
        <v>1</v>
      </c>
      <c r="AD58" s="27">
        <v>1</v>
      </c>
      <c r="AE58" s="27">
        <v>5</v>
      </c>
      <c r="AF58" s="27" t="s">
        <v>501</v>
      </c>
      <c r="AG58" s="27">
        <v>8</v>
      </c>
    </row>
    <row r="59" spans="1:33" x14ac:dyDescent="0.55000000000000004">
      <c r="A59" s="28">
        <v>7000226019</v>
      </c>
      <c r="B59" s="28" t="s">
        <v>590</v>
      </c>
      <c r="C59" s="28">
        <v>11223050301</v>
      </c>
      <c r="D59" s="48">
        <v>8010745857</v>
      </c>
      <c r="E59" s="28" t="s">
        <v>515</v>
      </c>
      <c r="F59" s="28" t="s">
        <v>516</v>
      </c>
      <c r="G59" s="28" t="s">
        <v>820</v>
      </c>
      <c r="H59" s="28"/>
      <c r="I59" s="28">
        <v>0.25</v>
      </c>
      <c r="J59" s="28" t="s">
        <v>515</v>
      </c>
      <c r="K59" s="48" t="s">
        <v>515</v>
      </c>
      <c r="L59" s="28" t="s">
        <v>544</v>
      </c>
      <c r="M59" s="28" t="s">
        <v>544</v>
      </c>
      <c r="N59" s="48" t="s">
        <v>343</v>
      </c>
      <c r="O59" s="48" t="s">
        <v>0</v>
      </c>
      <c r="P59" s="28" t="s">
        <v>629</v>
      </c>
      <c r="Q59" s="51">
        <v>7000226019</v>
      </c>
      <c r="R59" s="27">
        <v>112230503</v>
      </c>
      <c r="S59" s="51" t="s">
        <v>63</v>
      </c>
      <c r="T59" s="27" t="s">
        <v>630</v>
      </c>
      <c r="U59" s="51">
        <v>3</v>
      </c>
      <c r="V59" s="51">
        <v>3</v>
      </c>
      <c r="W59" s="51">
        <v>5</v>
      </c>
      <c r="X59" s="51" t="s">
        <v>54</v>
      </c>
      <c r="Y59" s="27"/>
      <c r="Z59" s="51" t="s">
        <v>99</v>
      </c>
      <c r="AA59" s="51" t="s">
        <v>83</v>
      </c>
      <c r="AB59" s="51" t="s">
        <v>140</v>
      </c>
      <c r="AC59" s="27">
        <v>1</v>
      </c>
      <c r="AD59" s="27">
        <v>1</v>
      </c>
      <c r="AE59" s="27">
        <v>5</v>
      </c>
      <c r="AF59" s="27" t="s">
        <v>545</v>
      </c>
      <c r="AG59" s="27">
        <v>8</v>
      </c>
    </row>
    <row r="60" spans="1:33" x14ac:dyDescent="0.55000000000000004">
      <c r="A60" s="28">
        <v>7000226019</v>
      </c>
      <c r="B60" s="28" t="s">
        <v>591</v>
      </c>
      <c r="C60" s="28">
        <v>11223060301</v>
      </c>
      <c r="D60" s="48">
        <v>8010745982</v>
      </c>
      <c r="E60" s="28" t="s">
        <v>515</v>
      </c>
      <c r="F60" s="28" t="s">
        <v>516</v>
      </c>
      <c r="G60" s="28" t="s">
        <v>820</v>
      </c>
      <c r="H60" s="28"/>
      <c r="I60" s="28">
        <v>0.25</v>
      </c>
      <c r="J60" s="28" t="s">
        <v>515</v>
      </c>
      <c r="K60" s="48" t="s">
        <v>515</v>
      </c>
      <c r="L60" s="28" t="s">
        <v>544</v>
      </c>
      <c r="M60" s="28" t="s">
        <v>544</v>
      </c>
      <c r="N60" s="48" t="s">
        <v>343</v>
      </c>
      <c r="O60" s="48" t="s">
        <v>0</v>
      </c>
      <c r="P60" s="28" t="s">
        <v>629</v>
      </c>
      <c r="Q60" s="51">
        <v>7000226019</v>
      </c>
      <c r="R60" s="27">
        <v>112230603</v>
      </c>
      <c r="S60" s="51" t="s">
        <v>63</v>
      </c>
      <c r="T60" s="27" t="s">
        <v>630</v>
      </c>
      <c r="U60" s="51">
        <v>3</v>
      </c>
      <c r="V60" s="51">
        <v>3</v>
      </c>
      <c r="W60" s="51">
        <v>6</v>
      </c>
      <c r="X60" s="51" t="s">
        <v>54</v>
      </c>
      <c r="Y60" s="27"/>
      <c r="Z60" s="51" t="s">
        <v>99</v>
      </c>
      <c r="AA60" s="51" t="s">
        <v>83</v>
      </c>
      <c r="AB60" s="51" t="s">
        <v>140</v>
      </c>
      <c r="AC60" s="27">
        <v>1</v>
      </c>
      <c r="AD60" s="27">
        <v>1</v>
      </c>
      <c r="AE60" s="27">
        <v>5</v>
      </c>
      <c r="AF60" s="27" t="s">
        <v>546</v>
      </c>
      <c r="AG60" s="27">
        <v>8</v>
      </c>
    </row>
    <row r="61" spans="1:33" x14ac:dyDescent="0.55000000000000004">
      <c r="A61" s="28">
        <v>7000226019</v>
      </c>
      <c r="B61" s="28" t="s">
        <v>592</v>
      </c>
      <c r="C61" s="28">
        <v>11223070301</v>
      </c>
      <c r="D61" s="48">
        <v>8010745809</v>
      </c>
      <c r="E61" s="28" t="s">
        <v>515</v>
      </c>
      <c r="F61" s="28" t="s">
        <v>516</v>
      </c>
      <c r="G61" s="28" t="s">
        <v>820</v>
      </c>
      <c r="H61" s="28"/>
      <c r="I61" s="28">
        <v>0.25</v>
      </c>
      <c r="J61" s="28" t="s">
        <v>515</v>
      </c>
      <c r="K61" s="48" t="s">
        <v>515</v>
      </c>
      <c r="L61" s="28" t="s">
        <v>544</v>
      </c>
      <c r="M61" s="28" t="s">
        <v>544</v>
      </c>
      <c r="N61" s="48" t="s">
        <v>343</v>
      </c>
      <c r="O61" s="48" t="s">
        <v>0</v>
      </c>
      <c r="P61" s="28" t="s">
        <v>629</v>
      </c>
      <c r="Q61" s="51">
        <v>7000226019</v>
      </c>
      <c r="R61" s="27">
        <v>112230703</v>
      </c>
      <c r="S61" s="51" t="s">
        <v>63</v>
      </c>
      <c r="T61" s="27" t="s">
        <v>630</v>
      </c>
      <c r="U61" s="51">
        <v>3</v>
      </c>
      <c r="V61" s="51">
        <v>3</v>
      </c>
      <c r="W61" s="51">
        <v>7</v>
      </c>
      <c r="X61" s="51" t="s">
        <v>54</v>
      </c>
      <c r="Y61" s="27"/>
      <c r="Z61" s="51" t="s">
        <v>99</v>
      </c>
      <c r="AA61" s="51" t="s">
        <v>83</v>
      </c>
      <c r="AB61" s="51" t="s">
        <v>140</v>
      </c>
      <c r="AC61" s="27">
        <v>1</v>
      </c>
      <c r="AD61" s="27">
        <v>1</v>
      </c>
      <c r="AE61" s="27">
        <v>5</v>
      </c>
      <c r="AF61" s="27" t="s">
        <v>547</v>
      </c>
      <c r="AG61" s="27">
        <v>8</v>
      </c>
    </row>
    <row r="62" spans="1:33" x14ac:dyDescent="0.55000000000000004">
      <c r="A62" s="28">
        <v>7000226019</v>
      </c>
      <c r="B62" s="28" t="s">
        <v>593</v>
      </c>
      <c r="C62" s="28">
        <v>11240010301</v>
      </c>
      <c r="D62" s="48">
        <v>8038294312</v>
      </c>
      <c r="E62" s="28" t="s">
        <v>515</v>
      </c>
      <c r="F62" s="28" t="s">
        <v>516</v>
      </c>
      <c r="G62" s="28" t="s">
        <v>826</v>
      </c>
      <c r="H62" s="28"/>
      <c r="I62" s="28">
        <v>0.25</v>
      </c>
      <c r="J62" s="28" t="s">
        <v>515</v>
      </c>
      <c r="K62" s="48" t="s">
        <v>515</v>
      </c>
      <c r="L62" s="28" t="s">
        <v>544</v>
      </c>
      <c r="M62" s="28" t="s">
        <v>544</v>
      </c>
      <c r="N62" s="48" t="s">
        <v>343</v>
      </c>
      <c r="O62" s="48" t="s">
        <v>0</v>
      </c>
      <c r="P62" s="28" t="s">
        <v>629</v>
      </c>
      <c r="Q62" s="51">
        <v>7000226019</v>
      </c>
      <c r="R62" s="27">
        <v>112400103</v>
      </c>
      <c r="S62" s="51" t="s">
        <v>63</v>
      </c>
      <c r="T62" s="27" t="s">
        <v>630</v>
      </c>
      <c r="U62" s="51">
        <v>3</v>
      </c>
      <c r="V62" s="51">
        <v>3</v>
      </c>
      <c r="W62" s="51">
        <v>1</v>
      </c>
      <c r="X62" s="51" t="s">
        <v>54</v>
      </c>
      <c r="Y62" s="27"/>
      <c r="Z62" s="51" t="s">
        <v>99</v>
      </c>
      <c r="AA62" s="51" t="s">
        <v>83</v>
      </c>
      <c r="AB62" s="51" t="s">
        <v>140</v>
      </c>
      <c r="AC62" s="27">
        <v>1</v>
      </c>
      <c r="AD62" s="27">
        <v>1</v>
      </c>
      <c r="AE62" s="27">
        <v>5</v>
      </c>
      <c r="AF62" s="27" t="s">
        <v>548</v>
      </c>
      <c r="AG62" s="27">
        <v>8</v>
      </c>
    </row>
    <row r="63" spans="1:33" x14ac:dyDescent="0.55000000000000004">
      <c r="A63" s="28">
        <v>7000226019</v>
      </c>
      <c r="B63" s="28" t="s">
        <v>594</v>
      </c>
      <c r="C63" s="28">
        <v>11240040301</v>
      </c>
      <c r="D63" s="48">
        <v>8038293778</v>
      </c>
      <c r="E63" s="28" t="s">
        <v>515</v>
      </c>
      <c r="F63" s="28" t="s">
        <v>516</v>
      </c>
      <c r="G63" s="28" t="s">
        <v>826</v>
      </c>
      <c r="H63" s="28"/>
      <c r="I63" s="28">
        <v>0.25</v>
      </c>
      <c r="J63" s="28" t="s">
        <v>515</v>
      </c>
      <c r="K63" s="48" t="s">
        <v>515</v>
      </c>
      <c r="L63" s="28" t="s">
        <v>544</v>
      </c>
      <c r="M63" s="28" t="s">
        <v>544</v>
      </c>
      <c r="N63" s="48" t="s">
        <v>343</v>
      </c>
      <c r="O63" s="48" t="s">
        <v>0</v>
      </c>
      <c r="P63" s="28" t="s">
        <v>629</v>
      </c>
      <c r="Q63" s="51">
        <v>7000226019</v>
      </c>
      <c r="R63" s="27">
        <v>112400403</v>
      </c>
      <c r="S63" s="51" t="s">
        <v>63</v>
      </c>
      <c r="T63" s="27" t="s">
        <v>630</v>
      </c>
      <c r="U63" s="51">
        <v>3</v>
      </c>
      <c r="V63" s="51">
        <v>3</v>
      </c>
      <c r="W63" s="51">
        <v>4</v>
      </c>
      <c r="X63" s="51" t="s">
        <v>54</v>
      </c>
      <c r="Y63" s="27"/>
      <c r="Z63" s="51" t="s">
        <v>99</v>
      </c>
      <c r="AA63" s="51" t="s">
        <v>83</v>
      </c>
      <c r="AB63" s="51" t="s">
        <v>140</v>
      </c>
      <c r="AC63" s="27">
        <v>1</v>
      </c>
      <c r="AD63" s="27">
        <v>1</v>
      </c>
      <c r="AE63" s="27">
        <v>5</v>
      </c>
      <c r="AF63" s="27" t="s">
        <v>549</v>
      </c>
      <c r="AG63" s="27">
        <v>8</v>
      </c>
    </row>
    <row r="64" spans="1:33" x14ac:dyDescent="0.55000000000000004">
      <c r="A64" s="28">
        <v>7000226019</v>
      </c>
      <c r="B64" s="28" t="s">
        <v>595</v>
      </c>
      <c r="C64" s="28">
        <v>11240050301</v>
      </c>
      <c r="D64" s="48">
        <v>8038293909</v>
      </c>
      <c r="E64" s="28" t="s">
        <v>515</v>
      </c>
      <c r="F64" s="28" t="s">
        <v>516</v>
      </c>
      <c r="G64" s="28" t="s">
        <v>826</v>
      </c>
      <c r="H64" s="28"/>
      <c r="I64" s="28">
        <v>0.25</v>
      </c>
      <c r="J64" s="28" t="s">
        <v>515</v>
      </c>
      <c r="K64" s="48" t="s">
        <v>515</v>
      </c>
      <c r="L64" s="28" t="s">
        <v>544</v>
      </c>
      <c r="M64" s="28" t="s">
        <v>544</v>
      </c>
      <c r="N64" s="48" t="s">
        <v>343</v>
      </c>
      <c r="O64" s="48" t="s">
        <v>0</v>
      </c>
      <c r="P64" s="28" t="s">
        <v>629</v>
      </c>
      <c r="Q64" s="51">
        <v>7000226019</v>
      </c>
      <c r="R64" s="27">
        <v>112400503</v>
      </c>
      <c r="S64" s="51" t="s">
        <v>63</v>
      </c>
      <c r="T64" s="27" t="s">
        <v>630</v>
      </c>
      <c r="U64" s="51">
        <v>3</v>
      </c>
      <c r="V64" s="51">
        <v>3</v>
      </c>
      <c r="W64" s="51">
        <v>5</v>
      </c>
      <c r="X64" s="51" t="s">
        <v>54</v>
      </c>
      <c r="Y64" s="27"/>
      <c r="Z64" s="51" t="s">
        <v>99</v>
      </c>
      <c r="AA64" s="51" t="s">
        <v>83</v>
      </c>
      <c r="AB64" s="51" t="s">
        <v>140</v>
      </c>
      <c r="AC64" s="27">
        <v>1</v>
      </c>
      <c r="AD64" s="27">
        <v>1</v>
      </c>
      <c r="AE64" s="27">
        <v>5</v>
      </c>
      <c r="AF64" s="27" t="s">
        <v>550</v>
      </c>
      <c r="AG64" s="27">
        <v>8</v>
      </c>
    </row>
    <row r="65" spans="1:33" x14ac:dyDescent="0.55000000000000004">
      <c r="A65" s="28">
        <v>7000226019</v>
      </c>
      <c r="B65" s="28" t="s">
        <v>596</v>
      </c>
      <c r="C65" s="28">
        <v>11240060301</v>
      </c>
      <c r="D65" s="48">
        <v>8038293740</v>
      </c>
      <c r="E65" s="28" t="s">
        <v>515</v>
      </c>
      <c r="F65" s="28" t="s">
        <v>516</v>
      </c>
      <c r="G65" s="28" t="s">
        <v>826</v>
      </c>
      <c r="H65" s="28"/>
      <c r="I65" s="28">
        <v>0.25</v>
      </c>
      <c r="J65" s="28" t="s">
        <v>515</v>
      </c>
      <c r="K65" s="48" t="s">
        <v>515</v>
      </c>
      <c r="L65" s="28" t="s">
        <v>544</v>
      </c>
      <c r="M65" s="28" t="s">
        <v>544</v>
      </c>
      <c r="N65" s="48" t="s">
        <v>343</v>
      </c>
      <c r="O65" s="48" t="s">
        <v>0</v>
      </c>
      <c r="P65" s="28" t="s">
        <v>629</v>
      </c>
      <c r="Q65" s="51">
        <v>7000226019</v>
      </c>
      <c r="R65" s="27">
        <v>112400603</v>
      </c>
      <c r="S65" s="51" t="s">
        <v>63</v>
      </c>
      <c r="T65" s="27" t="s">
        <v>630</v>
      </c>
      <c r="U65" s="51">
        <v>3</v>
      </c>
      <c r="V65" s="51">
        <v>3</v>
      </c>
      <c r="W65" s="51">
        <v>6</v>
      </c>
      <c r="X65" s="51" t="s">
        <v>54</v>
      </c>
      <c r="Y65" s="27"/>
      <c r="Z65" s="51" t="s">
        <v>99</v>
      </c>
      <c r="AA65" s="51" t="s">
        <v>83</v>
      </c>
      <c r="AB65" s="51" t="s">
        <v>140</v>
      </c>
      <c r="AC65" s="27">
        <v>1</v>
      </c>
      <c r="AD65" s="27">
        <v>1</v>
      </c>
      <c r="AE65" s="27">
        <v>5</v>
      </c>
      <c r="AF65" s="27" t="s">
        <v>551</v>
      </c>
      <c r="AG65" s="27">
        <v>8</v>
      </c>
    </row>
    <row r="66" spans="1:33" x14ac:dyDescent="0.55000000000000004">
      <c r="A66" s="28">
        <v>7000226019</v>
      </c>
      <c r="B66" s="28" t="s">
        <v>597</v>
      </c>
      <c r="C66" s="28">
        <v>11240070301</v>
      </c>
      <c r="D66" s="48">
        <v>8038293960</v>
      </c>
      <c r="E66" s="28" t="s">
        <v>515</v>
      </c>
      <c r="F66" s="28" t="s">
        <v>516</v>
      </c>
      <c r="G66" s="28" t="s">
        <v>826</v>
      </c>
      <c r="H66" s="28"/>
      <c r="I66" s="28">
        <v>0.25</v>
      </c>
      <c r="J66" s="28" t="s">
        <v>515</v>
      </c>
      <c r="K66" s="48" t="s">
        <v>515</v>
      </c>
      <c r="L66" s="28" t="s">
        <v>544</v>
      </c>
      <c r="M66" s="28" t="s">
        <v>544</v>
      </c>
      <c r="N66" s="48" t="s">
        <v>343</v>
      </c>
      <c r="O66" s="48" t="s">
        <v>0</v>
      </c>
      <c r="P66" s="28" t="s">
        <v>629</v>
      </c>
      <c r="Q66" s="51">
        <v>7000226019</v>
      </c>
      <c r="R66" s="27">
        <v>112400703</v>
      </c>
      <c r="S66" s="51" t="s">
        <v>63</v>
      </c>
      <c r="T66" s="27" t="s">
        <v>630</v>
      </c>
      <c r="U66" s="51">
        <v>3</v>
      </c>
      <c r="V66" s="51">
        <v>3</v>
      </c>
      <c r="W66" s="51">
        <v>7</v>
      </c>
      <c r="X66" s="51" t="s">
        <v>54</v>
      </c>
      <c r="Y66" s="27"/>
      <c r="Z66" s="51" t="s">
        <v>99</v>
      </c>
      <c r="AA66" s="51" t="s">
        <v>83</v>
      </c>
      <c r="AB66" s="51" t="s">
        <v>140</v>
      </c>
      <c r="AC66" s="27">
        <v>1</v>
      </c>
      <c r="AD66" s="27">
        <v>1</v>
      </c>
      <c r="AE66" s="27">
        <v>5</v>
      </c>
      <c r="AF66" s="27" t="s">
        <v>501</v>
      </c>
      <c r="AG66" s="27">
        <v>9</v>
      </c>
    </row>
    <row r="67" spans="1:33" x14ac:dyDescent="0.55000000000000004">
      <c r="A67" s="28">
        <v>7000226019</v>
      </c>
      <c r="B67" s="28" t="s">
        <v>598</v>
      </c>
      <c r="C67" s="28">
        <v>11172010301</v>
      </c>
      <c r="D67" s="48">
        <v>8010749292</v>
      </c>
      <c r="E67" s="28" t="s">
        <v>515</v>
      </c>
      <c r="F67" s="28" t="s">
        <v>516</v>
      </c>
      <c r="G67" s="28" t="s">
        <v>832</v>
      </c>
      <c r="H67" s="28"/>
      <c r="I67" s="28">
        <v>0.25</v>
      </c>
      <c r="J67" s="28" t="s">
        <v>515</v>
      </c>
      <c r="K67" s="48" t="s">
        <v>515</v>
      </c>
      <c r="L67" s="28" t="s">
        <v>544</v>
      </c>
      <c r="M67" s="28" t="s">
        <v>544</v>
      </c>
      <c r="N67" s="48" t="s">
        <v>343</v>
      </c>
      <c r="O67" s="48" t="s">
        <v>0</v>
      </c>
      <c r="P67" s="28" t="s">
        <v>629</v>
      </c>
      <c r="Q67" s="51">
        <v>7000226019</v>
      </c>
      <c r="R67" s="27">
        <v>111720103</v>
      </c>
      <c r="S67" s="51" t="s">
        <v>63</v>
      </c>
      <c r="T67" s="27" t="s">
        <v>630</v>
      </c>
      <c r="U67" s="51">
        <v>3</v>
      </c>
      <c r="V67" s="51">
        <v>3</v>
      </c>
      <c r="W67" s="51">
        <v>1</v>
      </c>
      <c r="X67" s="51" t="s">
        <v>54</v>
      </c>
      <c r="Y67" s="27"/>
      <c r="Z67" s="51" t="s">
        <v>99</v>
      </c>
      <c r="AA67" s="51" t="s">
        <v>83</v>
      </c>
      <c r="AB67" s="51" t="s">
        <v>140</v>
      </c>
      <c r="AC67" s="27">
        <v>1</v>
      </c>
      <c r="AD67" s="27">
        <v>1</v>
      </c>
      <c r="AE67" s="27">
        <v>5</v>
      </c>
      <c r="AF67" s="27" t="s">
        <v>545</v>
      </c>
      <c r="AG67" s="27">
        <v>9</v>
      </c>
    </row>
    <row r="68" spans="1:33" x14ac:dyDescent="0.55000000000000004">
      <c r="A68" s="28">
        <v>7000226019</v>
      </c>
      <c r="B68" s="28" t="s">
        <v>599</v>
      </c>
      <c r="C68" s="28">
        <v>11172020301</v>
      </c>
      <c r="D68" s="48">
        <v>8010749370</v>
      </c>
      <c r="E68" s="28" t="s">
        <v>515</v>
      </c>
      <c r="F68" s="28" t="s">
        <v>516</v>
      </c>
      <c r="G68" s="28" t="s">
        <v>832</v>
      </c>
      <c r="H68" s="28"/>
      <c r="I68" s="28">
        <v>0.25</v>
      </c>
      <c r="J68" s="28" t="s">
        <v>515</v>
      </c>
      <c r="K68" s="48" t="s">
        <v>515</v>
      </c>
      <c r="L68" s="28" t="s">
        <v>544</v>
      </c>
      <c r="M68" s="28" t="s">
        <v>544</v>
      </c>
      <c r="N68" s="48" t="s">
        <v>343</v>
      </c>
      <c r="O68" s="48" t="s">
        <v>0</v>
      </c>
      <c r="P68" s="28" t="s">
        <v>629</v>
      </c>
      <c r="Q68" s="51">
        <v>7000226019</v>
      </c>
      <c r="R68" s="27">
        <v>111720203</v>
      </c>
      <c r="S68" s="51" t="s">
        <v>63</v>
      </c>
      <c r="T68" s="27" t="s">
        <v>630</v>
      </c>
      <c r="U68" s="51">
        <v>3</v>
      </c>
      <c r="V68" s="51">
        <v>3</v>
      </c>
      <c r="W68" s="51">
        <v>2</v>
      </c>
      <c r="X68" s="51" t="s">
        <v>54</v>
      </c>
      <c r="Y68" s="27"/>
      <c r="Z68" s="51" t="s">
        <v>99</v>
      </c>
      <c r="AA68" s="51" t="s">
        <v>83</v>
      </c>
      <c r="AB68" s="51" t="s">
        <v>140</v>
      </c>
      <c r="AC68" s="27">
        <v>1</v>
      </c>
      <c r="AD68" s="27">
        <v>1</v>
      </c>
      <c r="AE68" s="27">
        <v>5</v>
      </c>
      <c r="AF68" s="27" t="s">
        <v>546</v>
      </c>
      <c r="AG68" s="27">
        <v>9</v>
      </c>
    </row>
    <row r="69" spans="1:33" x14ac:dyDescent="0.55000000000000004">
      <c r="A69" s="28">
        <v>7000226019</v>
      </c>
      <c r="B69" s="28" t="s">
        <v>600</v>
      </c>
      <c r="C69" s="28">
        <v>11172030301</v>
      </c>
      <c r="D69" s="48">
        <v>8019471533</v>
      </c>
      <c r="E69" s="28" t="s">
        <v>515</v>
      </c>
      <c r="F69" s="28" t="s">
        <v>516</v>
      </c>
      <c r="G69" s="28" t="s">
        <v>832</v>
      </c>
      <c r="H69" s="28"/>
      <c r="I69" s="28">
        <v>0.25</v>
      </c>
      <c r="J69" s="28" t="s">
        <v>515</v>
      </c>
      <c r="K69" s="48" t="s">
        <v>515</v>
      </c>
      <c r="L69" s="28" t="s">
        <v>544</v>
      </c>
      <c r="M69" s="28" t="s">
        <v>544</v>
      </c>
      <c r="N69" s="48" t="s">
        <v>343</v>
      </c>
      <c r="O69" s="48" t="s">
        <v>0</v>
      </c>
      <c r="P69" s="28" t="s">
        <v>629</v>
      </c>
      <c r="Q69" s="51">
        <v>7000226019</v>
      </c>
      <c r="R69" s="27">
        <v>111720303</v>
      </c>
      <c r="S69" s="51" t="s">
        <v>63</v>
      </c>
      <c r="T69" s="27" t="s">
        <v>630</v>
      </c>
      <c r="U69" s="51">
        <v>3</v>
      </c>
      <c r="V69" s="51">
        <v>3</v>
      </c>
      <c r="W69" s="51">
        <v>3</v>
      </c>
      <c r="X69" s="51" t="s">
        <v>54</v>
      </c>
      <c r="Y69" s="27"/>
      <c r="Z69" s="51" t="s">
        <v>99</v>
      </c>
      <c r="AA69" s="51" t="s">
        <v>83</v>
      </c>
      <c r="AB69" s="51" t="s">
        <v>140</v>
      </c>
      <c r="AC69" s="27">
        <v>1</v>
      </c>
      <c r="AD69" s="27">
        <v>1</v>
      </c>
      <c r="AE69" s="27">
        <v>5</v>
      </c>
      <c r="AF69" s="27" t="s">
        <v>547</v>
      </c>
      <c r="AG69" s="27">
        <v>9</v>
      </c>
    </row>
    <row r="70" spans="1:33" x14ac:dyDescent="0.55000000000000004">
      <c r="A70" s="28">
        <v>7000226019</v>
      </c>
      <c r="B70" s="28" t="s">
        <v>601</v>
      </c>
      <c r="C70" s="28">
        <v>11172040301</v>
      </c>
      <c r="D70" s="48">
        <v>8010749709</v>
      </c>
      <c r="E70" s="28" t="s">
        <v>515</v>
      </c>
      <c r="F70" s="28" t="s">
        <v>516</v>
      </c>
      <c r="G70" s="28" t="s">
        <v>832</v>
      </c>
      <c r="H70" s="28"/>
      <c r="I70" s="28">
        <v>0.25</v>
      </c>
      <c r="J70" s="28" t="s">
        <v>515</v>
      </c>
      <c r="K70" s="48" t="s">
        <v>515</v>
      </c>
      <c r="L70" s="28" t="s">
        <v>544</v>
      </c>
      <c r="M70" s="28" t="s">
        <v>544</v>
      </c>
      <c r="N70" s="48" t="s">
        <v>343</v>
      </c>
      <c r="O70" s="48" t="s">
        <v>0</v>
      </c>
      <c r="P70" s="28" t="s">
        <v>629</v>
      </c>
      <c r="Q70" s="51">
        <v>7000226019</v>
      </c>
      <c r="R70" s="27">
        <v>111720403</v>
      </c>
      <c r="S70" s="51" t="s">
        <v>63</v>
      </c>
      <c r="T70" s="27" t="s">
        <v>630</v>
      </c>
      <c r="U70" s="51">
        <v>3</v>
      </c>
      <c r="V70" s="51">
        <v>3</v>
      </c>
      <c r="W70" s="51">
        <v>4</v>
      </c>
      <c r="X70" s="51" t="s">
        <v>54</v>
      </c>
      <c r="Y70" s="27"/>
      <c r="Z70" s="51" t="s">
        <v>99</v>
      </c>
      <c r="AA70" s="51" t="s">
        <v>83</v>
      </c>
      <c r="AB70" s="51" t="s">
        <v>140</v>
      </c>
      <c r="AC70" s="27">
        <v>1</v>
      </c>
      <c r="AD70" s="27">
        <v>1</v>
      </c>
      <c r="AE70" s="27">
        <v>5</v>
      </c>
      <c r="AF70" s="27" t="s">
        <v>548</v>
      </c>
      <c r="AG70" s="27">
        <v>9</v>
      </c>
    </row>
    <row r="71" spans="1:33" x14ac:dyDescent="0.55000000000000004">
      <c r="A71" s="28">
        <v>7000226019</v>
      </c>
      <c r="B71" s="28" t="s">
        <v>602</v>
      </c>
      <c r="C71" s="28">
        <v>11172050301</v>
      </c>
      <c r="D71" s="48">
        <v>8010749467</v>
      </c>
      <c r="E71" s="28" t="s">
        <v>515</v>
      </c>
      <c r="F71" s="28" t="s">
        <v>516</v>
      </c>
      <c r="G71" s="28" t="s">
        <v>832</v>
      </c>
      <c r="H71" s="28"/>
      <c r="I71" s="28">
        <v>0.25</v>
      </c>
      <c r="J71" s="28" t="s">
        <v>515</v>
      </c>
      <c r="K71" s="48" t="s">
        <v>515</v>
      </c>
      <c r="L71" s="28" t="s">
        <v>544</v>
      </c>
      <c r="M71" s="28" t="s">
        <v>544</v>
      </c>
      <c r="N71" s="48" t="s">
        <v>343</v>
      </c>
      <c r="O71" s="48" t="s">
        <v>0</v>
      </c>
      <c r="P71" s="28" t="s">
        <v>629</v>
      </c>
      <c r="Q71" s="51">
        <v>7000226019</v>
      </c>
      <c r="R71" s="27">
        <v>111720503</v>
      </c>
      <c r="S71" s="51" t="s">
        <v>63</v>
      </c>
      <c r="T71" s="27" t="s">
        <v>630</v>
      </c>
      <c r="U71" s="51">
        <v>3</v>
      </c>
      <c r="V71" s="51">
        <v>3</v>
      </c>
      <c r="W71" s="51">
        <v>5</v>
      </c>
      <c r="X71" s="51" t="s">
        <v>54</v>
      </c>
      <c r="Y71" s="27"/>
      <c r="Z71" s="51" t="s">
        <v>99</v>
      </c>
      <c r="AA71" s="51" t="s">
        <v>83</v>
      </c>
      <c r="AB71" s="51" t="s">
        <v>140</v>
      </c>
      <c r="AC71" s="27">
        <v>1</v>
      </c>
      <c r="AD71" s="27">
        <v>1</v>
      </c>
      <c r="AE71" s="27">
        <v>5</v>
      </c>
      <c r="AF71" s="27" t="s">
        <v>549</v>
      </c>
      <c r="AG71" s="27">
        <v>9</v>
      </c>
    </row>
    <row r="72" spans="1:33" x14ac:dyDescent="0.55000000000000004">
      <c r="A72" s="28">
        <v>7000226019</v>
      </c>
      <c r="B72" s="28" t="s">
        <v>603</v>
      </c>
      <c r="C72" s="28">
        <v>11173010301</v>
      </c>
      <c r="D72" s="48">
        <v>8019472043</v>
      </c>
      <c r="E72" s="28" t="s">
        <v>515</v>
      </c>
      <c r="F72" s="28" t="s">
        <v>516</v>
      </c>
      <c r="G72" s="28" t="s">
        <v>838</v>
      </c>
      <c r="H72" s="28"/>
      <c r="I72" s="28">
        <v>0.25</v>
      </c>
      <c r="J72" s="28" t="s">
        <v>515</v>
      </c>
      <c r="K72" s="48" t="s">
        <v>515</v>
      </c>
      <c r="L72" s="28" t="s">
        <v>544</v>
      </c>
      <c r="M72" s="28" t="s">
        <v>544</v>
      </c>
      <c r="N72" s="48" t="s">
        <v>343</v>
      </c>
      <c r="O72" s="48" t="s">
        <v>0</v>
      </c>
      <c r="P72" s="28" t="s">
        <v>629</v>
      </c>
      <c r="Q72" s="51">
        <v>7000226019</v>
      </c>
      <c r="R72" s="27">
        <v>111730103</v>
      </c>
      <c r="S72" s="51" t="s">
        <v>63</v>
      </c>
      <c r="T72" s="27" t="s">
        <v>630</v>
      </c>
      <c r="U72" s="51">
        <v>3</v>
      </c>
      <c r="V72" s="51">
        <v>3</v>
      </c>
      <c r="W72" s="51">
        <v>1</v>
      </c>
      <c r="X72" s="51" t="s">
        <v>54</v>
      </c>
      <c r="Y72" s="27"/>
      <c r="Z72" s="51" t="s">
        <v>99</v>
      </c>
      <c r="AA72" s="51" t="s">
        <v>83</v>
      </c>
      <c r="AB72" s="51" t="s">
        <v>140</v>
      </c>
      <c r="AC72" s="27">
        <v>1</v>
      </c>
      <c r="AD72" s="27">
        <v>1</v>
      </c>
      <c r="AE72" s="27">
        <v>5</v>
      </c>
      <c r="AF72" s="27" t="s">
        <v>550</v>
      </c>
      <c r="AG72" s="27">
        <v>9</v>
      </c>
    </row>
    <row r="73" spans="1:33" x14ac:dyDescent="0.55000000000000004">
      <c r="A73" s="28">
        <v>7000226019</v>
      </c>
      <c r="B73" s="28" t="s">
        <v>604</v>
      </c>
      <c r="C73" s="28">
        <v>11173020301</v>
      </c>
      <c r="D73" s="48">
        <v>8019471466</v>
      </c>
      <c r="E73" s="28" t="s">
        <v>515</v>
      </c>
      <c r="F73" s="28" t="s">
        <v>516</v>
      </c>
      <c r="G73" s="28" t="s">
        <v>838</v>
      </c>
      <c r="H73" s="28"/>
      <c r="I73" s="28">
        <v>0.25</v>
      </c>
      <c r="J73" s="28" t="s">
        <v>515</v>
      </c>
      <c r="K73" s="48" t="s">
        <v>515</v>
      </c>
      <c r="L73" s="28" t="s">
        <v>544</v>
      </c>
      <c r="M73" s="28" t="s">
        <v>544</v>
      </c>
      <c r="N73" s="48" t="s">
        <v>343</v>
      </c>
      <c r="O73" s="48" t="s">
        <v>0</v>
      </c>
      <c r="P73" s="28" t="s">
        <v>629</v>
      </c>
      <c r="Q73" s="51">
        <v>7000226019</v>
      </c>
      <c r="R73" s="27">
        <v>111730203</v>
      </c>
      <c r="S73" s="51" t="s">
        <v>63</v>
      </c>
      <c r="T73" s="27" t="s">
        <v>630</v>
      </c>
      <c r="U73" s="51">
        <v>3</v>
      </c>
      <c r="V73" s="51">
        <v>3</v>
      </c>
      <c r="W73" s="51">
        <v>2</v>
      </c>
      <c r="X73" s="51" t="s">
        <v>54</v>
      </c>
      <c r="Y73" s="27"/>
      <c r="Z73" s="51" t="s">
        <v>99</v>
      </c>
      <c r="AA73" s="51" t="s">
        <v>83</v>
      </c>
      <c r="AB73" s="51" t="s">
        <v>140</v>
      </c>
      <c r="AC73" s="27">
        <v>1</v>
      </c>
      <c r="AD73" s="27">
        <v>1</v>
      </c>
      <c r="AE73" s="27">
        <v>5</v>
      </c>
      <c r="AF73" s="27" t="s">
        <v>551</v>
      </c>
      <c r="AG73" s="27">
        <v>9</v>
      </c>
    </row>
    <row r="74" spans="1:33" x14ac:dyDescent="0.55000000000000004">
      <c r="A74" s="28">
        <v>7000226019</v>
      </c>
      <c r="B74" s="28" t="s">
        <v>605</v>
      </c>
      <c r="C74" s="28">
        <v>11173030301</v>
      </c>
      <c r="D74" s="48">
        <v>8019471314</v>
      </c>
      <c r="E74" s="28" t="s">
        <v>515</v>
      </c>
      <c r="F74" s="28" t="s">
        <v>516</v>
      </c>
      <c r="G74" s="28" t="s">
        <v>838</v>
      </c>
      <c r="H74" s="28"/>
      <c r="I74" s="28">
        <v>0.25</v>
      </c>
      <c r="J74" s="28" t="s">
        <v>515</v>
      </c>
      <c r="K74" s="48" t="s">
        <v>515</v>
      </c>
      <c r="L74" s="28" t="s">
        <v>544</v>
      </c>
      <c r="M74" s="28" t="s">
        <v>544</v>
      </c>
      <c r="N74" s="48" t="s">
        <v>343</v>
      </c>
      <c r="O74" s="48" t="s">
        <v>0</v>
      </c>
      <c r="P74" s="28" t="s">
        <v>629</v>
      </c>
      <c r="Q74" s="51">
        <v>7000226019</v>
      </c>
      <c r="R74" s="27">
        <v>111730303</v>
      </c>
      <c r="S74" s="51" t="s">
        <v>63</v>
      </c>
      <c r="T74" s="27" t="s">
        <v>630</v>
      </c>
      <c r="U74" s="51">
        <v>3</v>
      </c>
      <c r="V74" s="51">
        <v>3</v>
      </c>
      <c r="W74" s="51">
        <v>3</v>
      </c>
      <c r="X74" s="51" t="s">
        <v>54</v>
      </c>
      <c r="Y74" s="27"/>
      <c r="Z74" s="51" t="s">
        <v>99</v>
      </c>
      <c r="AA74" s="51" t="s">
        <v>83</v>
      </c>
      <c r="AB74" s="51" t="s">
        <v>140</v>
      </c>
      <c r="AC74" s="27">
        <v>1</v>
      </c>
      <c r="AD74" s="27">
        <v>1</v>
      </c>
      <c r="AE74" s="27">
        <v>5</v>
      </c>
      <c r="AF74" s="27" t="s">
        <v>501</v>
      </c>
      <c r="AG74" s="27">
        <v>10</v>
      </c>
    </row>
    <row r="75" spans="1:33" x14ac:dyDescent="0.55000000000000004">
      <c r="A75" s="28">
        <v>7000226019</v>
      </c>
      <c r="B75" s="28" t="s">
        <v>606</v>
      </c>
      <c r="C75" s="28">
        <v>11173040301</v>
      </c>
      <c r="D75" s="48">
        <v>8010745566</v>
      </c>
      <c r="E75" s="28" t="s">
        <v>515</v>
      </c>
      <c r="F75" s="28" t="s">
        <v>516</v>
      </c>
      <c r="G75" s="28" t="s">
        <v>838</v>
      </c>
      <c r="H75" s="28"/>
      <c r="I75" s="28">
        <v>0.25</v>
      </c>
      <c r="J75" s="28" t="s">
        <v>515</v>
      </c>
      <c r="K75" s="48" t="s">
        <v>515</v>
      </c>
      <c r="L75" s="28" t="s">
        <v>544</v>
      </c>
      <c r="M75" s="28" t="s">
        <v>544</v>
      </c>
      <c r="N75" s="48" t="s">
        <v>343</v>
      </c>
      <c r="O75" s="48" t="s">
        <v>0</v>
      </c>
      <c r="P75" s="28" t="s">
        <v>629</v>
      </c>
      <c r="Q75" s="51">
        <v>7000226019</v>
      </c>
      <c r="R75" s="27">
        <v>111730403</v>
      </c>
      <c r="S75" s="51" t="s">
        <v>63</v>
      </c>
      <c r="T75" s="27" t="s">
        <v>630</v>
      </c>
      <c r="U75" s="51">
        <v>3</v>
      </c>
      <c r="V75" s="51">
        <v>3</v>
      </c>
      <c r="W75" s="51">
        <v>4</v>
      </c>
      <c r="X75" s="51" t="s">
        <v>54</v>
      </c>
      <c r="Y75" s="27"/>
      <c r="Z75" s="51" t="s">
        <v>99</v>
      </c>
      <c r="AA75" s="51" t="s">
        <v>83</v>
      </c>
      <c r="AB75" s="51" t="s">
        <v>140</v>
      </c>
      <c r="AC75" s="27">
        <v>1</v>
      </c>
      <c r="AD75" s="27">
        <v>1</v>
      </c>
      <c r="AE75" s="27">
        <v>5</v>
      </c>
      <c r="AF75" s="27" t="s">
        <v>545</v>
      </c>
      <c r="AG75" s="27">
        <v>10</v>
      </c>
    </row>
    <row r="76" spans="1:33" x14ac:dyDescent="0.55000000000000004">
      <c r="A76" s="28">
        <v>7000226019</v>
      </c>
      <c r="B76" s="28" t="s">
        <v>607</v>
      </c>
      <c r="C76" s="28">
        <v>11173050301</v>
      </c>
      <c r="D76" s="48">
        <v>8019471736</v>
      </c>
      <c r="E76" s="28" t="s">
        <v>515</v>
      </c>
      <c r="F76" s="28" t="s">
        <v>516</v>
      </c>
      <c r="G76" s="28" t="s">
        <v>838</v>
      </c>
      <c r="H76" s="28"/>
      <c r="I76" s="28">
        <v>0.25</v>
      </c>
      <c r="J76" s="28" t="s">
        <v>515</v>
      </c>
      <c r="K76" s="48" t="s">
        <v>515</v>
      </c>
      <c r="L76" s="28" t="s">
        <v>544</v>
      </c>
      <c r="M76" s="28" t="s">
        <v>544</v>
      </c>
      <c r="N76" s="48" t="s">
        <v>343</v>
      </c>
      <c r="O76" s="48" t="s">
        <v>0</v>
      </c>
      <c r="P76" s="28" t="s">
        <v>629</v>
      </c>
      <c r="Q76" s="51">
        <v>7000226019</v>
      </c>
      <c r="R76" s="27">
        <v>111730503</v>
      </c>
      <c r="S76" s="51" t="s">
        <v>63</v>
      </c>
      <c r="T76" s="27" t="s">
        <v>630</v>
      </c>
      <c r="U76" s="51">
        <v>3</v>
      </c>
      <c r="V76" s="51">
        <v>3</v>
      </c>
      <c r="W76" s="51">
        <v>5</v>
      </c>
      <c r="X76" s="51" t="s">
        <v>54</v>
      </c>
      <c r="Y76" s="27"/>
      <c r="Z76" s="51" t="s">
        <v>99</v>
      </c>
      <c r="AA76" s="51" t="s">
        <v>83</v>
      </c>
      <c r="AB76" s="51" t="s">
        <v>140</v>
      </c>
      <c r="AC76" s="27">
        <v>1</v>
      </c>
      <c r="AD76" s="27">
        <v>1</v>
      </c>
      <c r="AE76" s="27">
        <v>5</v>
      </c>
      <c r="AF76" s="27" t="s">
        <v>546</v>
      </c>
      <c r="AG76" s="27">
        <v>10</v>
      </c>
    </row>
    <row r="77" spans="1:33" x14ac:dyDescent="0.55000000000000004">
      <c r="A77" s="28">
        <v>7000226019</v>
      </c>
      <c r="B77" s="28" t="s">
        <v>608</v>
      </c>
      <c r="C77" s="28">
        <v>11173070301</v>
      </c>
      <c r="D77" s="48">
        <v>8010749443</v>
      </c>
      <c r="E77" s="28" t="s">
        <v>515</v>
      </c>
      <c r="F77" s="28" t="s">
        <v>516</v>
      </c>
      <c r="G77" s="28" t="s">
        <v>838</v>
      </c>
      <c r="H77" s="28"/>
      <c r="I77" s="28">
        <v>0.25</v>
      </c>
      <c r="J77" s="28" t="s">
        <v>515</v>
      </c>
      <c r="K77" s="48" t="s">
        <v>515</v>
      </c>
      <c r="L77" s="28" t="s">
        <v>544</v>
      </c>
      <c r="M77" s="28" t="s">
        <v>544</v>
      </c>
      <c r="N77" s="48" t="s">
        <v>343</v>
      </c>
      <c r="O77" s="48" t="s">
        <v>0</v>
      </c>
      <c r="P77" s="28" t="s">
        <v>629</v>
      </c>
      <c r="Q77" s="51">
        <v>7000226019</v>
      </c>
      <c r="R77" s="27">
        <v>111730703</v>
      </c>
      <c r="S77" s="51" t="s">
        <v>63</v>
      </c>
      <c r="T77" s="27" t="s">
        <v>630</v>
      </c>
      <c r="U77" s="51">
        <v>3</v>
      </c>
      <c r="V77" s="51">
        <v>3</v>
      </c>
      <c r="W77" s="51">
        <v>7</v>
      </c>
      <c r="X77" s="51" t="s">
        <v>54</v>
      </c>
      <c r="Y77" s="27"/>
      <c r="Z77" s="51" t="s">
        <v>99</v>
      </c>
      <c r="AA77" s="51" t="s">
        <v>83</v>
      </c>
      <c r="AB77" s="51" t="s">
        <v>140</v>
      </c>
      <c r="AC77" s="27">
        <v>1</v>
      </c>
      <c r="AD77" s="27">
        <v>1</v>
      </c>
      <c r="AE77" s="27">
        <v>5</v>
      </c>
      <c r="AF77" s="27" t="s">
        <v>547</v>
      </c>
      <c r="AG77" s="27">
        <v>10</v>
      </c>
    </row>
    <row r="78" spans="1:33" x14ac:dyDescent="0.55000000000000004">
      <c r="A78" s="28">
        <v>7000226019</v>
      </c>
      <c r="B78" s="28" t="s">
        <v>609</v>
      </c>
      <c r="C78" s="28">
        <v>11041010301</v>
      </c>
      <c r="D78" s="48">
        <v>8019471489</v>
      </c>
      <c r="E78" s="28" t="s">
        <v>515</v>
      </c>
      <c r="F78" s="28" t="s">
        <v>516</v>
      </c>
      <c r="G78" s="28" t="s">
        <v>845</v>
      </c>
      <c r="H78" s="28"/>
      <c r="I78" s="28">
        <v>0.25</v>
      </c>
      <c r="J78" s="28" t="s">
        <v>515</v>
      </c>
      <c r="K78" s="48" t="s">
        <v>515</v>
      </c>
      <c r="L78" s="28" t="s">
        <v>544</v>
      </c>
      <c r="M78" s="28" t="s">
        <v>544</v>
      </c>
      <c r="N78" s="48" t="s">
        <v>343</v>
      </c>
      <c r="O78" s="48" t="s">
        <v>0</v>
      </c>
      <c r="P78" s="28" t="s">
        <v>629</v>
      </c>
      <c r="Q78" s="51">
        <v>7000226019</v>
      </c>
      <c r="R78" s="27">
        <v>110410103</v>
      </c>
      <c r="S78" s="51" t="s">
        <v>63</v>
      </c>
      <c r="T78" s="27" t="s">
        <v>630</v>
      </c>
      <c r="U78" s="51">
        <v>3</v>
      </c>
      <c r="V78" s="51">
        <v>3</v>
      </c>
      <c r="W78" s="51">
        <v>1</v>
      </c>
      <c r="X78" s="51" t="s">
        <v>54</v>
      </c>
      <c r="Y78" s="27"/>
      <c r="Z78" s="51" t="s">
        <v>99</v>
      </c>
      <c r="AA78" s="51" t="s">
        <v>83</v>
      </c>
      <c r="AB78" s="51" t="s">
        <v>140</v>
      </c>
      <c r="AC78" s="27">
        <v>1</v>
      </c>
      <c r="AD78" s="27">
        <v>1</v>
      </c>
      <c r="AE78" s="27">
        <v>5</v>
      </c>
      <c r="AF78" s="27" t="s">
        <v>548</v>
      </c>
      <c r="AG78" s="27">
        <v>10</v>
      </c>
    </row>
    <row r="79" spans="1:33" x14ac:dyDescent="0.55000000000000004">
      <c r="A79" s="28">
        <v>7000226019</v>
      </c>
      <c r="B79" s="28" t="s">
        <v>610</v>
      </c>
      <c r="C79" s="28">
        <v>11041020301</v>
      </c>
      <c r="D79" s="48">
        <v>8010766232</v>
      </c>
      <c r="E79" s="28" t="s">
        <v>515</v>
      </c>
      <c r="F79" s="28" t="s">
        <v>516</v>
      </c>
      <c r="G79" s="28" t="s">
        <v>845</v>
      </c>
      <c r="H79" s="28"/>
      <c r="I79" s="28">
        <v>0.25</v>
      </c>
      <c r="J79" s="28" t="s">
        <v>515</v>
      </c>
      <c r="K79" s="48" t="s">
        <v>515</v>
      </c>
      <c r="L79" s="28" t="s">
        <v>544</v>
      </c>
      <c r="M79" s="28" t="s">
        <v>544</v>
      </c>
      <c r="N79" s="48" t="s">
        <v>343</v>
      </c>
      <c r="O79" s="48" t="s">
        <v>0</v>
      </c>
      <c r="P79" s="28" t="s">
        <v>629</v>
      </c>
      <c r="Q79" s="51">
        <v>7000226019</v>
      </c>
      <c r="R79" s="27">
        <v>110410203</v>
      </c>
      <c r="S79" s="51" t="s">
        <v>63</v>
      </c>
      <c r="T79" s="27" t="s">
        <v>630</v>
      </c>
      <c r="U79" s="51">
        <v>3</v>
      </c>
      <c r="V79" s="51">
        <v>3</v>
      </c>
      <c r="W79" s="51">
        <v>2</v>
      </c>
      <c r="X79" s="51" t="s">
        <v>54</v>
      </c>
      <c r="Y79" s="27"/>
      <c r="Z79" s="51" t="s">
        <v>99</v>
      </c>
      <c r="AA79" s="51" t="s">
        <v>83</v>
      </c>
      <c r="AB79" s="51" t="s">
        <v>140</v>
      </c>
      <c r="AC79" s="27">
        <v>1</v>
      </c>
      <c r="AD79" s="27">
        <v>1</v>
      </c>
      <c r="AE79" s="27">
        <v>5</v>
      </c>
      <c r="AF79" s="27" t="s">
        <v>549</v>
      </c>
      <c r="AG79" s="27">
        <v>10</v>
      </c>
    </row>
    <row r="80" spans="1:33" x14ac:dyDescent="0.55000000000000004">
      <c r="A80" s="28">
        <v>7000226019</v>
      </c>
      <c r="B80" s="28" t="s">
        <v>611</v>
      </c>
      <c r="C80" s="28">
        <v>11041030301</v>
      </c>
      <c r="D80" s="48">
        <v>8019471693</v>
      </c>
      <c r="E80" s="28" t="s">
        <v>515</v>
      </c>
      <c r="F80" s="28" t="s">
        <v>516</v>
      </c>
      <c r="G80" s="28" t="s">
        <v>845</v>
      </c>
      <c r="H80" s="28"/>
      <c r="I80" s="28">
        <v>0.25</v>
      </c>
      <c r="J80" s="28" t="s">
        <v>515</v>
      </c>
      <c r="K80" s="48" t="s">
        <v>515</v>
      </c>
      <c r="L80" s="28" t="s">
        <v>544</v>
      </c>
      <c r="M80" s="28" t="s">
        <v>544</v>
      </c>
      <c r="N80" s="48" t="s">
        <v>343</v>
      </c>
      <c r="O80" s="48" t="s">
        <v>0</v>
      </c>
      <c r="P80" s="28" t="s">
        <v>629</v>
      </c>
      <c r="Q80" s="51">
        <v>7000226019</v>
      </c>
      <c r="R80" s="27">
        <v>110410303</v>
      </c>
      <c r="S80" s="51" t="s">
        <v>63</v>
      </c>
      <c r="T80" s="27" t="s">
        <v>630</v>
      </c>
      <c r="U80" s="51">
        <v>3</v>
      </c>
      <c r="V80" s="51">
        <v>3</v>
      </c>
      <c r="W80" s="51">
        <v>3</v>
      </c>
      <c r="X80" s="51" t="s">
        <v>54</v>
      </c>
      <c r="Y80" s="27"/>
      <c r="Z80" s="51" t="s">
        <v>99</v>
      </c>
      <c r="AA80" s="51" t="s">
        <v>83</v>
      </c>
      <c r="AB80" s="51" t="s">
        <v>140</v>
      </c>
      <c r="AC80" s="27">
        <v>1</v>
      </c>
      <c r="AD80" s="27">
        <v>1</v>
      </c>
      <c r="AE80" s="27">
        <v>5</v>
      </c>
      <c r="AF80" s="27" t="s">
        <v>550</v>
      </c>
      <c r="AG80" s="27">
        <v>10</v>
      </c>
    </row>
    <row r="81" spans="1:33" x14ac:dyDescent="0.55000000000000004">
      <c r="A81" s="28">
        <v>7000226019</v>
      </c>
      <c r="B81" s="28" t="s">
        <v>612</v>
      </c>
      <c r="C81" s="28">
        <v>11041040301</v>
      </c>
      <c r="D81" s="48">
        <v>8010765856</v>
      </c>
      <c r="E81" s="28" t="s">
        <v>515</v>
      </c>
      <c r="F81" s="28" t="s">
        <v>516</v>
      </c>
      <c r="G81" s="28" t="s">
        <v>845</v>
      </c>
      <c r="H81" s="28"/>
      <c r="I81" s="28">
        <v>0.25</v>
      </c>
      <c r="J81" s="28" t="s">
        <v>515</v>
      </c>
      <c r="K81" s="48" t="s">
        <v>515</v>
      </c>
      <c r="L81" s="28" t="s">
        <v>544</v>
      </c>
      <c r="M81" s="28" t="s">
        <v>544</v>
      </c>
      <c r="N81" s="48" t="s">
        <v>343</v>
      </c>
      <c r="O81" s="48" t="s">
        <v>0</v>
      </c>
      <c r="P81" s="28" t="s">
        <v>629</v>
      </c>
      <c r="Q81" s="51">
        <v>7000226019</v>
      </c>
      <c r="R81" s="27">
        <v>110410403</v>
      </c>
      <c r="S81" s="51" t="s">
        <v>63</v>
      </c>
      <c r="T81" s="27" t="s">
        <v>630</v>
      </c>
      <c r="U81" s="51">
        <v>3</v>
      </c>
      <c r="V81" s="51">
        <v>3</v>
      </c>
      <c r="W81" s="51">
        <v>4</v>
      </c>
      <c r="X81" s="51" t="s">
        <v>54</v>
      </c>
      <c r="Y81" s="27"/>
      <c r="Z81" s="51" t="s">
        <v>99</v>
      </c>
      <c r="AA81" s="51" t="s">
        <v>83</v>
      </c>
      <c r="AB81" s="51" t="s">
        <v>140</v>
      </c>
      <c r="AC81" s="27">
        <v>1</v>
      </c>
      <c r="AD81" s="27">
        <v>1</v>
      </c>
      <c r="AE81" s="27">
        <v>5</v>
      </c>
      <c r="AF81" s="27" t="s">
        <v>551</v>
      </c>
      <c r="AG81" s="27">
        <v>10</v>
      </c>
    </row>
    <row r="82" spans="1:33" x14ac:dyDescent="0.55000000000000004">
      <c r="A82" s="28">
        <v>7000226019</v>
      </c>
      <c r="B82" s="28" t="s">
        <v>613</v>
      </c>
      <c r="C82" s="28">
        <v>11041050301</v>
      </c>
      <c r="D82" s="48">
        <v>8010766205</v>
      </c>
      <c r="E82" s="28" t="s">
        <v>515</v>
      </c>
      <c r="F82" s="28" t="s">
        <v>516</v>
      </c>
      <c r="G82" s="28" t="s">
        <v>845</v>
      </c>
      <c r="H82" s="28"/>
      <c r="I82" s="28">
        <v>0.25</v>
      </c>
      <c r="J82" s="28" t="s">
        <v>515</v>
      </c>
      <c r="K82" s="48" t="s">
        <v>515</v>
      </c>
      <c r="L82" s="28" t="s">
        <v>544</v>
      </c>
      <c r="M82" s="28" t="s">
        <v>544</v>
      </c>
      <c r="N82" s="48" t="s">
        <v>343</v>
      </c>
      <c r="O82" s="48" t="s">
        <v>0</v>
      </c>
      <c r="P82" s="28" t="s">
        <v>629</v>
      </c>
      <c r="Q82" s="51">
        <v>7000226019</v>
      </c>
      <c r="R82" s="27">
        <v>110410503</v>
      </c>
      <c r="S82" s="51" t="s">
        <v>63</v>
      </c>
      <c r="T82" s="27" t="s">
        <v>630</v>
      </c>
      <c r="U82" s="51">
        <v>3</v>
      </c>
      <c r="V82" s="51">
        <v>3</v>
      </c>
      <c r="W82" s="51">
        <v>5</v>
      </c>
      <c r="X82" s="51" t="s">
        <v>54</v>
      </c>
      <c r="Y82" s="27"/>
      <c r="Z82" s="51" t="s">
        <v>99</v>
      </c>
      <c r="AA82" s="51" t="s">
        <v>83</v>
      </c>
      <c r="AB82" s="51" t="s">
        <v>140</v>
      </c>
      <c r="AC82" s="27">
        <v>1</v>
      </c>
      <c r="AD82" s="27">
        <v>1</v>
      </c>
      <c r="AE82" s="27">
        <v>5</v>
      </c>
      <c r="AF82" s="27" t="s">
        <v>501</v>
      </c>
      <c r="AG82" s="27">
        <v>11</v>
      </c>
    </row>
    <row r="83" spans="1:33" x14ac:dyDescent="0.55000000000000004">
      <c r="A83" s="28">
        <v>7000226019</v>
      </c>
      <c r="B83" s="28" t="s">
        <v>614</v>
      </c>
      <c r="C83" s="28">
        <v>11041060301</v>
      </c>
      <c r="D83" s="48">
        <v>8010766405</v>
      </c>
      <c r="E83" s="28" t="s">
        <v>515</v>
      </c>
      <c r="F83" s="28" t="s">
        <v>516</v>
      </c>
      <c r="G83" s="28" t="s">
        <v>845</v>
      </c>
      <c r="H83" s="28"/>
      <c r="I83" s="28">
        <v>0.25</v>
      </c>
      <c r="J83" s="28" t="s">
        <v>515</v>
      </c>
      <c r="K83" s="48" t="s">
        <v>515</v>
      </c>
      <c r="L83" s="28" t="s">
        <v>544</v>
      </c>
      <c r="M83" s="28" t="s">
        <v>544</v>
      </c>
      <c r="N83" s="48" t="s">
        <v>343</v>
      </c>
      <c r="O83" s="48" t="s">
        <v>0</v>
      </c>
      <c r="P83" s="28" t="s">
        <v>629</v>
      </c>
      <c r="Q83" s="51">
        <v>7000226019</v>
      </c>
      <c r="R83" s="27">
        <v>110410603</v>
      </c>
      <c r="S83" s="51" t="s">
        <v>63</v>
      </c>
      <c r="T83" s="27" t="s">
        <v>630</v>
      </c>
      <c r="U83" s="51">
        <v>3</v>
      </c>
      <c r="V83" s="51">
        <v>3</v>
      </c>
      <c r="W83" s="51">
        <v>6</v>
      </c>
      <c r="X83" s="51" t="s">
        <v>54</v>
      </c>
      <c r="Y83" s="27"/>
      <c r="Z83" s="51" t="s">
        <v>99</v>
      </c>
      <c r="AA83" s="51" t="s">
        <v>83</v>
      </c>
      <c r="AB83" s="51" t="s">
        <v>140</v>
      </c>
      <c r="AC83" s="27">
        <v>1</v>
      </c>
      <c r="AD83" s="27">
        <v>1</v>
      </c>
      <c r="AE83" s="27">
        <v>5</v>
      </c>
      <c r="AF83" s="27" t="s">
        <v>545</v>
      </c>
      <c r="AG83" s="27">
        <v>11</v>
      </c>
    </row>
    <row r="84" spans="1:33" x14ac:dyDescent="0.55000000000000004">
      <c r="A84" s="28">
        <v>7000226019</v>
      </c>
      <c r="B84" s="28" t="s">
        <v>615</v>
      </c>
      <c r="C84" s="28">
        <v>11041070301</v>
      </c>
      <c r="D84" s="48">
        <v>8010747117</v>
      </c>
      <c r="E84" s="28" t="s">
        <v>515</v>
      </c>
      <c r="F84" s="28" t="s">
        <v>516</v>
      </c>
      <c r="G84" s="28" t="s">
        <v>845</v>
      </c>
      <c r="H84" s="28"/>
      <c r="I84" s="28">
        <v>0.25</v>
      </c>
      <c r="J84" s="28" t="s">
        <v>515</v>
      </c>
      <c r="K84" s="48" t="s">
        <v>515</v>
      </c>
      <c r="L84" s="28" t="s">
        <v>544</v>
      </c>
      <c r="M84" s="28" t="s">
        <v>544</v>
      </c>
      <c r="N84" s="48" t="s">
        <v>343</v>
      </c>
      <c r="O84" s="48" t="s">
        <v>0</v>
      </c>
      <c r="P84" s="28" t="s">
        <v>629</v>
      </c>
      <c r="Q84" s="51">
        <v>7000226019</v>
      </c>
      <c r="R84" s="27">
        <v>110410703</v>
      </c>
      <c r="S84" s="51" t="s">
        <v>63</v>
      </c>
      <c r="T84" s="27" t="s">
        <v>630</v>
      </c>
      <c r="U84" s="51">
        <v>3</v>
      </c>
      <c r="V84" s="51">
        <v>3</v>
      </c>
      <c r="W84" s="51">
        <v>7</v>
      </c>
      <c r="X84" s="51" t="s">
        <v>54</v>
      </c>
      <c r="Y84" s="27"/>
      <c r="Z84" s="51" t="s">
        <v>99</v>
      </c>
      <c r="AA84" s="51" t="s">
        <v>83</v>
      </c>
      <c r="AB84" s="51" t="s">
        <v>140</v>
      </c>
      <c r="AC84" s="27">
        <v>1</v>
      </c>
      <c r="AD84" s="27">
        <v>1</v>
      </c>
      <c r="AE84" s="27">
        <v>5</v>
      </c>
      <c r="AF84" s="27" t="s">
        <v>546</v>
      </c>
      <c r="AG84" s="27">
        <v>11</v>
      </c>
    </row>
    <row r="85" spans="1:33" x14ac:dyDescent="0.55000000000000004">
      <c r="A85" s="28">
        <v>7000226019</v>
      </c>
      <c r="B85" s="28" t="s">
        <v>616</v>
      </c>
      <c r="C85" s="28">
        <v>11042010301</v>
      </c>
      <c r="D85" s="48">
        <v>8010766520</v>
      </c>
      <c r="E85" s="28" t="s">
        <v>515</v>
      </c>
      <c r="F85" s="28" t="s">
        <v>516</v>
      </c>
      <c r="G85" s="28" t="s">
        <v>853</v>
      </c>
      <c r="H85" s="28"/>
      <c r="I85" s="28">
        <v>0.25</v>
      </c>
      <c r="J85" s="28" t="s">
        <v>515</v>
      </c>
      <c r="K85" s="48" t="s">
        <v>515</v>
      </c>
      <c r="L85" s="28" t="s">
        <v>544</v>
      </c>
      <c r="M85" s="28" t="s">
        <v>544</v>
      </c>
      <c r="N85" s="48" t="s">
        <v>343</v>
      </c>
      <c r="O85" s="48" t="s">
        <v>0</v>
      </c>
      <c r="P85" s="28" t="s">
        <v>629</v>
      </c>
      <c r="Q85" s="51">
        <v>7000226019</v>
      </c>
      <c r="R85" s="27">
        <v>110420103</v>
      </c>
      <c r="S85" s="51" t="s">
        <v>63</v>
      </c>
      <c r="T85" s="27" t="s">
        <v>630</v>
      </c>
      <c r="U85" s="51">
        <v>3</v>
      </c>
      <c r="V85" s="51">
        <v>3</v>
      </c>
      <c r="W85" s="51">
        <v>1</v>
      </c>
      <c r="X85" s="51" t="s">
        <v>54</v>
      </c>
      <c r="Y85" s="27"/>
      <c r="Z85" s="51" t="s">
        <v>99</v>
      </c>
      <c r="AA85" s="51" t="s">
        <v>83</v>
      </c>
      <c r="AB85" s="51" t="s">
        <v>140</v>
      </c>
      <c r="AC85" s="27">
        <v>1</v>
      </c>
      <c r="AD85" s="27">
        <v>1</v>
      </c>
      <c r="AE85" s="27">
        <v>5</v>
      </c>
      <c r="AF85" s="27" t="s">
        <v>547</v>
      </c>
      <c r="AG85" s="27">
        <v>11</v>
      </c>
    </row>
    <row r="86" spans="1:33" x14ac:dyDescent="0.55000000000000004">
      <c r="A86" s="28">
        <v>7000226019</v>
      </c>
      <c r="B86" s="28" t="s">
        <v>617</v>
      </c>
      <c r="C86" s="28">
        <v>11042020301</v>
      </c>
      <c r="D86" s="48">
        <v>8010766255</v>
      </c>
      <c r="E86" s="28" t="s">
        <v>515</v>
      </c>
      <c r="F86" s="28" t="s">
        <v>516</v>
      </c>
      <c r="G86" s="28" t="s">
        <v>853</v>
      </c>
      <c r="H86" s="28"/>
      <c r="I86" s="28">
        <v>0.25</v>
      </c>
      <c r="J86" s="28" t="s">
        <v>515</v>
      </c>
      <c r="K86" s="48" t="s">
        <v>515</v>
      </c>
      <c r="L86" s="28" t="s">
        <v>544</v>
      </c>
      <c r="M86" s="28" t="s">
        <v>544</v>
      </c>
      <c r="N86" s="48" t="s">
        <v>343</v>
      </c>
      <c r="O86" s="48" t="s">
        <v>0</v>
      </c>
      <c r="P86" s="28" t="s">
        <v>629</v>
      </c>
      <c r="Q86" s="51">
        <v>7000226019</v>
      </c>
      <c r="R86" s="27">
        <v>110420203</v>
      </c>
      <c r="S86" s="51" t="s">
        <v>63</v>
      </c>
      <c r="T86" s="27" t="s">
        <v>630</v>
      </c>
      <c r="U86" s="51">
        <v>3</v>
      </c>
      <c r="V86" s="51">
        <v>3</v>
      </c>
      <c r="W86" s="51">
        <v>2</v>
      </c>
      <c r="X86" s="51" t="s">
        <v>54</v>
      </c>
      <c r="Y86" s="27"/>
      <c r="Z86" s="51" t="s">
        <v>99</v>
      </c>
      <c r="AA86" s="51" t="s">
        <v>83</v>
      </c>
      <c r="AB86" s="51" t="s">
        <v>140</v>
      </c>
      <c r="AC86" s="27">
        <v>1</v>
      </c>
      <c r="AD86" s="27">
        <v>1</v>
      </c>
      <c r="AE86" s="27">
        <v>5</v>
      </c>
      <c r="AF86" s="27" t="s">
        <v>548</v>
      </c>
      <c r="AG86" s="27">
        <v>11</v>
      </c>
    </row>
    <row r="87" spans="1:33" x14ac:dyDescent="0.55000000000000004">
      <c r="A87" s="28">
        <v>7000226019</v>
      </c>
      <c r="B87" s="28" t="s">
        <v>618</v>
      </c>
      <c r="C87" s="28">
        <v>11042030301</v>
      </c>
      <c r="D87" s="48">
        <v>8010766178</v>
      </c>
      <c r="E87" s="28" t="s">
        <v>515</v>
      </c>
      <c r="F87" s="28" t="s">
        <v>516</v>
      </c>
      <c r="G87" s="28" t="s">
        <v>853</v>
      </c>
      <c r="H87" s="28"/>
      <c r="I87" s="28">
        <v>0.25</v>
      </c>
      <c r="J87" s="28" t="s">
        <v>515</v>
      </c>
      <c r="K87" s="48" t="s">
        <v>515</v>
      </c>
      <c r="L87" s="28" t="s">
        <v>544</v>
      </c>
      <c r="M87" s="28" t="s">
        <v>544</v>
      </c>
      <c r="N87" s="48" t="s">
        <v>343</v>
      </c>
      <c r="O87" s="48" t="s">
        <v>0</v>
      </c>
      <c r="P87" s="28" t="s">
        <v>629</v>
      </c>
      <c r="Q87" s="51">
        <v>7000226019</v>
      </c>
      <c r="R87" s="27">
        <v>110420303</v>
      </c>
      <c r="S87" s="51" t="s">
        <v>63</v>
      </c>
      <c r="T87" s="27" t="s">
        <v>630</v>
      </c>
      <c r="U87" s="51">
        <v>3</v>
      </c>
      <c r="V87" s="51">
        <v>3</v>
      </c>
      <c r="W87" s="51">
        <v>3</v>
      </c>
      <c r="X87" s="51" t="s">
        <v>54</v>
      </c>
      <c r="Y87" s="27"/>
      <c r="Z87" s="51" t="s">
        <v>99</v>
      </c>
      <c r="AA87" s="51" t="s">
        <v>83</v>
      </c>
      <c r="AB87" s="51" t="s">
        <v>140</v>
      </c>
      <c r="AC87" s="27">
        <v>1</v>
      </c>
      <c r="AD87" s="27">
        <v>1</v>
      </c>
      <c r="AE87" s="27">
        <v>5</v>
      </c>
      <c r="AF87" s="27" t="s">
        <v>549</v>
      </c>
      <c r="AG87" s="27">
        <v>11</v>
      </c>
    </row>
    <row r="88" spans="1:33" x14ac:dyDescent="0.55000000000000004">
      <c r="A88" s="28">
        <v>7000226019</v>
      </c>
      <c r="B88" s="28" t="s">
        <v>619</v>
      </c>
      <c r="C88" s="28">
        <v>11042050301</v>
      </c>
      <c r="D88" s="48">
        <v>8010765905</v>
      </c>
      <c r="E88" s="28" t="s">
        <v>515</v>
      </c>
      <c r="F88" s="28" t="s">
        <v>516</v>
      </c>
      <c r="G88" s="28" t="s">
        <v>853</v>
      </c>
      <c r="H88" s="28"/>
      <c r="I88" s="28">
        <v>0.25</v>
      </c>
      <c r="J88" s="28" t="s">
        <v>515</v>
      </c>
      <c r="K88" s="48" t="s">
        <v>515</v>
      </c>
      <c r="L88" s="28" t="s">
        <v>544</v>
      </c>
      <c r="M88" s="28" t="s">
        <v>544</v>
      </c>
      <c r="N88" s="48" t="s">
        <v>343</v>
      </c>
      <c r="O88" s="48" t="s">
        <v>0</v>
      </c>
      <c r="P88" s="28" t="s">
        <v>629</v>
      </c>
      <c r="Q88" s="51">
        <v>7000226019</v>
      </c>
      <c r="R88" s="27">
        <v>110420503</v>
      </c>
      <c r="S88" s="51" t="s">
        <v>63</v>
      </c>
      <c r="T88" s="27" t="s">
        <v>630</v>
      </c>
      <c r="U88" s="51">
        <v>3</v>
      </c>
      <c r="V88" s="51">
        <v>3</v>
      </c>
      <c r="W88" s="51">
        <v>5</v>
      </c>
      <c r="X88" s="51" t="s">
        <v>54</v>
      </c>
      <c r="Y88" s="27"/>
      <c r="Z88" s="51" t="s">
        <v>99</v>
      </c>
      <c r="AA88" s="51" t="s">
        <v>83</v>
      </c>
      <c r="AB88" s="51" t="s">
        <v>140</v>
      </c>
      <c r="AC88" s="27">
        <v>1</v>
      </c>
      <c r="AD88" s="27">
        <v>1</v>
      </c>
      <c r="AE88" s="27">
        <v>5</v>
      </c>
      <c r="AF88" s="27" t="s">
        <v>550</v>
      </c>
      <c r="AG88" s="27">
        <v>11</v>
      </c>
    </row>
    <row r="89" spans="1:33" x14ac:dyDescent="0.55000000000000004">
      <c r="A89" s="28">
        <v>7000226019</v>
      </c>
      <c r="B89" s="28" t="s">
        <v>620</v>
      </c>
      <c r="C89" s="28">
        <v>11042070301</v>
      </c>
      <c r="D89" s="48">
        <v>8010765872</v>
      </c>
      <c r="E89" s="28" t="s">
        <v>515</v>
      </c>
      <c r="F89" s="28" t="s">
        <v>516</v>
      </c>
      <c r="G89" s="28" t="s">
        <v>853</v>
      </c>
      <c r="H89" s="28"/>
      <c r="I89" s="28">
        <v>0.25</v>
      </c>
      <c r="J89" s="28" t="s">
        <v>515</v>
      </c>
      <c r="K89" s="48" t="s">
        <v>515</v>
      </c>
      <c r="L89" s="28" t="s">
        <v>544</v>
      </c>
      <c r="M89" s="28" t="s">
        <v>544</v>
      </c>
      <c r="N89" s="48" t="s">
        <v>343</v>
      </c>
      <c r="O89" s="48" t="s">
        <v>0</v>
      </c>
      <c r="P89" s="28" t="s">
        <v>629</v>
      </c>
      <c r="Q89" s="51">
        <v>7000226019</v>
      </c>
      <c r="R89" s="27">
        <v>110420703</v>
      </c>
      <c r="S89" s="51" t="s">
        <v>63</v>
      </c>
      <c r="T89" s="27" t="s">
        <v>630</v>
      </c>
      <c r="U89" s="51">
        <v>3</v>
      </c>
      <c r="V89" s="51">
        <v>3</v>
      </c>
      <c r="W89" s="51">
        <v>7</v>
      </c>
      <c r="X89" s="51" t="s">
        <v>54</v>
      </c>
      <c r="Y89" s="27"/>
      <c r="Z89" s="51" t="s">
        <v>99</v>
      </c>
      <c r="AA89" s="51" t="s">
        <v>83</v>
      </c>
      <c r="AB89" s="51" t="s">
        <v>140</v>
      </c>
      <c r="AC89" s="27">
        <v>1</v>
      </c>
      <c r="AD89" s="27">
        <v>1</v>
      </c>
      <c r="AE89" s="27">
        <v>5</v>
      </c>
      <c r="AF89" s="27" t="s">
        <v>551</v>
      </c>
      <c r="AG89" s="27">
        <v>11</v>
      </c>
    </row>
    <row r="90" spans="1:33" x14ac:dyDescent="0.55000000000000004">
      <c r="A90" s="28">
        <v>7000226019</v>
      </c>
      <c r="B90" s="28" t="s">
        <v>621</v>
      </c>
      <c r="C90" s="28">
        <v>11044010301</v>
      </c>
      <c r="D90" s="48">
        <v>8010766538</v>
      </c>
      <c r="E90" s="28" t="s">
        <v>515</v>
      </c>
      <c r="F90" s="28" t="s">
        <v>516</v>
      </c>
      <c r="G90" s="28" t="s">
        <v>859</v>
      </c>
      <c r="H90" s="28"/>
      <c r="I90" s="28">
        <v>0.25</v>
      </c>
      <c r="J90" s="28" t="s">
        <v>515</v>
      </c>
      <c r="K90" s="48" t="s">
        <v>515</v>
      </c>
      <c r="L90" s="28" t="s">
        <v>544</v>
      </c>
      <c r="M90" s="28" t="s">
        <v>544</v>
      </c>
      <c r="N90" s="48" t="s">
        <v>343</v>
      </c>
      <c r="O90" s="48" t="s">
        <v>0</v>
      </c>
      <c r="P90" s="28" t="s">
        <v>629</v>
      </c>
      <c r="Q90" s="51">
        <v>7000226019</v>
      </c>
      <c r="R90" s="27">
        <v>110440103</v>
      </c>
      <c r="S90" s="51" t="s">
        <v>63</v>
      </c>
      <c r="T90" s="27" t="s">
        <v>630</v>
      </c>
      <c r="U90" s="51">
        <v>3</v>
      </c>
      <c r="V90" s="51">
        <v>3</v>
      </c>
      <c r="W90" s="51">
        <v>1</v>
      </c>
      <c r="X90" s="51" t="s">
        <v>54</v>
      </c>
      <c r="Y90" s="27"/>
      <c r="Z90" s="51" t="s">
        <v>99</v>
      </c>
      <c r="AA90" s="51" t="s">
        <v>83</v>
      </c>
      <c r="AB90" s="51" t="s">
        <v>140</v>
      </c>
      <c r="AC90" s="27">
        <v>1</v>
      </c>
      <c r="AD90" s="27">
        <v>1</v>
      </c>
      <c r="AE90" s="27">
        <v>5</v>
      </c>
      <c r="AF90" s="27" t="s">
        <v>501</v>
      </c>
      <c r="AG90" s="27">
        <v>12</v>
      </c>
    </row>
    <row r="91" spans="1:33" x14ac:dyDescent="0.55000000000000004">
      <c r="A91" s="28">
        <v>7000226019</v>
      </c>
      <c r="B91" s="28" t="s">
        <v>622</v>
      </c>
      <c r="C91" s="28">
        <v>11044020301</v>
      </c>
      <c r="D91" s="48">
        <v>8019472086</v>
      </c>
      <c r="E91" s="28" t="s">
        <v>515</v>
      </c>
      <c r="F91" s="28" t="s">
        <v>516</v>
      </c>
      <c r="G91" s="28" t="s">
        <v>859</v>
      </c>
      <c r="H91" s="28"/>
      <c r="I91" s="28">
        <v>0.25</v>
      </c>
      <c r="J91" s="28" t="s">
        <v>515</v>
      </c>
      <c r="K91" s="48" t="s">
        <v>515</v>
      </c>
      <c r="L91" s="28" t="s">
        <v>544</v>
      </c>
      <c r="M91" s="28" t="s">
        <v>544</v>
      </c>
      <c r="N91" s="48" t="s">
        <v>343</v>
      </c>
      <c r="O91" s="48" t="s">
        <v>0</v>
      </c>
      <c r="P91" s="28" t="s">
        <v>629</v>
      </c>
      <c r="Q91" s="51">
        <v>7000226019</v>
      </c>
      <c r="R91" s="27">
        <v>110440203</v>
      </c>
      <c r="S91" s="51" t="s">
        <v>63</v>
      </c>
      <c r="T91" s="27" t="s">
        <v>630</v>
      </c>
      <c r="U91" s="51">
        <v>3</v>
      </c>
      <c r="V91" s="51">
        <v>3</v>
      </c>
      <c r="W91" s="51">
        <v>2</v>
      </c>
      <c r="X91" s="51" t="s">
        <v>54</v>
      </c>
      <c r="Y91" s="27"/>
      <c r="Z91" s="51" t="s">
        <v>99</v>
      </c>
      <c r="AA91" s="51" t="s">
        <v>83</v>
      </c>
      <c r="AB91" s="51" t="s">
        <v>140</v>
      </c>
      <c r="AC91" s="27">
        <v>1</v>
      </c>
      <c r="AD91" s="27">
        <v>1</v>
      </c>
      <c r="AE91" s="27">
        <v>5</v>
      </c>
      <c r="AF91" s="27" t="s">
        <v>545</v>
      </c>
      <c r="AG91" s="27">
        <v>12</v>
      </c>
    </row>
    <row r="92" spans="1:33" x14ac:dyDescent="0.55000000000000004">
      <c r="A92" s="28">
        <v>7000226019</v>
      </c>
      <c r="B92" s="28" t="s">
        <v>623</v>
      </c>
      <c r="C92" s="28">
        <v>11044030301</v>
      </c>
      <c r="D92" s="48">
        <v>8010766114</v>
      </c>
      <c r="E92" s="28" t="s">
        <v>515</v>
      </c>
      <c r="F92" s="28" t="s">
        <v>516</v>
      </c>
      <c r="G92" s="28" t="s">
        <v>859</v>
      </c>
      <c r="H92" s="28"/>
      <c r="I92" s="28">
        <v>0.25</v>
      </c>
      <c r="J92" s="28" t="s">
        <v>515</v>
      </c>
      <c r="K92" s="48" t="s">
        <v>515</v>
      </c>
      <c r="L92" s="28" t="s">
        <v>544</v>
      </c>
      <c r="M92" s="28" t="s">
        <v>544</v>
      </c>
      <c r="N92" s="48" t="s">
        <v>343</v>
      </c>
      <c r="O92" s="48" t="s">
        <v>0</v>
      </c>
      <c r="P92" s="28" t="s">
        <v>629</v>
      </c>
      <c r="Q92" s="51">
        <v>7000226019</v>
      </c>
      <c r="R92" s="27">
        <v>110440303</v>
      </c>
      <c r="S92" s="51" t="s">
        <v>63</v>
      </c>
      <c r="T92" s="27" t="s">
        <v>630</v>
      </c>
      <c r="U92" s="51">
        <v>3</v>
      </c>
      <c r="V92" s="51">
        <v>3</v>
      </c>
      <c r="W92" s="51">
        <v>3</v>
      </c>
      <c r="X92" s="51" t="s">
        <v>54</v>
      </c>
      <c r="Y92" s="27"/>
      <c r="Z92" s="51" t="s">
        <v>99</v>
      </c>
      <c r="AA92" s="51" t="s">
        <v>83</v>
      </c>
      <c r="AB92" s="51" t="s">
        <v>140</v>
      </c>
      <c r="AC92" s="27">
        <v>1</v>
      </c>
      <c r="AD92" s="27">
        <v>1</v>
      </c>
      <c r="AE92" s="27">
        <v>5</v>
      </c>
      <c r="AF92" s="27" t="s">
        <v>546</v>
      </c>
      <c r="AG92" s="27">
        <v>12</v>
      </c>
    </row>
    <row r="93" spans="1:33" x14ac:dyDescent="0.55000000000000004">
      <c r="A93" s="28">
        <v>7000226019</v>
      </c>
      <c r="B93" s="28" t="s">
        <v>624</v>
      </c>
      <c r="C93" s="28">
        <v>11044040301</v>
      </c>
      <c r="D93" s="48">
        <v>8010765874</v>
      </c>
      <c r="E93" s="28" t="s">
        <v>515</v>
      </c>
      <c r="F93" s="28" t="s">
        <v>516</v>
      </c>
      <c r="G93" s="28" t="s">
        <v>859</v>
      </c>
      <c r="H93" s="28"/>
      <c r="I93" s="28">
        <v>0.25</v>
      </c>
      <c r="J93" s="28" t="s">
        <v>515</v>
      </c>
      <c r="K93" s="48" t="s">
        <v>515</v>
      </c>
      <c r="L93" s="28" t="s">
        <v>544</v>
      </c>
      <c r="M93" s="28" t="s">
        <v>544</v>
      </c>
      <c r="N93" s="48" t="s">
        <v>343</v>
      </c>
      <c r="O93" s="48" t="s">
        <v>0</v>
      </c>
      <c r="P93" s="28" t="s">
        <v>629</v>
      </c>
      <c r="Q93" s="51">
        <v>7000226019</v>
      </c>
      <c r="R93" s="27">
        <v>110440403</v>
      </c>
      <c r="S93" s="51" t="s">
        <v>63</v>
      </c>
      <c r="T93" s="27" t="s">
        <v>630</v>
      </c>
      <c r="U93" s="51">
        <v>3</v>
      </c>
      <c r="V93" s="51">
        <v>3</v>
      </c>
      <c r="W93" s="51">
        <v>4</v>
      </c>
      <c r="X93" s="51" t="s">
        <v>54</v>
      </c>
      <c r="Y93" s="27"/>
      <c r="Z93" s="51" t="s">
        <v>99</v>
      </c>
      <c r="AA93" s="51" t="s">
        <v>83</v>
      </c>
      <c r="AB93" s="51" t="s">
        <v>140</v>
      </c>
      <c r="AC93" s="27">
        <v>1</v>
      </c>
      <c r="AD93" s="27">
        <v>1</v>
      </c>
      <c r="AE93" s="27">
        <v>5</v>
      </c>
      <c r="AF93" s="27" t="s">
        <v>547</v>
      </c>
      <c r="AG93" s="27">
        <v>12</v>
      </c>
    </row>
    <row r="94" spans="1:33" x14ac:dyDescent="0.55000000000000004">
      <c r="A94" s="28">
        <v>7000226019</v>
      </c>
      <c r="B94" s="28" t="s">
        <v>625</v>
      </c>
      <c r="C94" s="28">
        <v>11044050301</v>
      </c>
      <c r="D94" s="48">
        <v>8010766112</v>
      </c>
      <c r="E94" s="28" t="s">
        <v>515</v>
      </c>
      <c r="F94" s="28" t="s">
        <v>516</v>
      </c>
      <c r="G94" s="28" t="s">
        <v>859</v>
      </c>
      <c r="H94" s="28"/>
      <c r="I94" s="28">
        <v>0.25</v>
      </c>
      <c r="J94" s="28" t="s">
        <v>515</v>
      </c>
      <c r="K94" s="48" t="s">
        <v>515</v>
      </c>
      <c r="L94" s="28" t="s">
        <v>544</v>
      </c>
      <c r="M94" s="28" t="s">
        <v>544</v>
      </c>
      <c r="N94" s="48" t="s">
        <v>343</v>
      </c>
      <c r="O94" s="48" t="s">
        <v>0</v>
      </c>
      <c r="P94" s="28" t="s">
        <v>629</v>
      </c>
      <c r="Q94" s="51">
        <v>7000226019</v>
      </c>
      <c r="R94" s="27">
        <v>110440503</v>
      </c>
      <c r="S94" s="51" t="s">
        <v>63</v>
      </c>
      <c r="T94" s="27" t="s">
        <v>630</v>
      </c>
      <c r="U94" s="51">
        <v>3</v>
      </c>
      <c r="V94" s="51">
        <v>3</v>
      </c>
      <c r="W94" s="51">
        <v>5</v>
      </c>
      <c r="X94" s="51" t="s">
        <v>54</v>
      </c>
      <c r="Y94" s="27"/>
      <c r="Z94" s="51" t="s">
        <v>99</v>
      </c>
      <c r="AA94" s="51" t="s">
        <v>83</v>
      </c>
      <c r="AB94" s="51" t="s">
        <v>140</v>
      </c>
      <c r="AC94" s="27">
        <v>1</v>
      </c>
      <c r="AD94" s="27">
        <v>1</v>
      </c>
      <c r="AE94" s="27">
        <v>5</v>
      </c>
      <c r="AF94" s="27" t="s">
        <v>548</v>
      </c>
      <c r="AG94" s="27">
        <v>12</v>
      </c>
    </row>
    <row r="95" spans="1:33" x14ac:dyDescent="0.55000000000000004">
      <c r="A95" s="28">
        <v>7000226019</v>
      </c>
      <c r="B95" s="28" t="s">
        <v>626</v>
      </c>
      <c r="C95" s="28">
        <v>11238050301</v>
      </c>
      <c r="D95" s="48">
        <v>8038293775</v>
      </c>
      <c r="E95" s="28" t="s">
        <v>515</v>
      </c>
      <c r="F95" s="28" t="s">
        <v>516</v>
      </c>
      <c r="G95" s="28" t="s">
        <v>865</v>
      </c>
      <c r="H95" s="28"/>
      <c r="I95" s="28">
        <v>0.25</v>
      </c>
      <c r="J95" s="28" t="s">
        <v>515</v>
      </c>
      <c r="K95" s="48" t="s">
        <v>515</v>
      </c>
      <c r="L95" s="28" t="s">
        <v>544</v>
      </c>
      <c r="M95" s="28" t="s">
        <v>544</v>
      </c>
      <c r="N95" s="48" t="s">
        <v>343</v>
      </c>
      <c r="O95" s="48" t="s">
        <v>0</v>
      </c>
      <c r="P95" s="28" t="s">
        <v>629</v>
      </c>
      <c r="Q95" s="51">
        <v>7000226019</v>
      </c>
      <c r="R95" s="27">
        <v>112380503</v>
      </c>
      <c r="S95" s="51" t="s">
        <v>63</v>
      </c>
      <c r="T95" s="27" t="s">
        <v>630</v>
      </c>
      <c r="U95" s="51">
        <v>3</v>
      </c>
      <c r="V95" s="51">
        <v>3</v>
      </c>
      <c r="W95" s="51">
        <v>5</v>
      </c>
      <c r="X95" s="51" t="s">
        <v>54</v>
      </c>
      <c r="Y95" s="27"/>
      <c r="Z95" s="51" t="s">
        <v>99</v>
      </c>
      <c r="AA95" s="51" t="s">
        <v>83</v>
      </c>
      <c r="AB95" s="51" t="s">
        <v>140</v>
      </c>
      <c r="AC95" s="27">
        <v>1</v>
      </c>
      <c r="AD95" s="27">
        <v>1</v>
      </c>
      <c r="AE95" s="27">
        <v>5</v>
      </c>
      <c r="AF95" s="27" t="s">
        <v>549</v>
      </c>
      <c r="AG95" s="27">
        <v>12</v>
      </c>
    </row>
    <row r="96" spans="1:33" x14ac:dyDescent="0.55000000000000004">
      <c r="A96" s="28">
        <v>7000226019</v>
      </c>
      <c r="B96" s="28" t="s">
        <v>627</v>
      </c>
      <c r="C96" s="28">
        <v>11238070301</v>
      </c>
      <c r="D96" s="48">
        <v>8038300361</v>
      </c>
      <c r="E96" s="28" t="s">
        <v>515</v>
      </c>
      <c r="F96" s="28" t="s">
        <v>516</v>
      </c>
      <c r="G96" s="28" t="s">
        <v>865</v>
      </c>
      <c r="H96" s="28"/>
      <c r="I96" s="28">
        <v>0.25</v>
      </c>
      <c r="J96" s="28" t="s">
        <v>515</v>
      </c>
      <c r="K96" s="48" t="s">
        <v>515</v>
      </c>
      <c r="L96" s="28" t="s">
        <v>544</v>
      </c>
      <c r="M96" s="28" t="s">
        <v>544</v>
      </c>
      <c r="N96" s="48" t="s">
        <v>343</v>
      </c>
      <c r="O96" s="48" t="s">
        <v>0</v>
      </c>
      <c r="P96" s="28" t="s">
        <v>629</v>
      </c>
      <c r="Q96" s="51">
        <v>7000226019</v>
      </c>
      <c r="R96" s="27">
        <v>112380703</v>
      </c>
      <c r="S96" s="51" t="s">
        <v>63</v>
      </c>
      <c r="T96" s="27" t="s">
        <v>630</v>
      </c>
      <c r="U96" s="51">
        <v>3</v>
      </c>
      <c r="V96" s="51">
        <v>3</v>
      </c>
      <c r="W96" s="51">
        <v>7</v>
      </c>
      <c r="X96" s="51" t="s">
        <v>54</v>
      </c>
      <c r="Y96" s="27"/>
      <c r="Z96" s="51" t="s">
        <v>99</v>
      </c>
      <c r="AA96" s="51" t="s">
        <v>83</v>
      </c>
      <c r="AB96" s="51" t="s">
        <v>140</v>
      </c>
      <c r="AC96" s="27">
        <v>1</v>
      </c>
      <c r="AD96" s="27">
        <v>1</v>
      </c>
      <c r="AE96" s="27">
        <v>5</v>
      </c>
      <c r="AF96" s="27" t="s">
        <v>550</v>
      </c>
      <c r="AG96" s="27">
        <v>12</v>
      </c>
    </row>
    <row r="97" spans="1:33" x14ac:dyDescent="0.55000000000000004">
      <c r="A97" s="28">
        <v>7000226019</v>
      </c>
      <c r="B97" s="28" t="s">
        <v>628</v>
      </c>
      <c r="C97" s="28">
        <v>11239010301</v>
      </c>
      <c r="D97" s="48">
        <v>8038293680</v>
      </c>
      <c r="E97" s="28" t="s">
        <v>515</v>
      </c>
      <c r="F97" s="28" t="s">
        <v>516</v>
      </c>
      <c r="G97" s="28" t="s">
        <v>868</v>
      </c>
      <c r="H97" s="28"/>
      <c r="I97" s="28">
        <v>0.25</v>
      </c>
      <c r="J97" s="28" t="s">
        <v>515</v>
      </c>
      <c r="K97" s="48" t="s">
        <v>515</v>
      </c>
      <c r="L97" s="28" t="s">
        <v>544</v>
      </c>
      <c r="M97" s="28" t="s">
        <v>544</v>
      </c>
      <c r="N97" s="48" t="s">
        <v>343</v>
      </c>
      <c r="O97" s="48" t="s">
        <v>0</v>
      </c>
      <c r="P97" s="28" t="s">
        <v>629</v>
      </c>
      <c r="Q97" s="51">
        <v>7000226019</v>
      </c>
      <c r="R97" s="27">
        <v>112390103</v>
      </c>
      <c r="S97" s="51" t="s">
        <v>63</v>
      </c>
      <c r="T97" s="27" t="s">
        <v>630</v>
      </c>
      <c r="U97" s="51">
        <v>3</v>
      </c>
      <c r="V97" s="51">
        <v>3</v>
      </c>
      <c r="W97" s="51">
        <v>1</v>
      </c>
      <c r="X97" s="51" t="s">
        <v>54</v>
      </c>
      <c r="Y97" s="27"/>
      <c r="Z97" s="51" t="s">
        <v>99</v>
      </c>
      <c r="AA97" s="51" t="s">
        <v>83</v>
      </c>
      <c r="AB97" s="51" t="s">
        <v>140</v>
      </c>
      <c r="AC97" s="27">
        <v>1</v>
      </c>
      <c r="AD97" s="27">
        <v>1</v>
      </c>
      <c r="AE97" s="27">
        <v>5</v>
      </c>
      <c r="AF97" s="27" t="s">
        <v>551</v>
      </c>
      <c r="AG97" s="27">
        <v>12</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4">
        <x14:dataValidation type="list" errorStyle="information" allowBlank="1" showInputMessage="1" showErrorMessage="1" xr:uid="{3B71ADC2-FCFE-43FD-BC98-D24DC516EC5A}">
          <x14:formula1>
            <xm:f>Dictionary!$AS$3:$AS$11</xm:f>
          </x14:formula1>
          <xm:sqref>AK2:AK1048576</xm:sqref>
        </x14:dataValidation>
        <x14:dataValidation type="list" errorStyle="information" allowBlank="1" showInputMessage="1" showErrorMessage="1" xr:uid="{D0138E60-BB8A-44F8-8D14-1D4F225484E7}">
          <x14:formula1>
            <xm:f>Dictionary!$AK$3:$AK$7</xm:f>
          </x14:formula1>
          <xm:sqref>N2:N1048576</xm:sqref>
        </x14:dataValidation>
        <x14:dataValidation type="list" errorStyle="information" allowBlank="1" showInputMessage="1" showErrorMessage="1" xr:uid="{FE0B6FE8-2C7A-4F93-909D-CDEC30C3D75A}">
          <x14:formula1>
            <xm:f>Dictionary!$M$3:$M$31</xm:f>
          </x14:formula1>
          <xm:sqref>X2:X1048576</xm:sqref>
        </x14:dataValidation>
        <x14:dataValidation type="list" errorStyle="information" allowBlank="1" showInputMessage="1" showErrorMessage="1" xr:uid="{C705FC3F-9D2A-4860-87AB-1D6279778FD7}">
          <x14:formula1>
            <xm:f>Dictionary!$Y$3:$Y$8</xm:f>
          </x14:formula1>
          <xm:sqref>AA2:AA1048576</xm:sqref>
        </x14:dataValidation>
        <x14:dataValidation type="list" errorStyle="information" allowBlank="1" showInputMessage="1" showErrorMessage="1" xr:uid="{CF795F7A-11E2-4153-B4E2-A11F98027D16}">
          <x14:formula1>
            <xm:f>Dictionary!$E$3:$E$10</xm:f>
          </x14:formula1>
          <xm:sqref>O2:O1048576</xm:sqref>
        </x14:dataValidation>
        <x14:dataValidation type="list" errorStyle="information" allowBlank="1" showInputMessage="1" showErrorMessage="1" xr:uid="{E1651DE2-9AEE-40B8-93CD-DF1D11FF31AC}">
          <x14:formula1>
            <xm:f>Dictionary!$U$3:$U$28</xm:f>
          </x14:formula1>
          <xm:sqref>S2:S1048576</xm:sqref>
        </x14:dataValidation>
        <x14:dataValidation type="list" errorStyle="information" allowBlank="1" showInputMessage="1" showErrorMessage="1" xr:uid="{88C19807-D148-4A4C-9A1E-403D3643AC39}">
          <x14:formula1>
            <xm:f>Dictionary!$AS$3:$AS$18</xm:f>
          </x14:formula1>
          <xm:sqref>AB2:AB1048576</xm:sqref>
        </x14:dataValidation>
        <x14:dataValidation type="list" errorStyle="information" allowBlank="1" showInputMessage="1" showErrorMessage="1" xr:uid="{5CDB6DBB-04F5-4E4A-9E46-1306275B16C6}">
          <x14:formula1>
            <xm:f>Dictionary!$AG$3:$AG$5</xm:f>
          </x14:formula1>
          <xm:sqref>Z2:Z1048576</xm:sqref>
        </x14:dataValidation>
        <x14:dataValidation type="list" errorStyle="information" allowBlank="1" showInputMessage="1" showErrorMessage="1" xr:uid="{DC07A3B7-9493-4E14-8B80-9C4D0B2BB8A0}">
          <x14:formula1>
            <xm:f>Dictionary!$Q$3:$Q$8</xm:f>
          </x14:formula1>
          <xm:sqref>K2:K1048576</xm:sqref>
        </x14:dataValidation>
        <x14:dataValidation type="list" errorStyle="information" allowBlank="1" showInputMessage="1" showErrorMessage="1" xr:uid="{7B31181F-0B36-4FE1-B78D-585F403D4270}">
          <x14:formula1>
            <xm:f>Dictionary!$I$3:$I$109</xm:f>
          </x14:formula1>
          <xm:sqref>U2:U1048576</xm:sqref>
        </x14:dataValidation>
        <x14:dataValidation type="list" errorStyle="information" allowBlank="1" showInputMessage="1" showErrorMessage="1" xr:uid="{ABB08973-1F3E-4390-BC0D-B45725284C7D}">
          <x14:formula1>
            <xm:f>Dictionary!$BE$3:$BE$74</xm:f>
          </x14:formula1>
          <xm:sqref>V2:V1048576</xm:sqref>
        </x14:dataValidation>
        <x14:dataValidation type="list" errorStyle="information" allowBlank="1" showInputMessage="1" showErrorMessage="1" xr:uid="{8F5CC4DE-5964-4663-9DDB-D417E1535B3F}">
          <x14:formula1>
            <xm:f>Dictionary!$A$3:$A$107</xm:f>
          </x14:formula1>
          <xm:sqref>W2:W1048576</xm:sqref>
        </x14:dataValidation>
        <x14:dataValidation type="list" errorStyle="information" allowBlank="1" showInputMessage="1" showErrorMessage="1" xr:uid="{19F69B84-9177-4BA1-AD57-EC524CC17D80}">
          <x14:formula1>
            <xm:f>Dictionary!$AW$3:$AW$98</xm:f>
          </x14:formula1>
          <xm:sqref>D2:D1048576</xm:sqref>
        </x14:dataValidation>
        <x14:dataValidation type="list" errorStyle="information" allowBlank="1" showInputMessage="1" showErrorMessage="1" xr:uid="{1532C7FF-3347-41AF-85B6-CFF6ACF3549A}">
          <x14:formula1>
            <xm:f>Dictionary!$BA$3</xm:f>
          </x14:formula1>
          <xm:sqref>Q2:Q1048576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97"/>
  <sheetViews>
    <sheetView workbookViewId="0"/>
  </sheetViews>
  <sheetFormatPr defaultColWidth="24.7890625" defaultRowHeight="14.4" x14ac:dyDescent="0.55000000000000004"/>
  <cols>
    <col min="1" max="2" width="24.7890625" style="24"/>
    <col min="3" max="3" width="40.5234375" style="24" customWidth="1"/>
    <col min="4" max="10" width="24.7890625" style="24"/>
    <col min="11" max="11" width="35.20703125" style="24" customWidth="1"/>
    <col min="12" max="16" width="24.7890625" style="24"/>
    <col min="17" max="16384" width="24.7890625" style="25"/>
  </cols>
  <sheetData>
    <row r="1" spans="1:33" x14ac:dyDescent="0.55000000000000004">
      <c r="A1" s="24" t="s">
        <v>504</v>
      </c>
      <c r="B1" s="24" t="s">
        <v>505</v>
      </c>
      <c r="C1" s="24" t="s">
        <v>398</v>
      </c>
      <c r="D1" s="24" t="s">
        <v>138</v>
      </c>
      <c r="E1" s="24" t="s">
        <v>631</v>
      </c>
      <c r="F1" s="24" t="s">
        <v>508</v>
      </c>
      <c r="G1" s="24" t="s">
        <v>399</v>
      </c>
      <c r="H1" s="24" t="s">
        <v>509</v>
      </c>
      <c r="I1" s="24" t="s">
        <v>510</v>
      </c>
      <c r="J1" s="24" t="s">
        <v>400</v>
      </c>
      <c r="K1" s="24" t="s">
        <v>6</v>
      </c>
      <c r="L1" s="24" t="s">
        <v>401</v>
      </c>
      <c r="M1" s="24" t="s">
        <v>402</v>
      </c>
      <c r="N1" s="24" t="s">
        <v>9</v>
      </c>
      <c r="O1" s="24" t="s">
        <v>4</v>
      </c>
      <c r="P1" s="24" t="s">
        <v>404</v>
      </c>
      <c r="Q1" s="25" t="s">
        <v>198</v>
      </c>
      <c r="R1" s="25" t="s">
        <v>405</v>
      </c>
      <c r="S1" s="25" t="s">
        <v>5</v>
      </c>
      <c r="T1" s="25" t="s">
        <v>512</v>
      </c>
      <c r="U1" s="25" t="s">
        <v>133</v>
      </c>
      <c r="V1" s="25" t="s">
        <v>262</v>
      </c>
      <c r="W1" s="25" t="s">
        <v>7</v>
      </c>
      <c r="X1" s="25" t="s">
        <v>408</v>
      </c>
      <c r="Y1" s="25" t="s">
        <v>513</v>
      </c>
      <c r="Z1" s="25" t="s">
        <v>93</v>
      </c>
      <c r="AA1" s="25" t="s">
        <v>8</v>
      </c>
      <c r="AB1" s="25" t="s">
        <v>139</v>
      </c>
      <c r="AC1" s="25" t="s">
        <v>412</v>
      </c>
      <c r="AD1" s="25" t="s">
        <v>413</v>
      </c>
      <c r="AE1" s="25" t="s">
        <v>414</v>
      </c>
      <c r="AF1" s="25" t="s">
        <v>415</v>
      </c>
      <c r="AG1" s="25" t="s">
        <v>416</v>
      </c>
    </row>
    <row r="2" spans="1:33" x14ac:dyDescent="0.55000000000000004">
      <c r="A2" s="28" t="s">
        <v>754</v>
      </c>
      <c r="B2" s="28" t="s">
        <v>260</v>
      </c>
      <c r="C2" s="28" t="s">
        <v>756</v>
      </c>
      <c r="D2" s="48" t="s">
        <v>658</v>
      </c>
      <c r="E2" s="28" t="s">
        <v>515</v>
      </c>
      <c r="F2" s="28" t="s">
        <v>516</v>
      </c>
      <c r="G2" s="28" t="s">
        <v>755</v>
      </c>
      <c r="H2" s="28" t="s">
        <v>543</v>
      </c>
      <c r="I2" s="28" t="s">
        <v>544</v>
      </c>
      <c r="J2" s="28" t="s">
        <v>515</v>
      </c>
      <c r="K2" s="48" t="s">
        <v>69</v>
      </c>
      <c r="L2" s="28" t="s">
        <v>544</v>
      </c>
      <c r="M2" s="28" t="s">
        <v>544</v>
      </c>
      <c r="N2" s="48" t="s">
        <v>343</v>
      </c>
      <c r="O2" s="48" t="s">
        <v>0</v>
      </c>
      <c r="P2" s="28" t="s">
        <v>629</v>
      </c>
      <c r="Q2" s="51">
        <v>7000226019</v>
      </c>
      <c r="R2" s="27">
        <v>113030103</v>
      </c>
      <c r="S2" s="51" t="s">
        <v>63</v>
      </c>
      <c r="T2" s="27" t="s">
        <v>630</v>
      </c>
      <c r="U2" s="51" t="s">
        <v>267</v>
      </c>
      <c r="V2" s="51" t="s">
        <v>327</v>
      </c>
      <c r="W2" s="51" t="s">
        <v>650</v>
      </c>
      <c r="X2" s="51" t="s">
        <v>45</v>
      </c>
      <c r="Y2" s="27"/>
      <c r="Z2" s="51" t="s">
        <v>99</v>
      </c>
      <c r="AA2" s="51" t="s">
        <v>83</v>
      </c>
      <c r="AB2" s="51" t="s">
        <v>140</v>
      </c>
      <c r="AC2" s="27">
        <v>1</v>
      </c>
      <c r="AD2" s="27">
        <v>1</v>
      </c>
      <c r="AE2" s="27">
        <v>5</v>
      </c>
      <c r="AF2" s="27" t="s">
        <v>501</v>
      </c>
      <c r="AG2" s="27">
        <v>1</v>
      </c>
    </row>
    <row r="3" spans="1:33" x14ac:dyDescent="0.55000000000000004">
      <c r="A3" s="28" t="s">
        <v>754</v>
      </c>
      <c r="B3" s="28" t="s">
        <v>517</v>
      </c>
      <c r="C3" s="28" t="s">
        <v>757</v>
      </c>
      <c r="D3" s="48" t="s">
        <v>659</v>
      </c>
      <c r="E3" s="28" t="s">
        <v>515</v>
      </c>
      <c r="F3" s="28" t="s">
        <v>516</v>
      </c>
      <c r="G3" s="28" t="s">
        <v>755</v>
      </c>
      <c r="H3" s="28" t="s">
        <v>543</v>
      </c>
      <c r="I3" s="28" t="s">
        <v>544</v>
      </c>
      <c r="J3" s="28" t="s">
        <v>515</v>
      </c>
      <c r="K3" s="48" t="s">
        <v>69</v>
      </c>
      <c r="L3" s="28" t="s">
        <v>544</v>
      </c>
      <c r="M3" s="28" t="s">
        <v>544</v>
      </c>
      <c r="N3" s="48" t="s">
        <v>343</v>
      </c>
      <c r="O3" s="48" t="s">
        <v>0</v>
      </c>
      <c r="P3" s="28" t="s">
        <v>629</v>
      </c>
      <c r="Q3" s="51">
        <v>7000226019</v>
      </c>
      <c r="R3" s="27">
        <v>113030403</v>
      </c>
      <c r="S3" s="51" t="s">
        <v>63</v>
      </c>
      <c r="T3" s="27" t="s">
        <v>630</v>
      </c>
      <c r="U3" s="51" t="s">
        <v>267</v>
      </c>
      <c r="V3" s="51" t="s">
        <v>327</v>
      </c>
      <c r="W3" s="51" t="s">
        <v>653</v>
      </c>
      <c r="X3" s="51" t="s">
        <v>45</v>
      </c>
      <c r="Y3" s="27"/>
      <c r="Z3" s="51" t="s">
        <v>99</v>
      </c>
      <c r="AA3" s="51" t="s">
        <v>83</v>
      </c>
      <c r="AB3" s="51" t="s">
        <v>140</v>
      </c>
      <c r="AC3" s="27">
        <v>1</v>
      </c>
      <c r="AD3" s="27">
        <v>1</v>
      </c>
      <c r="AE3" s="27">
        <v>5</v>
      </c>
      <c r="AF3" s="27" t="s">
        <v>545</v>
      </c>
      <c r="AG3" s="27">
        <v>1</v>
      </c>
    </row>
    <row r="4" spans="1:33" x14ac:dyDescent="0.55000000000000004">
      <c r="A4" s="28" t="s">
        <v>754</v>
      </c>
      <c r="B4" s="28" t="s">
        <v>518</v>
      </c>
      <c r="C4" s="28" t="s">
        <v>758</v>
      </c>
      <c r="D4" s="48" t="s">
        <v>660</v>
      </c>
      <c r="E4" s="28" t="s">
        <v>515</v>
      </c>
      <c r="F4" s="28" t="s">
        <v>516</v>
      </c>
      <c r="G4" s="28" t="s">
        <v>755</v>
      </c>
      <c r="H4" s="28" t="s">
        <v>543</v>
      </c>
      <c r="I4" s="28" t="s">
        <v>544</v>
      </c>
      <c r="J4" s="28" t="s">
        <v>515</v>
      </c>
      <c r="K4" s="48" t="s">
        <v>69</v>
      </c>
      <c r="L4" s="28" t="s">
        <v>544</v>
      </c>
      <c r="M4" s="28" t="s">
        <v>544</v>
      </c>
      <c r="N4" s="48" t="s">
        <v>343</v>
      </c>
      <c r="O4" s="48" t="s">
        <v>0</v>
      </c>
      <c r="P4" s="28" t="s">
        <v>629</v>
      </c>
      <c r="Q4" s="51">
        <v>7000226019</v>
      </c>
      <c r="R4" s="27">
        <v>113030503</v>
      </c>
      <c r="S4" s="51" t="s">
        <v>63</v>
      </c>
      <c r="T4" s="27" t="s">
        <v>630</v>
      </c>
      <c r="U4" s="51" t="s">
        <v>267</v>
      </c>
      <c r="V4" s="51" t="s">
        <v>327</v>
      </c>
      <c r="W4" s="51" t="s">
        <v>654</v>
      </c>
      <c r="X4" s="51" t="s">
        <v>45</v>
      </c>
      <c r="Y4" s="27"/>
      <c r="Z4" s="51" t="s">
        <v>99</v>
      </c>
      <c r="AA4" s="51" t="s">
        <v>83</v>
      </c>
      <c r="AB4" s="51" t="s">
        <v>140</v>
      </c>
      <c r="AC4" s="27">
        <v>1</v>
      </c>
      <c r="AD4" s="27">
        <v>1</v>
      </c>
      <c r="AE4" s="27">
        <v>5</v>
      </c>
      <c r="AF4" s="27" t="s">
        <v>546</v>
      </c>
      <c r="AG4" s="27">
        <v>1</v>
      </c>
    </row>
    <row r="5" spans="1:33" x14ac:dyDescent="0.55000000000000004">
      <c r="A5" s="28" t="s">
        <v>754</v>
      </c>
      <c r="B5" s="28" t="s">
        <v>519</v>
      </c>
      <c r="C5" s="28" t="s">
        <v>759</v>
      </c>
      <c r="D5" s="48" t="s">
        <v>661</v>
      </c>
      <c r="E5" s="28" t="s">
        <v>515</v>
      </c>
      <c r="F5" s="28" t="s">
        <v>516</v>
      </c>
      <c r="G5" s="28" t="s">
        <v>755</v>
      </c>
      <c r="H5" s="28" t="s">
        <v>543</v>
      </c>
      <c r="I5" s="28" t="s">
        <v>544</v>
      </c>
      <c r="J5" s="28" t="s">
        <v>515</v>
      </c>
      <c r="K5" s="48" t="s">
        <v>69</v>
      </c>
      <c r="L5" s="28" t="s">
        <v>544</v>
      </c>
      <c r="M5" s="28" t="s">
        <v>544</v>
      </c>
      <c r="N5" s="48" t="s">
        <v>343</v>
      </c>
      <c r="O5" s="48" t="s">
        <v>0</v>
      </c>
      <c r="P5" s="28" t="s">
        <v>629</v>
      </c>
      <c r="Q5" s="51">
        <v>7000226019</v>
      </c>
      <c r="R5" s="27">
        <v>113030703</v>
      </c>
      <c r="S5" s="51" t="s">
        <v>63</v>
      </c>
      <c r="T5" s="27" t="s">
        <v>630</v>
      </c>
      <c r="U5" s="51" t="s">
        <v>267</v>
      </c>
      <c r="V5" s="51" t="s">
        <v>327</v>
      </c>
      <c r="W5" s="51" t="s">
        <v>656</v>
      </c>
      <c r="X5" s="51" t="s">
        <v>45</v>
      </c>
      <c r="Y5" s="27"/>
      <c r="Z5" s="51" t="s">
        <v>99</v>
      </c>
      <c r="AA5" s="51" t="s">
        <v>83</v>
      </c>
      <c r="AB5" s="51" t="s">
        <v>140</v>
      </c>
      <c r="AC5" s="27">
        <v>1</v>
      </c>
      <c r="AD5" s="27">
        <v>1</v>
      </c>
      <c r="AE5" s="27">
        <v>5</v>
      </c>
      <c r="AF5" s="27" t="s">
        <v>547</v>
      </c>
      <c r="AG5" s="27">
        <v>1</v>
      </c>
    </row>
    <row r="6" spans="1:33" x14ac:dyDescent="0.55000000000000004">
      <c r="A6" s="28" t="s">
        <v>754</v>
      </c>
      <c r="B6" s="28" t="s">
        <v>520</v>
      </c>
      <c r="C6" s="28" t="s">
        <v>761</v>
      </c>
      <c r="D6" s="48" t="s">
        <v>662</v>
      </c>
      <c r="E6" s="28" t="s">
        <v>515</v>
      </c>
      <c r="F6" s="28" t="s">
        <v>516</v>
      </c>
      <c r="G6" s="28" t="s">
        <v>760</v>
      </c>
      <c r="H6" s="28" t="s">
        <v>543</v>
      </c>
      <c r="I6" s="28" t="s">
        <v>544</v>
      </c>
      <c r="J6" s="28" t="s">
        <v>515</v>
      </c>
      <c r="K6" s="48" t="s">
        <v>69</v>
      </c>
      <c r="L6" s="28" t="s">
        <v>544</v>
      </c>
      <c r="M6" s="28" t="s">
        <v>544</v>
      </c>
      <c r="N6" s="48" t="s">
        <v>343</v>
      </c>
      <c r="O6" s="48" t="s">
        <v>0</v>
      </c>
      <c r="P6" s="28" t="s">
        <v>629</v>
      </c>
      <c r="Q6" s="51">
        <v>7000226019</v>
      </c>
      <c r="R6" s="27">
        <v>114030103</v>
      </c>
      <c r="S6" s="51" t="s">
        <v>63</v>
      </c>
      <c r="T6" s="27" t="s">
        <v>630</v>
      </c>
      <c r="U6" s="51" t="s">
        <v>267</v>
      </c>
      <c r="V6" s="51" t="s">
        <v>327</v>
      </c>
      <c r="W6" s="51" t="s">
        <v>650</v>
      </c>
      <c r="X6" s="51" t="s">
        <v>45</v>
      </c>
      <c r="Y6" s="27"/>
      <c r="Z6" s="51" t="s">
        <v>99</v>
      </c>
      <c r="AA6" s="51" t="s">
        <v>83</v>
      </c>
      <c r="AB6" s="51" t="s">
        <v>140</v>
      </c>
      <c r="AC6" s="27">
        <v>1</v>
      </c>
      <c r="AD6" s="27">
        <v>1</v>
      </c>
      <c r="AE6" s="27">
        <v>5</v>
      </c>
      <c r="AF6" s="27" t="s">
        <v>548</v>
      </c>
      <c r="AG6" s="27">
        <v>1</v>
      </c>
    </row>
    <row r="7" spans="1:33" x14ac:dyDescent="0.55000000000000004">
      <c r="A7" s="28" t="s">
        <v>754</v>
      </c>
      <c r="B7" s="28" t="s">
        <v>521</v>
      </c>
      <c r="C7" s="28" t="s">
        <v>762</v>
      </c>
      <c r="D7" s="48" t="s">
        <v>663</v>
      </c>
      <c r="E7" s="28" t="s">
        <v>515</v>
      </c>
      <c r="F7" s="28" t="s">
        <v>516</v>
      </c>
      <c r="G7" s="28" t="s">
        <v>760</v>
      </c>
      <c r="H7" s="28" t="s">
        <v>543</v>
      </c>
      <c r="I7" s="28" t="s">
        <v>544</v>
      </c>
      <c r="J7" s="28" t="s">
        <v>515</v>
      </c>
      <c r="K7" s="48" t="s">
        <v>69</v>
      </c>
      <c r="L7" s="28" t="s">
        <v>544</v>
      </c>
      <c r="M7" s="28" t="s">
        <v>544</v>
      </c>
      <c r="N7" s="48" t="s">
        <v>343</v>
      </c>
      <c r="O7" s="48" t="s">
        <v>0</v>
      </c>
      <c r="P7" s="28" t="s">
        <v>629</v>
      </c>
      <c r="Q7" s="51">
        <v>7000226019</v>
      </c>
      <c r="R7" s="27">
        <v>114030203</v>
      </c>
      <c r="S7" s="51" t="s">
        <v>63</v>
      </c>
      <c r="T7" s="27" t="s">
        <v>630</v>
      </c>
      <c r="U7" s="51" t="s">
        <v>267</v>
      </c>
      <c r="V7" s="51" t="s">
        <v>327</v>
      </c>
      <c r="W7" s="51" t="s">
        <v>651</v>
      </c>
      <c r="X7" s="51" t="s">
        <v>45</v>
      </c>
      <c r="Y7" s="27"/>
      <c r="Z7" s="51" t="s">
        <v>99</v>
      </c>
      <c r="AA7" s="51" t="s">
        <v>83</v>
      </c>
      <c r="AB7" s="51" t="s">
        <v>140</v>
      </c>
      <c r="AC7" s="27">
        <v>1</v>
      </c>
      <c r="AD7" s="27">
        <v>1</v>
      </c>
      <c r="AE7" s="27">
        <v>5</v>
      </c>
      <c r="AF7" s="27" t="s">
        <v>549</v>
      </c>
      <c r="AG7" s="27">
        <v>1</v>
      </c>
    </row>
    <row r="8" spans="1:33" x14ac:dyDescent="0.55000000000000004">
      <c r="A8" s="28" t="s">
        <v>754</v>
      </c>
      <c r="B8" s="28" t="s">
        <v>522</v>
      </c>
      <c r="C8" s="28" t="s">
        <v>763</v>
      </c>
      <c r="D8" s="48" t="s">
        <v>664</v>
      </c>
      <c r="E8" s="28" t="s">
        <v>515</v>
      </c>
      <c r="F8" s="28" t="s">
        <v>516</v>
      </c>
      <c r="G8" s="28" t="s">
        <v>760</v>
      </c>
      <c r="H8" s="28" t="s">
        <v>543</v>
      </c>
      <c r="I8" s="28" t="s">
        <v>544</v>
      </c>
      <c r="J8" s="28" t="s">
        <v>515</v>
      </c>
      <c r="K8" s="48" t="s">
        <v>69</v>
      </c>
      <c r="L8" s="28" t="s">
        <v>544</v>
      </c>
      <c r="M8" s="28" t="s">
        <v>544</v>
      </c>
      <c r="N8" s="48" t="s">
        <v>343</v>
      </c>
      <c r="O8" s="48" t="s">
        <v>0</v>
      </c>
      <c r="P8" s="28" t="s">
        <v>629</v>
      </c>
      <c r="Q8" s="51">
        <v>7000226019</v>
      </c>
      <c r="R8" s="27">
        <v>114030303</v>
      </c>
      <c r="S8" s="51" t="s">
        <v>63</v>
      </c>
      <c r="T8" s="27" t="s">
        <v>630</v>
      </c>
      <c r="U8" s="51" t="s">
        <v>267</v>
      </c>
      <c r="V8" s="51" t="s">
        <v>327</v>
      </c>
      <c r="W8" s="51" t="s">
        <v>652</v>
      </c>
      <c r="X8" s="51" t="s">
        <v>45</v>
      </c>
      <c r="Y8" s="27"/>
      <c r="Z8" s="51" t="s">
        <v>99</v>
      </c>
      <c r="AA8" s="51" t="s">
        <v>83</v>
      </c>
      <c r="AB8" s="51" t="s">
        <v>140</v>
      </c>
      <c r="AC8" s="27">
        <v>1</v>
      </c>
      <c r="AD8" s="27">
        <v>1</v>
      </c>
      <c r="AE8" s="27">
        <v>5</v>
      </c>
      <c r="AF8" s="27" t="s">
        <v>550</v>
      </c>
      <c r="AG8" s="27">
        <v>1</v>
      </c>
    </row>
    <row r="9" spans="1:33" x14ac:dyDescent="0.55000000000000004">
      <c r="A9" s="28" t="s">
        <v>754</v>
      </c>
      <c r="B9" s="28" t="s">
        <v>523</v>
      </c>
      <c r="C9" s="28" t="s">
        <v>764</v>
      </c>
      <c r="D9" s="48" t="s">
        <v>665</v>
      </c>
      <c r="E9" s="28" t="s">
        <v>515</v>
      </c>
      <c r="F9" s="28" t="s">
        <v>516</v>
      </c>
      <c r="G9" s="28" t="s">
        <v>760</v>
      </c>
      <c r="H9" s="28" t="s">
        <v>543</v>
      </c>
      <c r="I9" s="28" t="s">
        <v>544</v>
      </c>
      <c r="J9" s="28" t="s">
        <v>515</v>
      </c>
      <c r="K9" s="48" t="s">
        <v>69</v>
      </c>
      <c r="L9" s="28" t="s">
        <v>544</v>
      </c>
      <c r="M9" s="28" t="s">
        <v>544</v>
      </c>
      <c r="N9" s="48" t="s">
        <v>343</v>
      </c>
      <c r="O9" s="48" t="s">
        <v>0</v>
      </c>
      <c r="P9" s="28" t="s">
        <v>629</v>
      </c>
      <c r="Q9" s="51">
        <v>7000226019</v>
      </c>
      <c r="R9" s="27">
        <v>114030403</v>
      </c>
      <c r="S9" s="51" t="s">
        <v>63</v>
      </c>
      <c r="T9" s="27" t="s">
        <v>630</v>
      </c>
      <c r="U9" s="51" t="s">
        <v>267</v>
      </c>
      <c r="V9" s="51" t="s">
        <v>327</v>
      </c>
      <c r="W9" s="51" t="s">
        <v>653</v>
      </c>
      <c r="X9" s="51" t="s">
        <v>45</v>
      </c>
      <c r="Y9" s="27"/>
      <c r="Z9" s="51" t="s">
        <v>99</v>
      </c>
      <c r="AA9" s="51" t="s">
        <v>83</v>
      </c>
      <c r="AB9" s="51" t="s">
        <v>140</v>
      </c>
      <c r="AC9" s="27">
        <v>1</v>
      </c>
      <c r="AD9" s="27">
        <v>1</v>
      </c>
      <c r="AE9" s="27">
        <v>5</v>
      </c>
      <c r="AF9" s="27" t="s">
        <v>551</v>
      </c>
      <c r="AG9" s="27">
        <v>1</v>
      </c>
    </row>
    <row r="10" spans="1:33" x14ac:dyDescent="0.55000000000000004">
      <c r="A10" s="28" t="s">
        <v>754</v>
      </c>
      <c r="B10" s="28" t="s">
        <v>355</v>
      </c>
      <c r="C10" s="28" t="s">
        <v>765</v>
      </c>
      <c r="D10" s="48" t="s">
        <v>666</v>
      </c>
      <c r="E10" s="28" t="s">
        <v>515</v>
      </c>
      <c r="F10" s="28" t="s">
        <v>516</v>
      </c>
      <c r="G10" s="28" t="s">
        <v>760</v>
      </c>
      <c r="H10" s="28" t="s">
        <v>543</v>
      </c>
      <c r="I10" s="28" t="s">
        <v>544</v>
      </c>
      <c r="J10" s="28" t="s">
        <v>515</v>
      </c>
      <c r="K10" s="48" t="s">
        <v>69</v>
      </c>
      <c r="L10" s="28" t="s">
        <v>544</v>
      </c>
      <c r="M10" s="28" t="s">
        <v>544</v>
      </c>
      <c r="N10" s="48" t="s">
        <v>343</v>
      </c>
      <c r="O10" s="48" t="s">
        <v>0</v>
      </c>
      <c r="P10" s="28" t="s">
        <v>629</v>
      </c>
      <c r="Q10" s="51">
        <v>7000226019</v>
      </c>
      <c r="R10" s="27">
        <v>114030503</v>
      </c>
      <c r="S10" s="51" t="s">
        <v>63</v>
      </c>
      <c r="T10" s="27" t="s">
        <v>630</v>
      </c>
      <c r="U10" s="51" t="s">
        <v>267</v>
      </c>
      <c r="V10" s="51" t="s">
        <v>327</v>
      </c>
      <c r="W10" s="51" t="s">
        <v>654</v>
      </c>
      <c r="X10" s="51" t="s">
        <v>45</v>
      </c>
      <c r="Y10" s="27"/>
      <c r="Z10" s="51" t="s">
        <v>99</v>
      </c>
      <c r="AA10" s="51" t="s">
        <v>83</v>
      </c>
      <c r="AB10" s="51" t="s">
        <v>140</v>
      </c>
      <c r="AC10" s="27">
        <v>1</v>
      </c>
      <c r="AD10" s="27">
        <v>1</v>
      </c>
      <c r="AE10" s="27">
        <v>5</v>
      </c>
      <c r="AF10" s="27" t="s">
        <v>501</v>
      </c>
      <c r="AG10" s="27">
        <v>2</v>
      </c>
    </row>
    <row r="11" spans="1:33" x14ac:dyDescent="0.55000000000000004">
      <c r="A11" s="28" t="s">
        <v>754</v>
      </c>
      <c r="B11" s="28" t="s">
        <v>524</v>
      </c>
      <c r="C11" s="28" t="s">
        <v>766</v>
      </c>
      <c r="D11" s="48" t="s">
        <v>667</v>
      </c>
      <c r="E11" s="28" t="s">
        <v>515</v>
      </c>
      <c r="F11" s="28" t="s">
        <v>516</v>
      </c>
      <c r="G11" s="28" t="s">
        <v>760</v>
      </c>
      <c r="H11" s="28" t="s">
        <v>543</v>
      </c>
      <c r="I11" s="28" t="s">
        <v>544</v>
      </c>
      <c r="J11" s="28" t="s">
        <v>515</v>
      </c>
      <c r="K11" s="48" t="s">
        <v>69</v>
      </c>
      <c r="L11" s="28" t="s">
        <v>544</v>
      </c>
      <c r="M11" s="28" t="s">
        <v>544</v>
      </c>
      <c r="N11" s="48" t="s">
        <v>343</v>
      </c>
      <c r="O11" s="48" t="s">
        <v>0</v>
      </c>
      <c r="P11" s="28" t="s">
        <v>629</v>
      </c>
      <c r="Q11" s="51">
        <v>7000226019</v>
      </c>
      <c r="R11" s="27">
        <v>114030703</v>
      </c>
      <c r="S11" s="51" t="s">
        <v>63</v>
      </c>
      <c r="T11" s="27" t="s">
        <v>630</v>
      </c>
      <c r="U11" s="51" t="s">
        <v>267</v>
      </c>
      <c r="V11" s="51" t="s">
        <v>327</v>
      </c>
      <c r="W11" s="51" t="s">
        <v>656</v>
      </c>
      <c r="X11" s="51" t="s">
        <v>45</v>
      </c>
      <c r="Y11" s="27"/>
      <c r="Z11" s="51" t="s">
        <v>99</v>
      </c>
      <c r="AA11" s="51" t="s">
        <v>83</v>
      </c>
      <c r="AB11" s="51" t="s">
        <v>140</v>
      </c>
      <c r="AC11" s="27">
        <v>1</v>
      </c>
      <c r="AD11" s="27">
        <v>1</v>
      </c>
      <c r="AE11" s="27">
        <v>5</v>
      </c>
      <c r="AF11" s="27" t="s">
        <v>545</v>
      </c>
      <c r="AG11" s="27">
        <v>2</v>
      </c>
    </row>
    <row r="12" spans="1:33" x14ac:dyDescent="0.55000000000000004">
      <c r="A12" s="28" t="s">
        <v>754</v>
      </c>
      <c r="B12" s="28" t="s">
        <v>525</v>
      </c>
      <c r="C12" s="28" t="s">
        <v>768</v>
      </c>
      <c r="D12" s="48" t="s">
        <v>668</v>
      </c>
      <c r="E12" s="28" t="s">
        <v>515</v>
      </c>
      <c r="F12" s="28" t="s">
        <v>516</v>
      </c>
      <c r="G12" s="28" t="s">
        <v>767</v>
      </c>
      <c r="H12" s="28" t="s">
        <v>543</v>
      </c>
      <c r="I12" s="28" t="s">
        <v>544</v>
      </c>
      <c r="J12" s="28" t="s">
        <v>515</v>
      </c>
      <c r="K12" s="48" t="s">
        <v>69</v>
      </c>
      <c r="L12" s="28" t="s">
        <v>544</v>
      </c>
      <c r="M12" s="28" t="s">
        <v>544</v>
      </c>
      <c r="N12" s="48" t="s">
        <v>343</v>
      </c>
      <c r="O12" s="48" t="s">
        <v>0</v>
      </c>
      <c r="P12" s="28" t="s">
        <v>629</v>
      </c>
      <c r="Q12" s="51">
        <v>7000226019</v>
      </c>
      <c r="R12" s="27">
        <v>114040103</v>
      </c>
      <c r="S12" s="51" t="s">
        <v>63</v>
      </c>
      <c r="T12" s="27" t="s">
        <v>630</v>
      </c>
      <c r="U12" s="51" t="s">
        <v>267</v>
      </c>
      <c r="V12" s="51" t="s">
        <v>327</v>
      </c>
      <c r="W12" s="51" t="s">
        <v>650</v>
      </c>
      <c r="X12" s="51" t="s">
        <v>45</v>
      </c>
      <c r="Y12" s="27"/>
      <c r="Z12" s="51" t="s">
        <v>99</v>
      </c>
      <c r="AA12" s="51" t="s">
        <v>83</v>
      </c>
      <c r="AB12" s="51" t="s">
        <v>140</v>
      </c>
      <c r="AC12" s="27">
        <v>1</v>
      </c>
      <c r="AD12" s="27">
        <v>1</v>
      </c>
      <c r="AE12" s="27">
        <v>5</v>
      </c>
      <c r="AF12" s="27" t="s">
        <v>546</v>
      </c>
      <c r="AG12" s="27">
        <v>2</v>
      </c>
    </row>
    <row r="13" spans="1:33" x14ac:dyDescent="0.55000000000000004">
      <c r="A13" s="28" t="s">
        <v>754</v>
      </c>
      <c r="B13" s="28" t="s">
        <v>526</v>
      </c>
      <c r="C13" s="28" t="s">
        <v>769</v>
      </c>
      <c r="D13" s="48" t="s">
        <v>669</v>
      </c>
      <c r="E13" s="28" t="s">
        <v>515</v>
      </c>
      <c r="F13" s="28" t="s">
        <v>516</v>
      </c>
      <c r="G13" s="28" t="s">
        <v>767</v>
      </c>
      <c r="H13" s="28" t="s">
        <v>543</v>
      </c>
      <c r="I13" s="28" t="s">
        <v>544</v>
      </c>
      <c r="J13" s="28" t="s">
        <v>515</v>
      </c>
      <c r="K13" s="48" t="s">
        <v>69</v>
      </c>
      <c r="L13" s="28" t="s">
        <v>544</v>
      </c>
      <c r="M13" s="28" t="s">
        <v>544</v>
      </c>
      <c r="N13" s="48" t="s">
        <v>343</v>
      </c>
      <c r="O13" s="48" t="s">
        <v>0</v>
      </c>
      <c r="P13" s="28" t="s">
        <v>629</v>
      </c>
      <c r="Q13" s="51">
        <v>7000226019</v>
      </c>
      <c r="R13" s="27">
        <v>114040203</v>
      </c>
      <c r="S13" s="51" t="s">
        <v>63</v>
      </c>
      <c r="T13" s="27" t="s">
        <v>630</v>
      </c>
      <c r="U13" s="51" t="s">
        <v>267</v>
      </c>
      <c r="V13" s="51" t="s">
        <v>327</v>
      </c>
      <c r="W13" s="51" t="s">
        <v>651</v>
      </c>
      <c r="X13" s="51" t="s">
        <v>45</v>
      </c>
      <c r="Y13" s="27"/>
      <c r="Z13" s="51" t="s">
        <v>99</v>
      </c>
      <c r="AA13" s="51" t="s">
        <v>83</v>
      </c>
      <c r="AB13" s="51" t="s">
        <v>140</v>
      </c>
      <c r="AC13" s="27">
        <v>1</v>
      </c>
      <c r="AD13" s="27">
        <v>1</v>
      </c>
      <c r="AE13" s="27">
        <v>5</v>
      </c>
      <c r="AF13" s="27" t="s">
        <v>547</v>
      </c>
      <c r="AG13" s="27">
        <v>2</v>
      </c>
    </row>
    <row r="14" spans="1:33" x14ac:dyDescent="0.55000000000000004">
      <c r="A14" s="28" t="s">
        <v>754</v>
      </c>
      <c r="B14" s="28" t="s">
        <v>527</v>
      </c>
      <c r="C14" s="28" t="s">
        <v>770</v>
      </c>
      <c r="D14" s="48" t="s">
        <v>670</v>
      </c>
      <c r="E14" s="28" t="s">
        <v>515</v>
      </c>
      <c r="F14" s="28" t="s">
        <v>516</v>
      </c>
      <c r="G14" s="28" t="s">
        <v>767</v>
      </c>
      <c r="H14" s="28" t="s">
        <v>543</v>
      </c>
      <c r="I14" s="28" t="s">
        <v>544</v>
      </c>
      <c r="J14" s="28" t="s">
        <v>515</v>
      </c>
      <c r="K14" s="48" t="s">
        <v>69</v>
      </c>
      <c r="L14" s="28" t="s">
        <v>544</v>
      </c>
      <c r="M14" s="28" t="s">
        <v>544</v>
      </c>
      <c r="N14" s="48" t="s">
        <v>343</v>
      </c>
      <c r="O14" s="48" t="s">
        <v>0</v>
      </c>
      <c r="P14" s="28" t="s">
        <v>629</v>
      </c>
      <c r="Q14" s="51">
        <v>7000226019</v>
      </c>
      <c r="R14" s="27">
        <v>114040303</v>
      </c>
      <c r="S14" s="51" t="s">
        <v>63</v>
      </c>
      <c r="T14" s="27" t="s">
        <v>630</v>
      </c>
      <c r="U14" s="51" t="s">
        <v>267</v>
      </c>
      <c r="V14" s="51" t="s">
        <v>327</v>
      </c>
      <c r="W14" s="51" t="s">
        <v>652</v>
      </c>
      <c r="X14" s="51" t="s">
        <v>45</v>
      </c>
      <c r="Y14" s="27"/>
      <c r="Z14" s="51" t="s">
        <v>99</v>
      </c>
      <c r="AA14" s="51" t="s">
        <v>83</v>
      </c>
      <c r="AB14" s="51" t="s">
        <v>140</v>
      </c>
      <c r="AC14" s="27">
        <v>1</v>
      </c>
      <c r="AD14" s="27">
        <v>1</v>
      </c>
      <c r="AE14" s="27">
        <v>5</v>
      </c>
      <c r="AF14" s="27" t="s">
        <v>548</v>
      </c>
      <c r="AG14" s="27">
        <v>2</v>
      </c>
    </row>
    <row r="15" spans="1:33" x14ac:dyDescent="0.55000000000000004">
      <c r="A15" s="28" t="s">
        <v>754</v>
      </c>
      <c r="B15" s="28" t="s">
        <v>528</v>
      </c>
      <c r="C15" s="28" t="s">
        <v>771</v>
      </c>
      <c r="D15" s="48" t="s">
        <v>671</v>
      </c>
      <c r="E15" s="28" t="s">
        <v>515</v>
      </c>
      <c r="F15" s="28" t="s">
        <v>516</v>
      </c>
      <c r="G15" s="28" t="s">
        <v>767</v>
      </c>
      <c r="H15" s="28" t="s">
        <v>543</v>
      </c>
      <c r="I15" s="28" t="s">
        <v>544</v>
      </c>
      <c r="J15" s="28" t="s">
        <v>515</v>
      </c>
      <c r="K15" s="48" t="s">
        <v>69</v>
      </c>
      <c r="L15" s="28" t="s">
        <v>544</v>
      </c>
      <c r="M15" s="28" t="s">
        <v>544</v>
      </c>
      <c r="N15" s="48" t="s">
        <v>343</v>
      </c>
      <c r="O15" s="48" t="s">
        <v>0</v>
      </c>
      <c r="P15" s="28" t="s">
        <v>629</v>
      </c>
      <c r="Q15" s="51">
        <v>7000226019</v>
      </c>
      <c r="R15" s="27">
        <v>114040403</v>
      </c>
      <c r="S15" s="51" t="s">
        <v>63</v>
      </c>
      <c r="T15" s="27" t="s">
        <v>630</v>
      </c>
      <c r="U15" s="51" t="s">
        <v>267</v>
      </c>
      <c r="V15" s="51" t="s">
        <v>327</v>
      </c>
      <c r="W15" s="51" t="s">
        <v>653</v>
      </c>
      <c r="X15" s="51" t="s">
        <v>45</v>
      </c>
      <c r="Y15" s="27"/>
      <c r="Z15" s="51" t="s">
        <v>99</v>
      </c>
      <c r="AA15" s="51" t="s">
        <v>83</v>
      </c>
      <c r="AB15" s="51" t="s">
        <v>140</v>
      </c>
      <c r="AC15" s="27">
        <v>1</v>
      </c>
      <c r="AD15" s="27">
        <v>1</v>
      </c>
      <c r="AE15" s="27">
        <v>5</v>
      </c>
      <c r="AF15" s="27" t="s">
        <v>549</v>
      </c>
      <c r="AG15" s="27">
        <v>2</v>
      </c>
    </row>
    <row r="16" spans="1:33" x14ac:dyDescent="0.55000000000000004">
      <c r="A16" s="28" t="s">
        <v>754</v>
      </c>
      <c r="B16" s="28" t="s">
        <v>529</v>
      </c>
      <c r="C16" s="28" t="s">
        <v>772</v>
      </c>
      <c r="D16" s="48" t="s">
        <v>672</v>
      </c>
      <c r="E16" s="28" t="s">
        <v>515</v>
      </c>
      <c r="F16" s="28" t="s">
        <v>516</v>
      </c>
      <c r="G16" s="28" t="s">
        <v>767</v>
      </c>
      <c r="H16" s="28" t="s">
        <v>543</v>
      </c>
      <c r="I16" s="28" t="s">
        <v>544</v>
      </c>
      <c r="J16" s="28" t="s">
        <v>515</v>
      </c>
      <c r="K16" s="48" t="s">
        <v>69</v>
      </c>
      <c r="L16" s="28" t="s">
        <v>544</v>
      </c>
      <c r="M16" s="28" t="s">
        <v>544</v>
      </c>
      <c r="N16" s="48" t="s">
        <v>343</v>
      </c>
      <c r="O16" s="48" t="s">
        <v>0</v>
      </c>
      <c r="P16" s="28" t="s">
        <v>629</v>
      </c>
      <c r="Q16" s="51">
        <v>7000226019</v>
      </c>
      <c r="R16" s="27">
        <v>114040503</v>
      </c>
      <c r="S16" s="51" t="s">
        <v>63</v>
      </c>
      <c r="T16" s="27" t="s">
        <v>630</v>
      </c>
      <c r="U16" s="51" t="s">
        <v>267</v>
      </c>
      <c r="V16" s="51" t="s">
        <v>327</v>
      </c>
      <c r="W16" s="51" t="s">
        <v>654</v>
      </c>
      <c r="X16" s="51" t="s">
        <v>45</v>
      </c>
      <c r="Y16" s="27"/>
      <c r="Z16" s="51" t="s">
        <v>99</v>
      </c>
      <c r="AA16" s="51" t="s">
        <v>83</v>
      </c>
      <c r="AB16" s="51" t="s">
        <v>140</v>
      </c>
      <c r="AC16" s="27">
        <v>1</v>
      </c>
      <c r="AD16" s="27">
        <v>1</v>
      </c>
      <c r="AE16" s="27">
        <v>5</v>
      </c>
      <c r="AF16" s="27" t="s">
        <v>550</v>
      </c>
      <c r="AG16" s="27">
        <v>2</v>
      </c>
    </row>
    <row r="17" spans="1:33" x14ac:dyDescent="0.55000000000000004">
      <c r="A17" s="28" t="s">
        <v>754</v>
      </c>
      <c r="B17" s="28" t="s">
        <v>530</v>
      </c>
      <c r="C17" s="28" t="s">
        <v>773</v>
      </c>
      <c r="D17" s="48" t="s">
        <v>673</v>
      </c>
      <c r="E17" s="28" t="s">
        <v>515</v>
      </c>
      <c r="F17" s="28" t="s">
        <v>516</v>
      </c>
      <c r="G17" s="28" t="s">
        <v>767</v>
      </c>
      <c r="H17" s="28" t="s">
        <v>543</v>
      </c>
      <c r="I17" s="28" t="s">
        <v>544</v>
      </c>
      <c r="J17" s="28" t="s">
        <v>515</v>
      </c>
      <c r="K17" s="48" t="s">
        <v>69</v>
      </c>
      <c r="L17" s="28" t="s">
        <v>544</v>
      </c>
      <c r="M17" s="28" t="s">
        <v>544</v>
      </c>
      <c r="N17" s="48" t="s">
        <v>343</v>
      </c>
      <c r="O17" s="48" t="s">
        <v>0</v>
      </c>
      <c r="P17" s="28" t="s">
        <v>629</v>
      </c>
      <c r="Q17" s="51">
        <v>7000226019</v>
      </c>
      <c r="R17" s="27">
        <v>114040603</v>
      </c>
      <c r="S17" s="51" t="s">
        <v>63</v>
      </c>
      <c r="T17" s="27" t="s">
        <v>630</v>
      </c>
      <c r="U17" s="51" t="s">
        <v>267</v>
      </c>
      <c r="V17" s="51" t="s">
        <v>327</v>
      </c>
      <c r="W17" s="51" t="s">
        <v>655</v>
      </c>
      <c r="X17" s="51" t="s">
        <v>45</v>
      </c>
      <c r="Y17" s="27"/>
      <c r="Z17" s="51" t="s">
        <v>99</v>
      </c>
      <c r="AA17" s="51" t="s">
        <v>83</v>
      </c>
      <c r="AB17" s="51" t="s">
        <v>140</v>
      </c>
      <c r="AC17" s="27">
        <v>1</v>
      </c>
      <c r="AD17" s="27">
        <v>1</v>
      </c>
      <c r="AE17" s="27">
        <v>5</v>
      </c>
      <c r="AF17" s="27" t="s">
        <v>551</v>
      </c>
      <c r="AG17" s="27">
        <v>2</v>
      </c>
    </row>
    <row r="18" spans="1:33" x14ac:dyDescent="0.55000000000000004">
      <c r="A18" s="28" t="s">
        <v>754</v>
      </c>
      <c r="B18" s="28" t="s">
        <v>356</v>
      </c>
      <c r="C18" s="28" t="s">
        <v>774</v>
      </c>
      <c r="D18" s="48" t="s">
        <v>674</v>
      </c>
      <c r="E18" s="28" t="s">
        <v>515</v>
      </c>
      <c r="F18" s="28" t="s">
        <v>516</v>
      </c>
      <c r="G18" s="28" t="s">
        <v>767</v>
      </c>
      <c r="H18" s="28" t="s">
        <v>543</v>
      </c>
      <c r="I18" s="28" t="s">
        <v>544</v>
      </c>
      <c r="J18" s="28" t="s">
        <v>515</v>
      </c>
      <c r="K18" s="48" t="s">
        <v>69</v>
      </c>
      <c r="L18" s="28" t="s">
        <v>544</v>
      </c>
      <c r="M18" s="28" t="s">
        <v>544</v>
      </c>
      <c r="N18" s="48" t="s">
        <v>343</v>
      </c>
      <c r="O18" s="48" t="s">
        <v>0</v>
      </c>
      <c r="P18" s="28" t="s">
        <v>629</v>
      </c>
      <c r="Q18" s="51">
        <v>7000226019</v>
      </c>
      <c r="R18" s="27">
        <v>114040703</v>
      </c>
      <c r="S18" s="51" t="s">
        <v>63</v>
      </c>
      <c r="T18" s="27" t="s">
        <v>630</v>
      </c>
      <c r="U18" s="51" t="s">
        <v>267</v>
      </c>
      <c r="V18" s="51" t="s">
        <v>327</v>
      </c>
      <c r="W18" s="51" t="s">
        <v>656</v>
      </c>
      <c r="X18" s="51" t="s">
        <v>45</v>
      </c>
      <c r="Y18" s="27"/>
      <c r="Z18" s="51" t="s">
        <v>99</v>
      </c>
      <c r="AA18" s="51" t="s">
        <v>83</v>
      </c>
      <c r="AB18" s="51" t="s">
        <v>140</v>
      </c>
      <c r="AC18" s="27">
        <v>1</v>
      </c>
      <c r="AD18" s="27">
        <v>1</v>
      </c>
      <c r="AE18" s="27">
        <v>5</v>
      </c>
      <c r="AF18" s="27" t="s">
        <v>501</v>
      </c>
      <c r="AG18" s="27">
        <v>3</v>
      </c>
    </row>
    <row r="19" spans="1:33" x14ac:dyDescent="0.55000000000000004">
      <c r="A19" s="28" t="s">
        <v>754</v>
      </c>
      <c r="B19" s="28" t="s">
        <v>531</v>
      </c>
      <c r="C19" s="28" t="s">
        <v>776</v>
      </c>
      <c r="D19" s="48" t="s">
        <v>675</v>
      </c>
      <c r="E19" s="28" t="s">
        <v>515</v>
      </c>
      <c r="F19" s="28" t="s">
        <v>516</v>
      </c>
      <c r="G19" s="28" t="s">
        <v>775</v>
      </c>
      <c r="H19" s="28" t="s">
        <v>543</v>
      </c>
      <c r="I19" s="28" t="s">
        <v>544</v>
      </c>
      <c r="J19" s="28" t="s">
        <v>515</v>
      </c>
      <c r="K19" s="48" t="s">
        <v>69</v>
      </c>
      <c r="L19" s="28" t="s">
        <v>544</v>
      </c>
      <c r="M19" s="28" t="s">
        <v>544</v>
      </c>
      <c r="N19" s="48" t="s">
        <v>343</v>
      </c>
      <c r="O19" s="48" t="s">
        <v>0</v>
      </c>
      <c r="P19" s="28" t="s">
        <v>629</v>
      </c>
      <c r="Q19" s="51">
        <v>7000226019</v>
      </c>
      <c r="R19" s="27">
        <v>113350103</v>
      </c>
      <c r="S19" s="51" t="s">
        <v>63</v>
      </c>
      <c r="T19" s="27" t="s">
        <v>630</v>
      </c>
      <c r="U19" s="51" t="s">
        <v>267</v>
      </c>
      <c r="V19" s="51" t="s">
        <v>327</v>
      </c>
      <c r="W19" s="51" t="s">
        <v>650</v>
      </c>
      <c r="X19" s="51" t="s">
        <v>45</v>
      </c>
      <c r="Y19" s="27"/>
      <c r="Z19" s="51" t="s">
        <v>99</v>
      </c>
      <c r="AA19" s="51" t="s">
        <v>83</v>
      </c>
      <c r="AB19" s="51" t="s">
        <v>140</v>
      </c>
      <c r="AC19" s="27">
        <v>1</v>
      </c>
      <c r="AD19" s="27">
        <v>1</v>
      </c>
      <c r="AE19" s="27">
        <v>5</v>
      </c>
      <c r="AF19" s="27" t="s">
        <v>545</v>
      </c>
      <c r="AG19" s="27">
        <v>3</v>
      </c>
    </row>
    <row r="20" spans="1:33" x14ac:dyDescent="0.55000000000000004">
      <c r="A20" s="28" t="s">
        <v>754</v>
      </c>
      <c r="B20" s="28" t="s">
        <v>532</v>
      </c>
      <c r="C20" s="28" t="s">
        <v>777</v>
      </c>
      <c r="D20" s="48" t="s">
        <v>676</v>
      </c>
      <c r="E20" s="28" t="s">
        <v>515</v>
      </c>
      <c r="F20" s="28" t="s">
        <v>516</v>
      </c>
      <c r="G20" s="28" t="s">
        <v>775</v>
      </c>
      <c r="H20" s="28" t="s">
        <v>543</v>
      </c>
      <c r="I20" s="28" t="s">
        <v>544</v>
      </c>
      <c r="J20" s="28" t="s">
        <v>515</v>
      </c>
      <c r="K20" s="48" t="s">
        <v>69</v>
      </c>
      <c r="L20" s="28" t="s">
        <v>544</v>
      </c>
      <c r="M20" s="28" t="s">
        <v>544</v>
      </c>
      <c r="N20" s="48" t="s">
        <v>343</v>
      </c>
      <c r="O20" s="48" t="s">
        <v>0</v>
      </c>
      <c r="P20" s="28" t="s">
        <v>629</v>
      </c>
      <c r="Q20" s="51">
        <v>7000226019</v>
      </c>
      <c r="R20" s="27">
        <v>113350403</v>
      </c>
      <c r="S20" s="51" t="s">
        <v>63</v>
      </c>
      <c r="T20" s="27" t="s">
        <v>630</v>
      </c>
      <c r="U20" s="51" t="s">
        <v>267</v>
      </c>
      <c r="V20" s="51" t="s">
        <v>327</v>
      </c>
      <c r="W20" s="51" t="s">
        <v>653</v>
      </c>
      <c r="X20" s="51" t="s">
        <v>45</v>
      </c>
      <c r="Y20" s="27"/>
      <c r="Z20" s="51" t="s">
        <v>99</v>
      </c>
      <c r="AA20" s="51" t="s">
        <v>83</v>
      </c>
      <c r="AB20" s="51" t="s">
        <v>140</v>
      </c>
      <c r="AC20" s="27">
        <v>1</v>
      </c>
      <c r="AD20" s="27">
        <v>1</v>
      </c>
      <c r="AE20" s="27">
        <v>5</v>
      </c>
      <c r="AF20" s="27" t="s">
        <v>546</v>
      </c>
      <c r="AG20" s="27">
        <v>3</v>
      </c>
    </row>
    <row r="21" spans="1:33" x14ac:dyDescent="0.55000000000000004">
      <c r="A21" s="28" t="s">
        <v>754</v>
      </c>
      <c r="B21" s="28" t="s">
        <v>533</v>
      </c>
      <c r="C21" s="28" t="s">
        <v>778</v>
      </c>
      <c r="D21" s="48" t="s">
        <v>677</v>
      </c>
      <c r="E21" s="28" t="s">
        <v>515</v>
      </c>
      <c r="F21" s="28" t="s">
        <v>516</v>
      </c>
      <c r="G21" s="28" t="s">
        <v>775</v>
      </c>
      <c r="H21" s="28" t="s">
        <v>543</v>
      </c>
      <c r="I21" s="28" t="s">
        <v>544</v>
      </c>
      <c r="J21" s="28" t="s">
        <v>515</v>
      </c>
      <c r="K21" s="48" t="s">
        <v>69</v>
      </c>
      <c r="L21" s="28" t="s">
        <v>544</v>
      </c>
      <c r="M21" s="28" t="s">
        <v>544</v>
      </c>
      <c r="N21" s="48" t="s">
        <v>343</v>
      </c>
      <c r="O21" s="48" t="s">
        <v>0</v>
      </c>
      <c r="P21" s="28" t="s">
        <v>629</v>
      </c>
      <c r="Q21" s="51">
        <v>7000226019</v>
      </c>
      <c r="R21" s="27">
        <v>113350503</v>
      </c>
      <c r="S21" s="51" t="s">
        <v>63</v>
      </c>
      <c r="T21" s="27" t="s">
        <v>630</v>
      </c>
      <c r="U21" s="51" t="s">
        <v>267</v>
      </c>
      <c r="V21" s="51" t="s">
        <v>327</v>
      </c>
      <c r="W21" s="51" t="s">
        <v>654</v>
      </c>
      <c r="X21" s="51" t="s">
        <v>45</v>
      </c>
      <c r="Y21" s="27"/>
      <c r="Z21" s="51" t="s">
        <v>99</v>
      </c>
      <c r="AA21" s="51" t="s">
        <v>83</v>
      </c>
      <c r="AB21" s="51" t="s">
        <v>140</v>
      </c>
      <c r="AC21" s="27">
        <v>1</v>
      </c>
      <c r="AD21" s="27">
        <v>1</v>
      </c>
      <c r="AE21" s="27">
        <v>5</v>
      </c>
      <c r="AF21" s="27" t="s">
        <v>547</v>
      </c>
      <c r="AG21" s="27">
        <v>3</v>
      </c>
    </row>
    <row r="22" spans="1:33" x14ac:dyDescent="0.55000000000000004">
      <c r="A22" s="28" t="s">
        <v>754</v>
      </c>
      <c r="B22" s="28" t="s">
        <v>534</v>
      </c>
      <c r="C22" s="28" t="s">
        <v>780</v>
      </c>
      <c r="D22" s="48" t="s">
        <v>678</v>
      </c>
      <c r="E22" s="28" t="s">
        <v>515</v>
      </c>
      <c r="F22" s="28" t="s">
        <v>516</v>
      </c>
      <c r="G22" s="28" t="s">
        <v>779</v>
      </c>
      <c r="H22" s="28" t="s">
        <v>543</v>
      </c>
      <c r="I22" s="28" t="s">
        <v>544</v>
      </c>
      <c r="J22" s="28" t="s">
        <v>515</v>
      </c>
      <c r="K22" s="48" t="s">
        <v>69</v>
      </c>
      <c r="L22" s="28" t="s">
        <v>544</v>
      </c>
      <c r="M22" s="28" t="s">
        <v>544</v>
      </c>
      <c r="N22" s="48" t="s">
        <v>343</v>
      </c>
      <c r="O22" s="48" t="s">
        <v>0</v>
      </c>
      <c r="P22" s="28" t="s">
        <v>629</v>
      </c>
      <c r="Q22" s="51">
        <v>7000226019</v>
      </c>
      <c r="R22" s="27">
        <v>113570103</v>
      </c>
      <c r="S22" s="51" t="s">
        <v>63</v>
      </c>
      <c r="T22" s="27" t="s">
        <v>630</v>
      </c>
      <c r="U22" s="51" t="s">
        <v>267</v>
      </c>
      <c r="V22" s="51" t="s">
        <v>327</v>
      </c>
      <c r="W22" s="51" t="s">
        <v>650</v>
      </c>
      <c r="X22" s="51" t="s">
        <v>45</v>
      </c>
      <c r="Y22" s="27"/>
      <c r="Z22" s="51" t="s">
        <v>99</v>
      </c>
      <c r="AA22" s="51" t="s">
        <v>83</v>
      </c>
      <c r="AB22" s="51" t="s">
        <v>140</v>
      </c>
      <c r="AC22" s="27">
        <v>1</v>
      </c>
      <c r="AD22" s="27">
        <v>1</v>
      </c>
      <c r="AE22" s="27">
        <v>5</v>
      </c>
      <c r="AF22" s="27" t="s">
        <v>548</v>
      </c>
      <c r="AG22" s="27">
        <v>3</v>
      </c>
    </row>
    <row r="23" spans="1:33" x14ac:dyDescent="0.55000000000000004">
      <c r="A23" s="28" t="s">
        <v>754</v>
      </c>
      <c r="B23" s="28" t="s">
        <v>535</v>
      </c>
      <c r="C23" s="28" t="s">
        <v>781</v>
      </c>
      <c r="D23" s="48" t="s">
        <v>679</v>
      </c>
      <c r="E23" s="28" t="s">
        <v>515</v>
      </c>
      <c r="F23" s="28" t="s">
        <v>516</v>
      </c>
      <c r="G23" s="28" t="s">
        <v>779</v>
      </c>
      <c r="H23" s="28" t="s">
        <v>543</v>
      </c>
      <c r="I23" s="28" t="s">
        <v>544</v>
      </c>
      <c r="J23" s="28" t="s">
        <v>515</v>
      </c>
      <c r="K23" s="48" t="s">
        <v>69</v>
      </c>
      <c r="L23" s="28" t="s">
        <v>544</v>
      </c>
      <c r="M23" s="28" t="s">
        <v>544</v>
      </c>
      <c r="N23" s="48" t="s">
        <v>343</v>
      </c>
      <c r="O23" s="48" t="s">
        <v>0</v>
      </c>
      <c r="P23" s="28" t="s">
        <v>629</v>
      </c>
      <c r="Q23" s="51">
        <v>7000226019</v>
      </c>
      <c r="R23" s="27">
        <v>113570403</v>
      </c>
      <c r="S23" s="51" t="s">
        <v>63</v>
      </c>
      <c r="T23" s="27" t="s">
        <v>630</v>
      </c>
      <c r="U23" s="51" t="s">
        <v>267</v>
      </c>
      <c r="V23" s="51" t="s">
        <v>327</v>
      </c>
      <c r="W23" s="51" t="s">
        <v>653</v>
      </c>
      <c r="X23" s="51" t="s">
        <v>45</v>
      </c>
      <c r="Y23" s="27"/>
      <c r="Z23" s="51" t="s">
        <v>99</v>
      </c>
      <c r="AA23" s="51" t="s">
        <v>83</v>
      </c>
      <c r="AB23" s="51" t="s">
        <v>140</v>
      </c>
      <c r="AC23" s="27">
        <v>1</v>
      </c>
      <c r="AD23" s="27">
        <v>1</v>
      </c>
      <c r="AE23" s="27">
        <v>5</v>
      </c>
      <c r="AF23" s="27" t="s">
        <v>549</v>
      </c>
      <c r="AG23" s="27">
        <v>3</v>
      </c>
    </row>
    <row r="24" spans="1:33" x14ac:dyDescent="0.55000000000000004">
      <c r="A24" s="28" t="s">
        <v>754</v>
      </c>
      <c r="B24" s="28" t="s">
        <v>536</v>
      </c>
      <c r="C24" s="28" t="s">
        <v>782</v>
      </c>
      <c r="D24" s="48" t="s">
        <v>680</v>
      </c>
      <c r="E24" s="28" t="s">
        <v>515</v>
      </c>
      <c r="F24" s="28" t="s">
        <v>516</v>
      </c>
      <c r="G24" s="28" t="s">
        <v>779</v>
      </c>
      <c r="H24" s="28" t="s">
        <v>543</v>
      </c>
      <c r="I24" s="28" t="s">
        <v>544</v>
      </c>
      <c r="J24" s="28" t="s">
        <v>515</v>
      </c>
      <c r="K24" s="48" t="s">
        <v>69</v>
      </c>
      <c r="L24" s="28" t="s">
        <v>544</v>
      </c>
      <c r="M24" s="28" t="s">
        <v>544</v>
      </c>
      <c r="N24" s="48" t="s">
        <v>343</v>
      </c>
      <c r="O24" s="48" t="s">
        <v>0</v>
      </c>
      <c r="P24" s="28" t="s">
        <v>629</v>
      </c>
      <c r="Q24" s="51">
        <v>7000226019</v>
      </c>
      <c r="R24" s="27">
        <v>113570503</v>
      </c>
      <c r="S24" s="51" t="s">
        <v>63</v>
      </c>
      <c r="T24" s="27" t="s">
        <v>630</v>
      </c>
      <c r="U24" s="51" t="s">
        <v>267</v>
      </c>
      <c r="V24" s="51" t="s">
        <v>327</v>
      </c>
      <c r="W24" s="51" t="s">
        <v>654</v>
      </c>
      <c r="X24" s="51" t="s">
        <v>45</v>
      </c>
      <c r="Y24" s="27"/>
      <c r="Z24" s="51" t="s">
        <v>99</v>
      </c>
      <c r="AA24" s="51" t="s">
        <v>83</v>
      </c>
      <c r="AB24" s="51" t="s">
        <v>140</v>
      </c>
      <c r="AC24" s="27">
        <v>1</v>
      </c>
      <c r="AD24" s="27">
        <v>1</v>
      </c>
      <c r="AE24" s="27">
        <v>5</v>
      </c>
      <c r="AF24" s="27" t="s">
        <v>550</v>
      </c>
      <c r="AG24" s="27">
        <v>3</v>
      </c>
    </row>
    <row r="25" spans="1:33" x14ac:dyDescent="0.55000000000000004">
      <c r="A25" s="28" t="s">
        <v>754</v>
      </c>
      <c r="B25" s="28" t="s">
        <v>537</v>
      </c>
      <c r="C25" s="28" t="s">
        <v>783</v>
      </c>
      <c r="D25" s="48" t="s">
        <v>681</v>
      </c>
      <c r="E25" s="28" t="s">
        <v>515</v>
      </c>
      <c r="F25" s="28" t="s">
        <v>516</v>
      </c>
      <c r="G25" s="28" t="s">
        <v>779</v>
      </c>
      <c r="H25" s="28" t="s">
        <v>543</v>
      </c>
      <c r="I25" s="28" t="s">
        <v>544</v>
      </c>
      <c r="J25" s="28" t="s">
        <v>515</v>
      </c>
      <c r="K25" s="48" t="s">
        <v>69</v>
      </c>
      <c r="L25" s="28" t="s">
        <v>544</v>
      </c>
      <c r="M25" s="28" t="s">
        <v>544</v>
      </c>
      <c r="N25" s="48" t="s">
        <v>343</v>
      </c>
      <c r="O25" s="48" t="s">
        <v>0</v>
      </c>
      <c r="P25" s="28" t="s">
        <v>629</v>
      </c>
      <c r="Q25" s="51">
        <v>7000226019</v>
      </c>
      <c r="R25" s="27">
        <v>113570603</v>
      </c>
      <c r="S25" s="51" t="s">
        <v>63</v>
      </c>
      <c r="T25" s="27" t="s">
        <v>630</v>
      </c>
      <c r="U25" s="51" t="s">
        <v>267</v>
      </c>
      <c r="V25" s="51" t="s">
        <v>327</v>
      </c>
      <c r="W25" s="51" t="s">
        <v>655</v>
      </c>
      <c r="X25" s="51" t="s">
        <v>45</v>
      </c>
      <c r="Y25" s="27"/>
      <c r="Z25" s="51" t="s">
        <v>99</v>
      </c>
      <c r="AA25" s="51" t="s">
        <v>83</v>
      </c>
      <c r="AB25" s="51" t="s">
        <v>140</v>
      </c>
      <c r="AC25" s="27">
        <v>1</v>
      </c>
      <c r="AD25" s="27">
        <v>1</v>
      </c>
      <c r="AE25" s="27">
        <v>5</v>
      </c>
      <c r="AF25" s="27" t="s">
        <v>551</v>
      </c>
      <c r="AG25" s="27">
        <v>3</v>
      </c>
    </row>
    <row r="26" spans="1:33" x14ac:dyDescent="0.55000000000000004">
      <c r="A26" s="28" t="s">
        <v>754</v>
      </c>
      <c r="B26" s="28" t="s">
        <v>357</v>
      </c>
      <c r="C26" s="28" t="s">
        <v>785</v>
      </c>
      <c r="D26" s="48" t="s">
        <v>682</v>
      </c>
      <c r="E26" s="28" t="s">
        <v>515</v>
      </c>
      <c r="F26" s="28" t="s">
        <v>516</v>
      </c>
      <c r="G26" s="28" t="s">
        <v>784</v>
      </c>
      <c r="H26" s="28" t="s">
        <v>543</v>
      </c>
      <c r="I26" s="28" t="s">
        <v>544</v>
      </c>
      <c r="J26" s="28" t="s">
        <v>515</v>
      </c>
      <c r="K26" s="48" t="s">
        <v>69</v>
      </c>
      <c r="L26" s="28" t="s">
        <v>544</v>
      </c>
      <c r="M26" s="28" t="s">
        <v>544</v>
      </c>
      <c r="N26" s="48" t="s">
        <v>343</v>
      </c>
      <c r="O26" s="48" t="s">
        <v>0</v>
      </c>
      <c r="P26" s="28" t="s">
        <v>629</v>
      </c>
      <c r="Q26" s="51">
        <v>7000226019</v>
      </c>
      <c r="R26" s="27">
        <v>114420103</v>
      </c>
      <c r="S26" s="51" t="s">
        <v>63</v>
      </c>
      <c r="T26" s="27" t="s">
        <v>630</v>
      </c>
      <c r="U26" s="51" t="s">
        <v>267</v>
      </c>
      <c r="V26" s="51" t="s">
        <v>327</v>
      </c>
      <c r="W26" s="51" t="s">
        <v>650</v>
      </c>
      <c r="X26" s="51" t="s">
        <v>45</v>
      </c>
      <c r="Y26" s="27"/>
      <c r="Z26" s="51" t="s">
        <v>99</v>
      </c>
      <c r="AA26" s="51" t="s">
        <v>83</v>
      </c>
      <c r="AB26" s="51" t="s">
        <v>140</v>
      </c>
      <c r="AC26" s="27">
        <v>1</v>
      </c>
      <c r="AD26" s="27">
        <v>1</v>
      </c>
      <c r="AE26" s="27">
        <v>5</v>
      </c>
      <c r="AF26" s="27" t="s">
        <v>501</v>
      </c>
      <c r="AG26" s="27">
        <v>4</v>
      </c>
    </row>
    <row r="27" spans="1:33" x14ac:dyDescent="0.55000000000000004">
      <c r="A27" s="28" t="s">
        <v>754</v>
      </c>
      <c r="B27" s="28" t="s">
        <v>538</v>
      </c>
      <c r="C27" s="28" t="s">
        <v>786</v>
      </c>
      <c r="D27" s="48" t="s">
        <v>683</v>
      </c>
      <c r="E27" s="28" t="s">
        <v>515</v>
      </c>
      <c r="F27" s="28" t="s">
        <v>516</v>
      </c>
      <c r="G27" s="28" t="s">
        <v>784</v>
      </c>
      <c r="H27" s="28" t="s">
        <v>543</v>
      </c>
      <c r="I27" s="28" t="s">
        <v>544</v>
      </c>
      <c r="J27" s="28" t="s">
        <v>515</v>
      </c>
      <c r="K27" s="48" t="s">
        <v>69</v>
      </c>
      <c r="L27" s="28" t="s">
        <v>544</v>
      </c>
      <c r="M27" s="28" t="s">
        <v>544</v>
      </c>
      <c r="N27" s="48" t="s">
        <v>343</v>
      </c>
      <c r="O27" s="48" t="s">
        <v>0</v>
      </c>
      <c r="P27" s="28" t="s">
        <v>629</v>
      </c>
      <c r="Q27" s="51">
        <v>7000226019</v>
      </c>
      <c r="R27" s="27">
        <v>114420203</v>
      </c>
      <c r="S27" s="51" t="s">
        <v>63</v>
      </c>
      <c r="T27" s="27" t="s">
        <v>630</v>
      </c>
      <c r="U27" s="51" t="s">
        <v>267</v>
      </c>
      <c r="V27" s="51" t="s">
        <v>327</v>
      </c>
      <c r="W27" s="51" t="s">
        <v>651</v>
      </c>
      <c r="X27" s="51" t="s">
        <v>45</v>
      </c>
      <c r="Y27" s="27"/>
      <c r="Z27" s="51" t="s">
        <v>99</v>
      </c>
      <c r="AA27" s="51" t="s">
        <v>83</v>
      </c>
      <c r="AB27" s="51" t="s">
        <v>140</v>
      </c>
      <c r="AC27" s="27">
        <v>1</v>
      </c>
      <c r="AD27" s="27">
        <v>1</v>
      </c>
      <c r="AE27" s="27">
        <v>5</v>
      </c>
      <c r="AF27" s="27" t="s">
        <v>545</v>
      </c>
      <c r="AG27" s="27">
        <v>4</v>
      </c>
    </row>
    <row r="28" spans="1:33" x14ac:dyDescent="0.55000000000000004">
      <c r="A28" s="28" t="s">
        <v>754</v>
      </c>
      <c r="B28" s="28" t="s">
        <v>539</v>
      </c>
      <c r="C28" s="28" t="s">
        <v>787</v>
      </c>
      <c r="D28" s="48" t="s">
        <v>684</v>
      </c>
      <c r="E28" s="28" t="s">
        <v>515</v>
      </c>
      <c r="F28" s="28" t="s">
        <v>516</v>
      </c>
      <c r="G28" s="28" t="s">
        <v>784</v>
      </c>
      <c r="H28" s="28" t="s">
        <v>543</v>
      </c>
      <c r="I28" s="28" t="s">
        <v>544</v>
      </c>
      <c r="J28" s="28" t="s">
        <v>515</v>
      </c>
      <c r="K28" s="48" t="s">
        <v>69</v>
      </c>
      <c r="L28" s="28" t="s">
        <v>544</v>
      </c>
      <c r="M28" s="28" t="s">
        <v>544</v>
      </c>
      <c r="N28" s="48" t="s">
        <v>343</v>
      </c>
      <c r="O28" s="48" t="s">
        <v>0</v>
      </c>
      <c r="P28" s="28" t="s">
        <v>629</v>
      </c>
      <c r="Q28" s="51">
        <v>7000226019</v>
      </c>
      <c r="R28" s="27">
        <v>114420303</v>
      </c>
      <c r="S28" s="51" t="s">
        <v>63</v>
      </c>
      <c r="T28" s="27" t="s">
        <v>630</v>
      </c>
      <c r="U28" s="51" t="s">
        <v>267</v>
      </c>
      <c r="V28" s="51" t="s">
        <v>327</v>
      </c>
      <c r="W28" s="51" t="s">
        <v>652</v>
      </c>
      <c r="X28" s="51" t="s">
        <v>45</v>
      </c>
      <c r="Y28" s="27"/>
      <c r="Z28" s="51" t="s">
        <v>99</v>
      </c>
      <c r="AA28" s="51" t="s">
        <v>83</v>
      </c>
      <c r="AB28" s="51" t="s">
        <v>140</v>
      </c>
      <c r="AC28" s="27">
        <v>1</v>
      </c>
      <c r="AD28" s="27">
        <v>1</v>
      </c>
      <c r="AE28" s="27">
        <v>5</v>
      </c>
      <c r="AF28" s="27" t="s">
        <v>546</v>
      </c>
      <c r="AG28" s="27">
        <v>4</v>
      </c>
    </row>
    <row r="29" spans="1:33" x14ac:dyDescent="0.55000000000000004">
      <c r="A29" s="28" t="s">
        <v>754</v>
      </c>
      <c r="B29" s="28" t="s">
        <v>540</v>
      </c>
      <c r="C29" s="28" t="s">
        <v>788</v>
      </c>
      <c r="D29" s="48" t="s">
        <v>685</v>
      </c>
      <c r="E29" s="28" t="s">
        <v>515</v>
      </c>
      <c r="F29" s="28" t="s">
        <v>516</v>
      </c>
      <c r="G29" s="28" t="s">
        <v>784</v>
      </c>
      <c r="H29" s="28" t="s">
        <v>543</v>
      </c>
      <c r="I29" s="28" t="s">
        <v>544</v>
      </c>
      <c r="J29" s="28" t="s">
        <v>515</v>
      </c>
      <c r="K29" s="48" t="s">
        <v>69</v>
      </c>
      <c r="L29" s="28" t="s">
        <v>544</v>
      </c>
      <c r="M29" s="28" t="s">
        <v>544</v>
      </c>
      <c r="N29" s="48" t="s">
        <v>343</v>
      </c>
      <c r="O29" s="48" t="s">
        <v>0</v>
      </c>
      <c r="P29" s="28" t="s">
        <v>629</v>
      </c>
      <c r="Q29" s="51">
        <v>7000226019</v>
      </c>
      <c r="R29" s="27">
        <v>114420403</v>
      </c>
      <c r="S29" s="51" t="s">
        <v>63</v>
      </c>
      <c r="T29" s="27" t="s">
        <v>630</v>
      </c>
      <c r="U29" s="51" t="s">
        <v>267</v>
      </c>
      <c r="V29" s="51" t="s">
        <v>327</v>
      </c>
      <c r="W29" s="51" t="s">
        <v>653</v>
      </c>
      <c r="X29" s="51" t="s">
        <v>45</v>
      </c>
      <c r="Y29" s="27"/>
      <c r="Z29" s="51" t="s">
        <v>99</v>
      </c>
      <c r="AA29" s="51" t="s">
        <v>83</v>
      </c>
      <c r="AB29" s="51" t="s">
        <v>140</v>
      </c>
      <c r="AC29" s="27">
        <v>1</v>
      </c>
      <c r="AD29" s="27">
        <v>1</v>
      </c>
      <c r="AE29" s="27">
        <v>5</v>
      </c>
      <c r="AF29" s="27" t="s">
        <v>547</v>
      </c>
      <c r="AG29" s="27">
        <v>4</v>
      </c>
    </row>
    <row r="30" spans="1:33" x14ac:dyDescent="0.55000000000000004">
      <c r="A30" s="28" t="s">
        <v>754</v>
      </c>
      <c r="B30" s="28" t="s">
        <v>541</v>
      </c>
      <c r="C30" s="28" t="s">
        <v>789</v>
      </c>
      <c r="D30" s="48" t="s">
        <v>686</v>
      </c>
      <c r="E30" s="28" t="s">
        <v>515</v>
      </c>
      <c r="F30" s="28" t="s">
        <v>516</v>
      </c>
      <c r="G30" s="28" t="s">
        <v>784</v>
      </c>
      <c r="H30" s="28" t="s">
        <v>543</v>
      </c>
      <c r="I30" s="28" t="s">
        <v>544</v>
      </c>
      <c r="J30" s="28" t="s">
        <v>515</v>
      </c>
      <c r="K30" s="48" t="s">
        <v>69</v>
      </c>
      <c r="L30" s="28" t="s">
        <v>544</v>
      </c>
      <c r="M30" s="28" t="s">
        <v>544</v>
      </c>
      <c r="N30" s="48" t="s">
        <v>343</v>
      </c>
      <c r="O30" s="48" t="s">
        <v>0</v>
      </c>
      <c r="P30" s="28" t="s">
        <v>629</v>
      </c>
      <c r="Q30" s="51">
        <v>7000226019</v>
      </c>
      <c r="R30" s="27">
        <v>114420503</v>
      </c>
      <c r="S30" s="51" t="s">
        <v>63</v>
      </c>
      <c r="T30" s="27" t="s">
        <v>630</v>
      </c>
      <c r="U30" s="51" t="s">
        <v>267</v>
      </c>
      <c r="V30" s="51" t="s">
        <v>327</v>
      </c>
      <c r="W30" s="51" t="s">
        <v>654</v>
      </c>
      <c r="X30" s="51" t="s">
        <v>45</v>
      </c>
      <c r="Y30" s="27"/>
      <c r="Z30" s="51" t="s">
        <v>99</v>
      </c>
      <c r="AA30" s="51" t="s">
        <v>83</v>
      </c>
      <c r="AB30" s="51" t="s">
        <v>140</v>
      </c>
      <c r="AC30" s="27">
        <v>1</v>
      </c>
      <c r="AD30" s="27">
        <v>1</v>
      </c>
      <c r="AE30" s="27">
        <v>5</v>
      </c>
      <c r="AF30" s="27" t="s">
        <v>548</v>
      </c>
      <c r="AG30" s="27">
        <v>4</v>
      </c>
    </row>
    <row r="31" spans="1:33" x14ac:dyDescent="0.55000000000000004">
      <c r="A31" s="28" t="s">
        <v>754</v>
      </c>
      <c r="B31" s="28" t="s">
        <v>542</v>
      </c>
      <c r="C31" s="28" t="s">
        <v>790</v>
      </c>
      <c r="D31" s="48" t="s">
        <v>687</v>
      </c>
      <c r="E31" s="28" t="s">
        <v>515</v>
      </c>
      <c r="F31" s="28" t="s">
        <v>516</v>
      </c>
      <c r="G31" s="28" t="s">
        <v>784</v>
      </c>
      <c r="H31" s="28" t="s">
        <v>543</v>
      </c>
      <c r="I31" s="28" t="s">
        <v>544</v>
      </c>
      <c r="J31" s="28" t="s">
        <v>515</v>
      </c>
      <c r="K31" s="48" t="s">
        <v>69</v>
      </c>
      <c r="L31" s="28" t="s">
        <v>544</v>
      </c>
      <c r="M31" s="28" t="s">
        <v>544</v>
      </c>
      <c r="N31" s="48" t="s">
        <v>343</v>
      </c>
      <c r="O31" s="48" t="s">
        <v>0</v>
      </c>
      <c r="P31" s="28" t="s">
        <v>629</v>
      </c>
      <c r="Q31" s="51">
        <v>7000226019</v>
      </c>
      <c r="R31" s="27">
        <v>114420603</v>
      </c>
      <c r="S31" s="51" t="s">
        <v>63</v>
      </c>
      <c r="T31" s="27" t="s">
        <v>630</v>
      </c>
      <c r="U31" s="51" t="s">
        <v>267</v>
      </c>
      <c r="V31" s="51" t="s">
        <v>327</v>
      </c>
      <c r="W31" s="51" t="s">
        <v>655</v>
      </c>
      <c r="X31" s="51" t="s">
        <v>45</v>
      </c>
      <c r="Y31" s="27"/>
      <c r="Z31" s="51" t="s">
        <v>99</v>
      </c>
      <c r="AA31" s="51" t="s">
        <v>83</v>
      </c>
      <c r="AB31" s="51" t="s">
        <v>140</v>
      </c>
      <c r="AC31" s="27">
        <v>1</v>
      </c>
      <c r="AD31" s="27">
        <v>1</v>
      </c>
      <c r="AE31" s="27">
        <v>5</v>
      </c>
      <c r="AF31" s="27" t="s">
        <v>549</v>
      </c>
      <c r="AG31" s="27">
        <v>4</v>
      </c>
    </row>
    <row r="32" spans="1:33" x14ac:dyDescent="0.55000000000000004">
      <c r="A32" s="28" t="s">
        <v>754</v>
      </c>
      <c r="B32" s="28" t="s">
        <v>563</v>
      </c>
      <c r="C32" s="28" t="s">
        <v>792</v>
      </c>
      <c r="D32" s="48" t="s">
        <v>688</v>
      </c>
      <c r="E32" s="28" t="s">
        <v>515</v>
      </c>
      <c r="F32" s="28" t="s">
        <v>516</v>
      </c>
      <c r="G32" s="28" t="s">
        <v>791</v>
      </c>
      <c r="H32" s="28" t="s">
        <v>543</v>
      </c>
      <c r="I32" s="28" t="s">
        <v>544</v>
      </c>
      <c r="J32" s="28" t="s">
        <v>515</v>
      </c>
      <c r="K32" s="48" t="s">
        <v>69</v>
      </c>
      <c r="L32" s="28" t="s">
        <v>544</v>
      </c>
      <c r="M32" s="28" t="s">
        <v>544</v>
      </c>
      <c r="N32" s="48" t="s">
        <v>343</v>
      </c>
      <c r="O32" s="48" t="s">
        <v>0</v>
      </c>
      <c r="P32" s="28" t="s">
        <v>629</v>
      </c>
      <c r="Q32" s="51">
        <v>7000226019</v>
      </c>
      <c r="R32" s="27">
        <v>114440103</v>
      </c>
      <c r="S32" s="51" t="s">
        <v>63</v>
      </c>
      <c r="T32" s="27" t="s">
        <v>630</v>
      </c>
      <c r="U32" s="51" t="s">
        <v>267</v>
      </c>
      <c r="V32" s="51" t="s">
        <v>327</v>
      </c>
      <c r="W32" s="51" t="s">
        <v>650</v>
      </c>
      <c r="X32" s="51" t="s">
        <v>45</v>
      </c>
      <c r="Y32" s="27"/>
      <c r="Z32" s="51" t="s">
        <v>99</v>
      </c>
      <c r="AA32" s="51" t="s">
        <v>83</v>
      </c>
      <c r="AB32" s="51" t="s">
        <v>140</v>
      </c>
      <c r="AC32" s="27">
        <v>1</v>
      </c>
      <c r="AD32" s="27">
        <v>1</v>
      </c>
      <c r="AE32" s="27">
        <v>5</v>
      </c>
      <c r="AF32" s="27" t="s">
        <v>550</v>
      </c>
      <c r="AG32" s="27">
        <v>4</v>
      </c>
    </row>
    <row r="33" spans="1:33" x14ac:dyDescent="0.55000000000000004">
      <c r="A33" s="28" t="s">
        <v>754</v>
      </c>
      <c r="B33" s="28" t="s">
        <v>564</v>
      </c>
      <c r="C33" s="28" t="s">
        <v>793</v>
      </c>
      <c r="D33" s="48" t="s">
        <v>689</v>
      </c>
      <c r="E33" s="28" t="s">
        <v>515</v>
      </c>
      <c r="F33" s="28" t="s">
        <v>516</v>
      </c>
      <c r="G33" s="28" t="s">
        <v>791</v>
      </c>
      <c r="H33" s="28" t="s">
        <v>543</v>
      </c>
      <c r="I33" s="28" t="s">
        <v>544</v>
      </c>
      <c r="J33" s="28" t="s">
        <v>515</v>
      </c>
      <c r="K33" s="48" t="s">
        <v>69</v>
      </c>
      <c r="L33" s="28" t="s">
        <v>544</v>
      </c>
      <c r="M33" s="28" t="s">
        <v>544</v>
      </c>
      <c r="N33" s="48" t="s">
        <v>343</v>
      </c>
      <c r="O33" s="48" t="s">
        <v>0</v>
      </c>
      <c r="P33" s="28" t="s">
        <v>629</v>
      </c>
      <c r="Q33" s="51">
        <v>7000226019</v>
      </c>
      <c r="R33" s="27">
        <v>114440203</v>
      </c>
      <c r="S33" s="51" t="s">
        <v>63</v>
      </c>
      <c r="T33" s="27" t="s">
        <v>630</v>
      </c>
      <c r="U33" s="51" t="s">
        <v>267</v>
      </c>
      <c r="V33" s="51" t="s">
        <v>327</v>
      </c>
      <c r="W33" s="51" t="s">
        <v>651</v>
      </c>
      <c r="X33" s="51" t="s">
        <v>45</v>
      </c>
      <c r="Y33" s="27"/>
      <c r="Z33" s="51" t="s">
        <v>99</v>
      </c>
      <c r="AA33" s="51" t="s">
        <v>83</v>
      </c>
      <c r="AB33" s="51" t="s">
        <v>140</v>
      </c>
      <c r="AC33" s="27">
        <v>1</v>
      </c>
      <c r="AD33" s="27">
        <v>1</v>
      </c>
      <c r="AE33" s="27">
        <v>5</v>
      </c>
      <c r="AF33" s="27" t="s">
        <v>551</v>
      </c>
      <c r="AG33" s="27">
        <v>4</v>
      </c>
    </row>
    <row r="34" spans="1:33" x14ac:dyDescent="0.55000000000000004">
      <c r="A34" s="28" t="s">
        <v>754</v>
      </c>
      <c r="B34" s="28" t="s">
        <v>565</v>
      </c>
      <c r="C34" s="28" t="s">
        <v>794</v>
      </c>
      <c r="D34" s="48" t="s">
        <v>690</v>
      </c>
      <c r="E34" s="28" t="s">
        <v>515</v>
      </c>
      <c r="F34" s="28" t="s">
        <v>516</v>
      </c>
      <c r="G34" s="28" t="s">
        <v>791</v>
      </c>
      <c r="H34" s="28" t="s">
        <v>543</v>
      </c>
      <c r="I34" s="28" t="s">
        <v>544</v>
      </c>
      <c r="J34" s="28" t="s">
        <v>515</v>
      </c>
      <c r="K34" s="48" t="s">
        <v>69</v>
      </c>
      <c r="L34" s="28" t="s">
        <v>544</v>
      </c>
      <c r="M34" s="28" t="s">
        <v>544</v>
      </c>
      <c r="N34" s="48" t="s">
        <v>343</v>
      </c>
      <c r="O34" s="48" t="s">
        <v>0</v>
      </c>
      <c r="P34" s="28" t="s">
        <v>629</v>
      </c>
      <c r="Q34" s="51">
        <v>7000226019</v>
      </c>
      <c r="R34" s="27">
        <v>114440403</v>
      </c>
      <c r="S34" s="51" t="s">
        <v>63</v>
      </c>
      <c r="T34" s="27" t="s">
        <v>630</v>
      </c>
      <c r="U34" s="51" t="s">
        <v>267</v>
      </c>
      <c r="V34" s="51" t="s">
        <v>327</v>
      </c>
      <c r="W34" s="51" t="s">
        <v>653</v>
      </c>
      <c r="X34" s="51" t="s">
        <v>45</v>
      </c>
      <c r="Y34" s="27"/>
      <c r="Z34" s="51" t="s">
        <v>99</v>
      </c>
      <c r="AA34" s="51" t="s">
        <v>83</v>
      </c>
      <c r="AB34" s="51" t="s">
        <v>140</v>
      </c>
      <c r="AC34" s="27">
        <v>1</v>
      </c>
      <c r="AD34" s="27">
        <v>1</v>
      </c>
      <c r="AE34" s="27">
        <v>5</v>
      </c>
      <c r="AF34" s="27" t="s">
        <v>501</v>
      </c>
      <c r="AG34" s="27">
        <v>5</v>
      </c>
    </row>
    <row r="35" spans="1:33" x14ac:dyDescent="0.55000000000000004">
      <c r="A35" s="28" t="s">
        <v>754</v>
      </c>
      <c r="B35" s="28" t="s">
        <v>566</v>
      </c>
      <c r="C35" s="28" t="s">
        <v>795</v>
      </c>
      <c r="D35" s="48" t="s">
        <v>691</v>
      </c>
      <c r="E35" s="28" t="s">
        <v>515</v>
      </c>
      <c r="F35" s="28" t="s">
        <v>516</v>
      </c>
      <c r="G35" s="28" t="s">
        <v>791</v>
      </c>
      <c r="H35" s="28" t="s">
        <v>543</v>
      </c>
      <c r="I35" s="28" t="s">
        <v>544</v>
      </c>
      <c r="J35" s="28" t="s">
        <v>515</v>
      </c>
      <c r="K35" s="48" t="s">
        <v>69</v>
      </c>
      <c r="L35" s="28" t="s">
        <v>544</v>
      </c>
      <c r="M35" s="28" t="s">
        <v>544</v>
      </c>
      <c r="N35" s="48" t="s">
        <v>343</v>
      </c>
      <c r="O35" s="48" t="s">
        <v>0</v>
      </c>
      <c r="P35" s="28" t="s">
        <v>629</v>
      </c>
      <c r="Q35" s="51">
        <v>7000226019</v>
      </c>
      <c r="R35" s="27">
        <v>114440503</v>
      </c>
      <c r="S35" s="51" t="s">
        <v>63</v>
      </c>
      <c r="T35" s="27" t="s">
        <v>630</v>
      </c>
      <c r="U35" s="51" t="s">
        <v>267</v>
      </c>
      <c r="V35" s="51" t="s">
        <v>327</v>
      </c>
      <c r="W35" s="51" t="s">
        <v>654</v>
      </c>
      <c r="X35" s="51" t="s">
        <v>45</v>
      </c>
      <c r="Y35" s="27"/>
      <c r="Z35" s="51" t="s">
        <v>99</v>
      </c>
      <c r="AA35" s="51" t="s">
        <v>83</v>
      </c>
      <c r="AB35" s="51" t="s">
        <v>140</v>
      </c>
      <c r="AC35" s="27">
        <v>1</v>
      </c>
      <c r="AD35" s="27">
        <v>1</v>
      </c>
      <c r="AE35" s="27">
        <v>5</v>
      </c>
      <c r="AF35" s="27" t="s">
        <v>545</v>
      </c>
      <c r="AG35" s="27">
        <v>5</v>
      </c>
    </row>
    <row r="36" spans="1:33" x14ac:dyDescent="0.55000000000000004">
      <c r="A36" s="28" t="s">
        <v>754</v>
      </c>
      <c r="B36" s="28" t="s">
        <v>567</v>
      </c>
      <c r="C36" s="28" t="s">
        <v>796</v>
      </c>
      <c r="D36" s="48" t="s">
        <v>692</v>
      </c>
      <c r="E36" s="28" t="s">
        <v>515</v>
      </c>
      <c r="F36" s="28" t="s">
        <v>516</v>
      </c>
      <c r="G36" s="28" t="s">
        <v>791</v>
      </c>
      <c r="H36" s="28" t="s">
        <v>543</v>
      </c>
      <c r="I36" s="28" t="s">
        <v>544</v>
      </c>
      <c r="J36" s="28" t="s">
        <v>515</v>
      </c>
      <c r="K36" s="48" t="s">
        <v>69</v>
      </c>
      <c r="L36" s="28" t="s">
        <v>544</v>
      </c>
      <c r="M36" s="28" t="s">
        <v>544</v>
      </c>
      <c r="N36" s="48" t="s">
        <v>343</v>
      </c>
      <c r="O36" s="48" t="s">
        <v>0</v>
      </c>
      <c r="P36" s="28" t="s">
        <v>629</v>
      </c>
      <c r="Q36" s="51">
        <v>7000226019</v>
      </c>
      <c r="R36" s="27">
        <v>114440603</v>
      </c>
      <c r="S36" s="51" t="s">
        <v>63</v>
      </c>
      <c r="T36" s="27" t="s">
        <v>630</v>
      </c>
      <c r="U36" s="51" t="s">
        <v>267</v>
      </c>
      <c r="V36" s="51" t="s">
        <v>327</v>
      </c>
      <c r="W36" s="51" t="s">
        <v>655</v>
      </c>
      <c r="X36" s="51" t="s">
        <v>45</v>
      </c>
      <c r="Y36" s="27"/>
      <c r="Z36" s="51" t="s">
        <v>99</v>
      </c>
      <c r="AA36" s="51" t="s">
        <v>83</v>
      </c>
      <c r="AB36" s="51" t="s">
        <v>140</v>
      </c>
      <c r="AC36" s="27">
        <v>1</v>
      </c>
      <c r="AD36" s="27">
        <v>1</v>
      </c>
      <c r="AE36" s="27">
        <v>5</v>
      </c>
      <c r="AF36" s="27" t="s">
        <v>546</v>
      </c>
      <c r="AG36" s="27">
        <v>5</v>
      </c>
    </row>
    <row r="37" spans="1:33" x14ac:dyDescent="0.55000000000000004">
      <c r="A37" s="28" t="s">
        <v>754</v>
      </c>
      <c r="B37" s="28" t="s">
        <v>568</v>
      </c>
      <c r="C37" s="28" t="s">
        <v>798</v>
      </c>
      <c r="D37" s="48" t="s">
        <v>693</v>
      </c>
      <c r="E37" s="28" t="s">
        <v>515</v>
      </c>
      <c r="F37" s="28" t="s">
        <v>516</v>
      </c>
      <c r="G37" s="28" t="s">
        <v>797</v>
      </c>
      <c r="H37" s="28" t="s">
        <v>543</v>
      </c>
      <c r="I37" s="28" t="s">
        <v>544</v>
      </c>
      <c r="J37" s="28" t="s">
        <v>515</v>
      </c>
      <c r="K37" s="48" t="s">
        <v>69</v>
      </c>
      <c r="L37" s="28" t="s">
        <v>544</v>
      </c>
      <c r="M37" s="28" t="s">
        <v>544</v>
      </c>
      <c r="N37" s="48" t="s">
        <v>343</v>
      </c>
      <c r="O37" s="48" t="s">
        <v>0</v>
      </c>
      <c r="P37" s="28" t="s">
        <v>629</v>
      </c>
      <c r="Q37" s="51">
        <v>7000226019</v>
      </c>
      <c r="R37" s="27">
        <v>110290103</v>
      </c>
      <c r="S37" s="51" t="s">
        <v>63</v>
      </c>
      <c r="T37" s="27" t="s">
        <v>630</v>
      </c>
      <c r="U37" s="51" t="s">
        <v>267</v>
      </c>
      <c r="V37" s="51" t="s">
        <v>327</v>
      </c>
      <c r="W37" s="51" t="s">
        <v>650</v>
      </c>
      <c r="X37" s="51" t="s">
        <v>45</v>
      </c>
      <c r="Y37" s="27"/>
      <c r="Z37" s="51" t="s">
        <v>99</v>
      </c>
      <c r="AA37" s="51" t="s">
        <v>83</v>
      </c>
      <c r="AB37" s="51" t="s">
        <v>140</v>
      </c>
      <c r="AC37" s="27">
        <v>1</v>
      </c>
      <c r="AD37" s="27">
        <v>1</v>
      </c>
      <c r="AE37" s="27">
        <v>5</v>
      </c>
      <c r="AF37" s="27" t="s">
        <v>547</v>
      </c>
      <c r="AG37" s="27">
        <v>5</v>
      </c>
    </row>
    <row r="38" spans="1:33" x14ac:dyDescent="0.55000000000000004">
      <c r="A38" s="28" t="s">
        <v>754</v>
      </c>
      <c r="B38" s="28" t="s">
        <v>569</v>
      </c>
      <c r="C38" s="28" t="s">
        <v>799</v>
      </c>
      <c r="D38" s="48" t="s">
        <v>694</v>
      </c>
      <c r="E38" s="28" t="s">
        <v>515</v>
      </c>
      <c r="F38" s="28" t="s">
        <v>516</v>
      </c>
      <c r="G38" s="28" t="s">
        <v>797</v>
      </c>
      <c r="H38" s="28" t="s">
        <v>543</v>
      </c>
      <c r="I38" s="28" t="s">
        <v>544</v>
      </c>
      <c r="J38" s="28" t="s">
        <v>515</v>
      </c>
      <c r="K38" s="48" t="s">
        <v>69</v>
      </c>
      <c r="L38" s="28" t="s">
        <v>544</v>
      </c>
      <c r="M38" s="28" t="s">
        <v>544</v>
      </c>
      <c r="N38" s="48" t="s">
        <v>343</v>
      </c>
      <c r="O38" s="48" t="s">
        <v>0</v>
      </c>
      <c r="P38" s="28" t="s">
        <v>629</v>
      </c>
      <c r="Q38" s="51">
        <v>7000226019</v>
      </c>
      <c r="R38" s="27">
        <v>110290203</v>
      </c>
      <c r="S38" s="51" t="s">
        <v>63</v>
      </c>
      <c r="T38" s="27" t="s">
        <v>630</v>
      </c>
      <c r="U38" s="51" t="s">
        <v>267</v>
      </c>
      <c r="V38" s="51" t="s">
        <v>327</v>
      </c>
      <c r="W38" s="51" t="s">
        <v>651</v>
      </c>
      <c r="X38" s="51" t="s">
        <v>45</v>
      </c>
      <c r="Y38" s="27"/>
      <c r="Z38" s="51" t="s">
        <v>99</v>
      </c>
      <c r="AA38" s="51" t="s">
        <v>83</v>
      </c>
      <c r="AB38" s="51" t="s">
        <v>140</v>
      </c>
      <c r="AC38" s="27">
        <v>1</v>
      </c>
      <c r="AD38" s="27">
        <v>1</v>
      </c>
      <c r="AE38" s="27">
        <v>5</v>
      </c>
      <c r="AF38" s="27" t="s">
        <v>548</v>
      </c>
      <c r="AG38" s="27">
        <v>5</v>
      </c>
    </row>
    <row r="39" spans="1:33" x14ac:dyDescent="0.55000000000000004">
      <c r="A39" s="28" t="s">
        <v>754</v>
      </c>
      <c r="B39" s="28" t="s">
        <v>570</v>
      </c>
      <c r="C39" s="28" t="s">
        <v>800</v>
      </c>
      <c r="D39" s="48" t="s">
        <v>695</v>
      </c>
      <c r="E39" s="28" t="s">
        <v>515</v>
      </c>
      <c r="F39" s="28" t="s">
        <v>516</v>
      </c>
      <c r="G39" s="28" t="s">
        <v>797</v>
      </c>
      <c r="H39" s="28" t="s">
        <v>543</v>
      </c>
      <c r="I39" s="28" t="s">
        <v>544</v>
      </c>
      <c r="J39" s="28" t="s">
        <v>515</v>
      </c>
      <c r="K39" s="48" t="s">
        <v>69</v>
      </c>
      <c r="L39" s="28" t="s">
        <v>544</v>
      </c>
      <c r="M39" s="28" t="s">
        <v>544</v>
      </c>
      <c r="N39" s="48" t="s">
        <v>343</v>
      </c>
      <c r="O39" s="48" t="s">
        <v>0</v>
      </c>
      <c r="P39" s="28" t="s">
        <v>629</v>
      </c>
      <c r="Q39" s="51">
        <v>7000226019</v>
      </c>
      <c r="R39" s="27">
        <v>110290303</v>
      </c>
      <c r="S39" s="51" t="s">
        <v>63</v>
      </c>
      <c r="T39" s="27" t="s">
        <v>630</v>
      </c>
      <c r="U39" s="51" t="s">
        <v>267</v>
      </c>
      <c r="V39" s="51" t="s">
        <v>327</v>
      </c>
      <c r="W39" s="51" t="s">
        <v>652</v>
      </c>
      <c r="X39" s="51" t="s">
        <v>45</v>
      </c>
      <c r="Y39" s="27"/>
      <c r="Z39" s="51" t="s">
        <v>99</v>
      </c>
      <c r="AA39" s="51" t="s">
        <v>83</v>
      </c>
      <c r="AB39" s="51" t="s">
        <v>140</v>
      </c>
      <c r="AC39" s="27">
        <v>1</v>
      </c>
      <c r="AD39" s="27">
        <v>1</v>
      </c>
      <c r="AE39" s="27">
        <v>5</v>
      </c>
      <c r="AF39" s="27" t="s">
        <v>549</v>
      </c>
      <c r="AG39" s="27">
        <v>5</v>
      </c>
    </row>
    <row r="40" spans="1:33" x14ac:dyDescent="0.55000000000000004">
      <c r="A40" s="28" t="s">
        <v>754</v>
      </c>
      <c r="B40" s="28" t="s">
        <v>571</v>
      </c>
      <c r="C40" s="28" t="s">
        <v>801</v>
      </c>
      <c r="D40" s="48" t="s">
        <v>696</v>
      </c>
      <c r="E40" s="28" t="s">
        <v>515</v>
      </c>
      <c r="F40" s="28" t="s">
        <v>516</v>
      </c>
      <c r="G40" s="28" t="s">
        <v>797</v>
      </c>
      <c r="H40" s="28" t="s">
        <v>543</v>
      </c>
      <c r="I40" s="28" t="s">
        <v>544</v>
      </c>
      <c r="J40" s="28" t="s">
        <v>515</v>
      </c>
      <c r="K40" s="48" t="s">
        <v>69</v>
      </c>
      <c r="L40" s="28" t="s">
        <v>544</v>
      </c>
      <c r="M40" s="28" t="s">
        <v>544</v>
      </c>
      <c r="N40" s="48" t="s">
        <v>343</v>
      </c>
      <c r="O40" s="48" t="s">
        <v>0</v>
      </c>
      <c r="P40" s="28" t="s">
        <v>629</v>
      </c>
      <c r="Q40" s="51">
        <v>7000226019</v>
      </c>
      <c r="R40" s="27">
        <v>110290403</v>
      </c>
      <c r="S40" s="51" t="s">
        <v>63</v>
      </c>
      <c r="T40" s="27" t="s">
        <v>630</v>
      </c>
      <c r="U40" s="51" t="s">
        <v>267</v>
      </c>
      <c r="V40" s="51" t="s">
        <v>327</v>
      </c>
      <c r="W40" s="51" t="s">
        <v>653</v>
      </c>
      <c r="X40" s="51" t="s">
        <v>45</v>
      </c>
      <c r="Y40" s="27"/>
      <c r="Z40" s="51" t="s">
        <v>99</v>
      </c>
      <c r="AA40" s="51" t="s">
        <v>83</v>
      </c>
      <c r="AB40" s="51" t="s">
        <v>140</v>
      </c>
      <c r="AC40" s="27">
        <v>1</v>
      </c>
      <c r="AD40" s="27">
        <v>1</v>
      </c>
      <c r="AE40" s="27">
        <v>5</v>
      </c>
      <c r="AF40" s="27" t="s">
        <v>550</v>
      </c>
      <c r="AG40" s="27">
        <v>5</v>
      </c>
    </row>
    <row r="41" spans="1:33" x14ac:dyDescent="0.55000000000000004">
      <c r="A41" s="28" t="s">
        <v>754</v>
      </c>
      <c r="B41" s="28" t="s">
        <v>572</v>
      </c>
      <c r="C41" s="28" t="s">
        <v>802</v>
      </c>
      <c r="D41" s="48" t="s">
        <v>697</v>
      </c>
      <c r="E41" s="28" t="s">
        <v>515</v>
      </c>
      <c r="F41" s="28" t="s">
        <v>516</v>
      </c>
      <c r="G41" s="28" t="s">
        <v>797</v>
      </c>
      <c r="H41" s="28" t="s">
        <v>543</v>
      </c>
      <c r="I41" s="28" t="s">
        <v>544</v>
      </c>
      <c r="J41" s="28" t="s">
        <v>515</v>
      </c>
      <c r="K41" s="48" t="s">
        <v>69</v>
      </c>
      <c r="L41" s="28" t="s">
        <v>544</v>
      </c>
      <c r="M41" s="28" t="s">
        <v>544</v>
      </c>
      <c r="N41" s="48" t="s">
        <v>343</v>
      </c>
      <c r="O41" s="48" t="s">
        <v>0</v>
      </c>
      <c r="P41" s="28" t="s">
        <v>629</v>
      </c>
      <c r="Q41" s="51">
        <v>7000226019</v>
      </c>
      <c r="R41" s="27">
        <v>110290503</v>
      </c>
      <c r="S41" s="51" t="s">
        <v>63</v>
      </c>
      <c r="T41" s="27" t="s">
        <v>630</v>
      </c>
      <c r="U41" s="51" t="s">
        <v>267</v>
      </c>
      <c r="V41" s="51" t="s">
        <v>327</v>
      </c>
      <c r="W41" s="51" t="s">
        <v>654</v>
      </c>
      <c r="X41" s="51" t="s">
        <v>45</v>
      </c>
      <c r="Y41" s="27"/>
      <c r="Z41" s="51" t="s">
        <v>99</v>
      </c>
      <c r="AA41" s="51" t="s">
        <v>83</v>
      </c>
      <c r="AB41" s="51" t="s">
        <v>140</v>
      </c>
      <c r="AC41" s="27">
        <v>1</v>
      </c>
      <c r="AD41" s="27">
        <v>1</v>
      </c>
      <c r="AE41" s="27">
        <v>5</v>
      </c>
      <c r="AF41" s="27" t="s">
        <v>551</v>
      </c>
      <c r="AG41" s="27">
        <v>5</v>
      </c>
    </row>
    <row r="42" spans="1:33" x14ac:dyDescent="0.55000000000000004">
      <c r="A42" s="28" t="s">
        <v>754</v>
      </c>
      <c r="B42" s="28" t="s">
        <v>573</v>
      </c>
      <c r="C42" s="28" t="s">
        <v>803</v>
      </c>
      <c r="D42" s="48" t="s">
        <v>698</v>
      </c>
      <c r="E42" s="28" t="s">
        <v>515</v>
      </c>
      <c r="F42" s="28" t="s">
        <v>516</v>
      </c>
      <c r="G42" s="28" t="s">
        <v>797</v>
      </c>
      <c r="H42" s="28" t="s">
        <v>543</v>
      </c>
      <c r="I42" s="28" t="s">
        <v>544</v>
      </c>
      <c r="J42" s="28" t="s">
        <v>515</v>
      </c>
      <c r="K42" s="48" t="s">
        <v>69</v>
      </c>
      <c r="L42" s="28" t="s">
        <v>544</v>
      </c>
      <c r="M42" s="28" t="s">
        <v>544</v>
      </c>
      <c r="N42" s="48" t="s">
        <v>343</v>
      </c>
      <c r="O42" s="48" t="s">
        <v>0</v>
      </c>
      <c r="P42" s="28" t="s">
        <v>629</v>
      </c>
      <c r="Q42" s="51">
        <v>7000226019</v>
      </c>
      <c r="R42" s="27">
        <v>110290603</v>
      </c>
      <c r="S42" s="51" t="s">
        <v>63</v>
      </c>
      <c r="T42" s="27" t="s">
        <v>630</v>
      </c>
      <c r="U42" s="51" t="s">
        <v>267</v>
      </c>
      <c r="V42" s="51" t="s">
        <v>327</v>
      </c>
      <c r="W42" s="51" t="s">
        <v>655</v>
      </c>
      <c r="X42" s="51" t="s">
        <v>45</v>
      </c>
      <c r="Y42" s="27"/>
      <c r="Z42" s="51" t="s">
        <v>99</v>
      </c>
      <c r="AA42" s="51" t="s">
        <v>83</v>
      </c>
      <c r="AB42" s="51" t="s">
        <v>140</v>
      </c>
      <c r="AC42" s="27">
        <v>1</v>
      </c>
      <c r="AD42" s="27">
        <v>1</v>
      </c>
      <c r="AE42" s="27">
        <v>5</v>
      </c>
      <c r="AF42" s="27" t="s">
        <v>501</v>
      </c>
      <c r="AG42" s="27">
        <v>6</v>
      </c>
    </row>
    <row r="43" spans="1:33" x14ac:dyDescent="0.55000000000000004">
      <c r="A43" s="28" t="s">
        <v>754</v>
      </c>
      <c r="B43" s="28" t="s">
        <v>574</v>
      </c>
      <c r="C43" s="28" t="s">
        <v>804</v>
      </c>
      <c r="D43" s="48" t="s">
        <v>699</v>
      </c>
      <c r="E43" s="28" t="s">
        <v>515</v>
      </c>
      <c r="F43" s="28" t="s">
        <v>516</v>
      </c>
      <c r="G43" s="28" t="s">
        <v>797</v>
      </c>
      <c r="H43" s="28" t="s">
        <v>543</v>
      </c>
      <c r="I43" s="28" t="s">
        <v>544</v>
      </c>
      <c r="J43" s="28" t="s">
        <v>515</v>
      </c>
      <c r="K43" s="48" t="s">
        <v>69</v>
      </c>
      <c r="L43" s="28" t="s">
        <v>544</v>
      </c>
      <c r="M43" s="28" t="s">
        <v>544</v>
      </c>
      <c r="N43" s="48" t="s">
        <v>343</v>
      </c>
      <c r="O43" s="48" t="s">
        <v>0</v>
      </c>
      <c r="P43" s="28" t="s">
        <v>629</v>
      </c>
      <c r="Q43" s="51">
        <v>7000226019</v>
      </c>
      <c r="R43" s="27">
        <v>110290703</v>
      </c>
      <c r="S43" s="51" t="s">
        <v>63</v>
      </c>
      <c r="T43" s="27" t="s">
        <v>630</v>
      </c>
      <c r="U43" s="51" t="s">
        <v>267</v>
      </c>
      <c r="V43" s="51" t="s">
        <v>327</v>
      </c>
      <c r="W43" s="51" t="s">
        <v>656</v>
      </c>
      <c r="X43" s="51" t="s">
        <v>45</v>
      </c>
      <c r="Y43" s="27"/>
      <c r="Z43" s="51" t="s">
        <v>99</v>
      </c>
      <c r="AA43" s="51" t="s">
        <v>83</v>
      </c>
      <c r="AB43" s="51" t="s">
        <v>140</v>
      </c>
      <c r="AC43" s="27">
        <v>1</v>
      </c>
      <c r="AD43" s="27">
        <v>1</v>
      </c>
      <c r="AE43" s="27">
        <v>5</v>
      </c>
      <c r="AF43" s="27" t="s">
        <v>545</v>
      </c>
      <c r="AG43" s="27">
        <v>6</v>
      </c>
    </row>
    <row r="44" spans="1:33" x14ac:dyDescent="0.55000000000000004">
      <c r="A44" s="28" t="s">
        <v>754</v>
      </c>
      <c r="B44" s="28" t="s">
        <v>575</v>
      </c>
      <c r="C44" s="28" t="s">
        <v>806</v>
      </c>
      <c r="D44" s="48" t="s">
        <v>700</v>
      </c>
      <c r="E44" s="28" t="s">
        <v>515</v>
      </c>
      <c r="F44" s="28" t="s">
        <v>516</v>
      </c>
      <c r="G44" s="28" t="s">
        <v>805</v>
      </c>
      <c r="H44" s="28" t="s">
        <v>543</v>
      </c>
      <c r="I44" s="28" t="s">
        <v>544</v>
      </c>
      <c r="J44" s="28" t="s">
        <v>515</v>
      </c>
      <c r="K44" s="48" t="s">
        <v>69</v>
      </c>
      <c r="L44" s="28" t="s">
        <v>544</v>
      </c>
      <c r="M44" s="28" t="s">
        <v>544</v>
      </c>
      <c r="N44" s="48" t="s">
        <v>343</v>
      </c>
      <c r="O44" s="48" t="s">
        <v>0</v>
      </c>
      <c r="P44" s="28" t="s">
        <v>629</v>
      </c>
      <c r="Q44" s="51">
        <v>7000226019</v>
      </c>
      <c r="R44" s="27">
        <v>110300103</v>
      </c>
      <c r="S44" s="51" t="s">
        <v>63</v>
      </c>
      <c r="T44" s="27" t="s">
        <v>630</v>
      </c>
      <c r="U44" s="51" t="s">
        <v>267</v>
      </c>
      <c r="V44" s="51" t="s">
        <v>327</v>
      </c>
      <c r="W44" s="51" t="s">
        <v>650</v>
      </c>
      <c r="X44" s="51" t="s">
        <v>45</v>
      </c>
      <c r="Y44" s="27"/>
      <c r="Z44" s="51" t="s">
        <v>99</v>
      </c>
      <c r="AA44" s="51" t="s">
        <v>83</v>
      </c>
      <c r="AB44" s="51" t="s">
        <v>140</v>
      </c>
      <c r="AC44" s="27">
        <v>1</v>
      </c>
      <c r="AD44" s="27">
        <v>1</v>
      </c>
      <c r="AE44" s="27">
        <v>5</v>
      </c>
      <c r="AF44" s="27" t="s">
        <v>546</v>
      </c>
      <c r="AG44" s="27">
        <v>6</v>
      </c>
    </row>
    <row r="45" spans="1:33" x14ac:dyDescent="0.55000000000000004">
      <c r="A45" s="28" t="s">
        <v>754</v>
      </c>
      <c r="B45" s="28" t="s">
        <v>576</v>
      </c>
      <c r="C45" s="28" t="s">
        <v>807</v>
      </c>
      <c r="D45" s="48" t="s">
        <v>701</v>
      </c>
      <c r="E45" s="28" t="s">
        <v>515</v>
      </c>
      <c r="F45" s="28" t="s">
        <v>516</v>
      </c>
      <c r="G45" s="28" t="s">
        <v>805</v>
      </c>
      <c r="H45" s="28" t="s">
        <v>543</v>
      </c>
      <c r="I45" s="28" t="s">
        <v>544</v>
      </c>
      <c r="J45" s="28" t="s">
        <v>515</v>
      </c>
      <c r="K45" s="48" t="s">
        <v>69</v>
      </c>
      <c r="L45" s="28" t="s">
        <v>544</v>
      </c>
      <c r="M45" s="28" t="s">
        <v>544</v>
      </c>
      <c r="N45" s="48" t="s">
        <v>343</v>
      </c>
      <c r="O45" s="48" t="s">
        <v>0</v>
      </c>
      <c r="P45" s="28" t="s">
        <v>629</v>
      </c>
      <c r="Q45" s="51">
        <v>7000226019</v>
      </c>
      <c r="R45" s="27">
        <v>110300203</v>
      </c>
      <c r="S45" s="51" t="s">
        <v>63</v>
      </c>
      <c r="T45" s="27" t="s">
        <v>630</v>
      </c>
      <c r="U45" s="51" t="s">
        <v>267</v>
      </c>
      <c r="V45" s="51" t="s">
        <v>327</v>
      </c>
      <c r="W45" s="51" t="s">
        <v>651</v>
      </c>
      <c r="X45" s="51" t="s">
        <v>45</v>
      </c>
      <c r="Y45" s="27"/>
      <c r="Z45" s="51" t="s">
        <v>99</v>
      </c>
      <c r="AA45" s="51" t="s">
        <v>83</v>
      </c>
      <c r="AB45" s="51" t="s">
        <v>140</v>
      </c>
      <c r="AC45" s="27">
        <v>1</v>
      </c>
      <c r="AD45" s="27">
        <v>1</v>
      </c>
      <c r="AE45" s="27">
        <v>5</v>
      </c>
      <c r="AF45" s="27" t="s">
        <v>547</v>
      </c>
      <c r="AG45" s="27">
        <v>6</v>
      </c>
    </row>
    <row r="46" spans="1:33" x14ac:dyDescent="0.55000000000000004">
      <c r="A46" s="28" t="s">
        <v>754</v>
      </c>
      <c r="B46" s="28" t="s">
        <v>577</v>
      </c>
      <c r="C46" s="28" t="s">
        <v>808</v>
      </c>
      <c r="D46" s="48" t="s">
        <v>702</v>
      </c>
      <c r="E46" s="28" t="s">
        <v>515</v>
      </c>
      <c r="F46" s="28" t="s">
        <v>516</v>
      </c>
      <c r="G46" s="28" t="s">
        <v>805</v>
      </c>
      <c r="H46" s="28" t="s">
        <v>543</v>
      </c>
      <c r="I46" s="28" t="s">
        <v>544</v>
      </c>
      <c r="J46" s="28" t="s">
        <v>515</v>
      </c>
      <c r="K46" s="48" t="s">
        <v>69</v>
      </c>
      <c r="L46" s="28" t="s">
        <v>544</v>
      </c>
      <c r="M46" s="28" t="s">
        <v>544</v>
      </c>
      <c r="N46" s="48" t="s">
        <v>343</v>
      </c>
      <c r="O46" s="48" t="s">
        <v>0</v>
      </c>
      <c r="P46" s="28" t="s">
        <v>629</v>
      </c>
      <c r="Q46" s="51">
        <v>7000226019</v>
      </c>
      <c r="R46" s="27">
        <v>110300303</v>
      </c>
      <c r="S46" s="51" t="s">
        <v>63</v>
      </c>
      <c r="T46" s="27" t="s">
        <v>630</v>
      </c>
      <c r="U46" s="51" t="s">
        <v>267</v>
      </c>
      <c r="V46" s="51" t="s">
        <v>327</v>
      </c>
      <c r="W46" s="51" t="s">
        <v>652</v>
      </c>
      <c r="X46" s="51" t="s">
        <v>45</v>
      </c>
      <c r="Y46" s="27"/>
      <c r="Z46" s="51" t="s">
        <v>99</v>
      </c>
      <c r="AA46" s="51" t="s">
        <v>83</v>
      </c>
      <c r="AB46" s="51" t="s">
        <v>140</v>
      </c>
      <c r="AC46" s="27">
        <v>1</v>
      </c>
      <c r="AD46" s="27">
        <v>1</v>
      </c>
      <c r="AE46" s="27">
        <v>5</v>
      </c>
      <c r="AF46" s="27" t="s">
        <v>548</v>
      </c>
      <c r="AG46" s="27">
        <v>6</v>
      </c>
    </row>
    <row r="47" spans="1:33" x14ac:dyDescent="0.55000000000000004">
      <c r="A47" s="28" t="s">
        <v>754</v>
      </c>
      <c r="B47" s="28" t="s">
        <v>578</v>
      </c>
      <c r="C47" s="28" t="s">
        <v>809</v>
      </c>
      <c r="D47" s="48" t="s">
        <v>703</v>
      </c>
      <c r="E47" s="28" t="s">
        <v>515</v>
      </c>
      <c r="F47" s="28" t="s">
        <v>516</v>
      </c>
      <c r="G47" s="28" t="s">
        <v>805</v>
      </c>
      <c r="H47" s="28" t="s">
        <v>543</v>
      </c>
      <c r="I47" s="28" t="s">
        <v>544</v>
      </c>
      <c r="J47" s="28" t="s">
        <v>515</v>
      </c>
      <c r="K47" s="48" t="s">
        <v>69</v>
      </c>
      <c r="L47" s="28" t="s">
        <v>544</v>
      </c>
      <c r="M47" s="28" t="s">
        <v>544</v>
      </c>
      <c r="N47" s="48" t="s">
        <v>343</v>
      </c>
      <c r="O47" s="48" t="s">
        <v>0</v>
      </c>
      <c r="P47" s="28" t="s">
        <v>629</v>
      </c>
      <c r="Q47" s="51">
        <v>7000226019</v>
      </c>
      <c r="R47" s="27">
        <v>110300403</v>
      </c>
      <c r="S47" s="51" t="s">
        <v>63</v>
      </c>
      <c r="T47" s="27" t="s">
        <v>630</v>
      </c>
      <c r="U47" s="51" t="s">
        <v>267</v>
      </c>
      <c r="V47" s="51" t="s">
        <v>327</v>
      </c>
      <c r="W47" s="51" t="s">
        <v>653</v>
      </c>
      <c r="X47" s="51" t="s">
        <v>45</v>
      </c>
      <c r="Y47" s="27"/>
      <c r="Z47" s="51" t="s">
        <v>99</v>
      </c>
      <c r="AA47" s="51" t="s">
        <v>83</v>
      </c>
      <c r="AB47" s="51" t="s">
        <v>140</v>
      </c>
      <c r="AC47" s="27">
        <v>1</v>
      </c>
      <c r="AD47" s="27">
        <v>1</v>
      </c>
      <c r="AE47" s="27">
        <v>5</v>
      </c>
      <c r="AF47" s="27" t="s">
        <v>549</v>
      </c>
      <c r="AG47" s="27">
        <v>6</v>
      </c>
    </row>
    <row r="48" spans="1:33" x14ac:dyDescent="0.55000000000000004">
      <c r="A48" s="28" t="s">
        <v>754</v>
      </c>
      <c r="B48" s="28" t="s">
        <v>579</v>
      </c>
      <c r="C48" s="28" t="s">
        <v>810</v>
      </c>
      <c r="D48" s="48" t="s">
        <v>704</v>
      </c>
      <c r="E48" s="28" t="s">
        <v>515</v>
      </c>
      <c r="F48" s="28" t="s">
        <v>516</v>
      </c>
      <c r="G48" s="28" t="s">
        <v>805</v>
      </c>
      <c r="H48" s="28" t="s">
        <v>543</v>
      </c>
      <c r="I48" s="28" t="s">
        <v>544</v>
      </c>
      <c r="J48" s="28" t="s">
        <v>515</v>
      </c>
      <c r="K48" s="48" t="s">
        <v>69</v>
      </c>
      <c r="L48" s="28" t="s">
        <v>544</v>
      </c>
      <c r="M48" s="28" t="s">
        <v>544</v>
      </c>
      <c r="N48" s="48" t="s">
        <v>343</v>
      </c>
      <c r="O48" s="48" t="s">
        <v>0</v>
      </c>
      <c r="P48" s="28" t="s">
        <v>629</v>
      </c>
      <c r="Q48" s="51">
        <v>7000226019</v>
      </c>
      <c r="R48" s="27">
        <v>110300503</v>
      </c>
      <c r="S48" s="51" t="s">
        <v>63</v>
      </c>
      <c r="T48" s="27" t="s">
        <v>630</v>
      </c>
      <c r="U48" s="51" t="s">
        <v>267</v>
      </c>
      <c r="V48" s="51" t="s">
        <v>327</v>
      </c>
      <c r="W48" s="51" t="s">
        <v>654</v>
      </c>
      <c r="X48" s="51" t="s">
        <v>45</v>
      </c>
      <c r="Y48" s="27"/>
      <c r="Z48" s="51" t="s">
        <v>99</v>
      </c>
      <c r="AA48" s="51" t="s">
        <v>83</v>
      </c>
      <c r="AB48" s="51" t="s">
        <v>140</v>
      </c>
      <c r="AC48" s="27">
        <v>1</v>
      </c>
      <c r="AD48" s="27">
        <v>1</v>
      </c>
      <c r="AE48" s="27">
        <v>5</v>
      </c>
      <c r="AF48" s="27" t="s">
        <v>550</v>
      </c>
      <c r="AG48" s="27">
        <v>6</v>
      </c>
    </row>
    <row r="49" spans="1:33" x14ac:dyDescent="0.55000000000000004">
      <c r="A49" s="28" t="s">
        <v>754</v>
      </c>
      <c r="B49" s="28" t="s">
        <v>580</v>
      </c>
      <c r="C49" s="28" t="s">
        <v>811</v>
      </c>
      <c r="D49" s="48" t="s">
        <v>705</v>
      </c>
      <c r="E49" s="28" t="s">
        <v>515</v>
      </c>
      <c r="F49" s="28" t="s">
        <v>516</v>
      </c>
      <c r="G49" s="28" t="s">
        <v>805</v>
      </c>
      <c r="H49" s="28" t="s">
        <v>543</v>
      </c>
      <c r="I49" s="28" t="s">
        <v>544</v>
      </c>
      <c r="J49" s="28" t="s">
        <v>515</v>
      </c>
      <c r="K49" s="48" t="s">
        <v>69</v>
      </c>
      <c r="L49" s="28" t="s">
        <v>544</v>
      </c>
      <c r="M49" s="28" t="s">
        <v>544</v>
      </c>
      <c r="N49" s="48" t="s">
        <v>343</v>
      </c>
      <c r="O49" s="48" t="s">
        <v>0</v>
      </c>
      <c r="P49" s="28" t="s">
        <v>629</v>
      </c>
      <c r="Q49" s="51">
        <v>7000226019</v>
      </c>
      <c r="R49" s="27">
        <v>110300603</v>
      </c>
      <c r="S49" s="51" t="s">
        <v>63</v>
      </c>
      <c r="T49" s="27" t="s">
        <v>630</v>
      </c>
      <c r="U49" s="51" t="s">
        <v>267</v>
      </c>
      <c r="V49" s="51" t="s">
        <v>327</v>
      </c>
      <c r="W49" s="51" t="s">
        <v>655</v>
      </c>
      <c r="X49" s="51" t="s">
        <v>45</v>
      </c>
      <c r="Y49" s="27"/>
      <c r="Z49" s="51" t="s">
        <v>99</v>
      </c>
      <c r="AA49" s="51" t="s">
        <v>83</v>
      </c>
      <c r="AB49" s="51" t="s">
        <v>140</v>
      </c>
      <c r="AC49" s="27">
        <v>1</v>
      </c>
      <c r="AD49" s="27">
        <v>1</v>
      </c>
      <c r="AE49" s="27">
        <v>5</v>
      </c>
      <c r="AF49" s="27" t="s">
        <v>551</v>
      </c>
      <c r="AG49" s="27">
        <v>6</v>
      </c>
    </row>
    <row r="50" spans="1:33" x14ac:dyDescent="0.55000000000000004">
      <c r="A50" s="28" t="s">
        <v>754</v>
      </c>
      <c r="B50" s="28" t="s">
        <v>581</v>
      </c>
      <c r="C50" s="28" t="s">
        <v>812</v>
      </c>
      <c r="D50" s="48" t="s">
        <v>706</v>
      </c>
      <c r="E50" s="28" t="s">
        <v>515</v>
      </c>
      <c r="F50" s="28" t="s">
        <v>516</v>
      </c>
      <c r="G50" s="28" t="s">
        <v>805</v>
      </c>
      <c r="H50" s="28" t="s">
        <v>543</v>
      </c>
      <c r="I50" s="28" t="s">
        <v>544</v>
      </c>
      <c r="J50" s="28" t="s">
        <v>515</v>
      </c>
      <c r="K50" s="48" t="s">
        <v>69</v>
      </c>
      <c r="L50" s="28" t="s">
        <v>544</v>
      </c>
      <c r="M50" s="28" t="s">
        <v>544</v>
      </c>
      <c r="N50" s="48" t="s">
        <v>343</v>
      </c>
      <c r="O50" s="48" t="s">
        <v>0</v>
      </c>
      <c r="P50" s="28" t="s">
        <v>629</v>
      </c>
      <c r="Q50" s="51">
        <v>7000226019</v>
      </c>
      <c r="R50" s="27">
        <v>110300703</v>
      </c>
      <c r="S50" s="51" t="s">
        <v>63</v>
      </c>
      <c r="T50" s="27" t="s">
        <v>630</v>
      </c>
      <c r="U50" s="51" t="s">
        <v>267</v>
      </c>
      <c r="V50" s="51" t="s">
        <v>327</v>
      </c>
      <c r="W50" s="51" t="s">
        <v>656</v>
      </c>
      <c r="X50" s="51" t="s">
        <v>45</v>
      </c>
      <c r="Y50" s="27"/>
      <c r="Z50" s="51" t="s">
        <v>99</v>
      </c>
      <c r="AA50" s="51" t="s">
        <v>83</v>
      </c>
      <c r="AB50" s="51" t="s">
        <v>140</v>
      </c>
      <c r="AC50" s="27">
        <v>1</v>
      </c>
      <c r="AD50" s="27">
        <v>1</v>
      </c>
      <c r="AE50" s="27">
        <v>5</v>
      </c>
      <c r="AF50" s="27" t="s">
        <v>501</v>
      </c>
      <c r="AG50" s="27">
        <v>7</v>
      </c>
    </row>
    <row r="51" spans="1:33" x14ac:dyDescent="0.55000000000000004">
      <c r="A51" s="28" t="s">
        <v>754</v>
      </c>
      <c r="B51" s="28" t="s">
        <v>582</v>
      </c>
      <c r="C51" s="28" t="s">
        <v>814</v>
      </c>
      <c r="D51" s="48" t="s">
        <v>707</v>
      </c>
      <c r="E51" s="28" t="s">
        <v>515</v>
      </c>
      <c r="F51" s="28" t="s">
        <v>516</v>
      </c>
      <c r="G51" s="28" t="s">
        <v>813</v>
      </c>
      <c r="H51" s="28" t="s">
        <v>543</v>
      </c>
      <c r="I51" s="28" t="s">
        <v>544</v>
      </c>
      <c r="J51" s="28" t="s">
        <v>515</v>
      </c>
      <c r="K51" s="48" t="s">
        <v>69</v>
      </c>
      <c r="L51" s="28" t="s">
        <v>544</v>
      </c>
      <c r="M51" s="28" t="s">
        <v>544</v>
      </c>
      <c r="N51" s="48" t="s">
        <v>343</v>
      </c>
      <c r="O51" s="48" t="s">
        <v>0</v>
      </c>
      <c r="P51" s="28" t="s">
        <v>629</v>
      </c>
      <c r="Q51" s="51">
        <v>7000226019</v>
      </c>
      <c r="R51" s="27">
        <v>111860103</v>
      </c>
      <c r="S51" s="51" t="s">
        <v>63</v>
      </c>
      <c r="T51" s="27" t="s">
        <v>630</v>
      </c>
      <c r="U51" s="51" t="s">
        <v>267</v>
      </c>
      <c r="V51" s="51" t="s">
        <v>327</v>
      </c>
      <c r="W51" s="51" t="s">
        <v>650</v>
      </c>
      <c r="X51" s="51" t="s">
        <v>45</v>
      </c>
      <c r="Y51" s="27"/>
      <c r="Z51" s="51" t="s">
        <v>99</v>
      </c>
      <c r="AA51" s="51" t="s">
        <v>83</v>
      </c>
      <c r="AB51" s="51" t="s">
        <v>140</v>
      </c>
      <c r="AC51" s="27">
        <v>1</v>
      </c>
      <c r="AD51" s="27">
        <v>1</v>
      </c>
      <c r="AE51" s="27">
        <v>5</v>
      </c>
      <c r="AF51" s="27" t="s">
        <v>545</v>
      </c>
      <c r="AG51" s="27">
        <v>7</v>
      </c>
    </row>
    <row r="52" spans="1:33" x14ac:dyDescent="0.55000000000000004">
      <c r="A52" s="28" t="s">
        <v>754</v>
      </c>
      <c r="B52" s="28" t="s">
        <v>583</v>
      </c>
      <c r="C52" s="28" t="s">
        <v>815</v>
      </c>
      <c r="D52" s="48" t="s">
        <v>708</v>
      </c>
      <c r="E52" s="28" t="s">
        <v>515</v>
      </c>
      <c r="F52" s="28" t="s">
        <v>516</v>
      </c>
      <c r="G52" s="28" t="s">
        <v>813</v>
      </c>
      <c r="H52" s="28" t="s">
        <v>543</v>
      </c>
      <c r="I52" s="28" t="s">
        <v>544</v>
      </c>
      <c r="J52" s="28" t="s">
        <v>515</v>
      </c>
      <c r="K52" s="48" t="s">
        <v>69</v>
      </c>
      <c r="L52" s="28" t="s">
        <v>544</v>
      </c>
      <c r="M52" s="28" t="s">
        <v>544</v>
      </c>
      <c r="N52" s="48" t="s">
        <v>343</v>
      </c>
      <c r="O52" s="48" t="s">
        <v>0</v>
      </c>
      <c r="P52" s="28" t="s">
        <v>629</v>
      </c>
      <c r="Q52" s="51">
        <v>7000226019</v>
      </c>
      <c r="R52" s="27">
        <v>111860203</v>
      </c>
      <c r="S52" s="51" t="s">
        <v>63</v>
      </c>
      <c r="T52" s="27" t="s">
        <v>630</v>
      </c>
      <c r="U52" s="51" t="s">
        <v>267</v>
      </c>
      <c r="V52" s="51" t="s">
        <v>327</v>
      </c>
      <c r="W52" s="51" t="s">
        <v>651</v>
      </c>
      <c r="X52" s="51" t="s">
        <v>45</v>
      </c>
      <c r="Y52" s="27"/>
      <c r="Z52" s="51" t="s">
        <v>99</v>
      </c>
      <c r="AA52" s="51" t="s">
        <v>83</v>
      </c>
      <c r="AB52" s="51" t="s">
        <v>140</v>
      </c>
      <c r="AC52" s="27">
        <v>1</v>
      </c>
      <c r="AD52" s="27">
        <v>1</v>
      </c>
      <c r="AE52" s="27">
        <v>5</v>
      </c>
      <c r="AF52" s="27" t="s">
        <v>546</v>
      </c>
      <c r="AG52" s="27">
        <v>7</v>
      </c>
    </row>
    <row r="53" spans="1:33" x14ac:dyDescent="0.55000000000000004">
      <c r="A53" s="28" t="s">
        <v>754</v>
      </c>
      <c r="B53" s="28" t="s">
        <v>584</v>
      </c>
      <c r="C53" s="28" t="s">
        <v>816</v>
      </c>
      <c r="D53" s="48" t="s">
        <v>709</v>
      </c>
      <c r="E53" s="28" t="s">
        <v>515</v>
      </c>
      <c r="F53" s="28" t="s">
        <v>516</v>
      </c>
      <c r="G53" s="28" t="s">
        <v>813</v>
      </c>
      <c r="H53" s="28" t="s">
        <v>543</v>
      </c>
      <c r="I53" s="28" t="s">
        <v>544</v>
      </c>
      <c r="J53" s="28" t="s">
        <v>515</v>
      </c>
      <c r="K53" s="48" t="s">
        <v>69</v>
      </c>
      <c r="L53" s="28" t="s">
        <v>544</v>
      </c>
      <c r="M53" s="28" t="s">
        <v>544</v>
      </c>
      <c r="N53" s="48" t="s">
        <v>343</v>
      </c>
      <c r="O53" s="48" t="s">
        <v>0</v>
      </c>
      <c r="P53" s="28" t="s">
        <v>629</v>
      </c>
      <c r="Q53" s="51">
        <v>7000226019</v>
      </c>
      <c r="R53" s="27">
        <v>111860303</v>
      </c>
      <c r="S53" s="51" t="s">
        <v>63</v>
      </c>
      <c r="T53" s="27" t="s">
        <v>630</v>
      </c>
      <c r="U53" s="51" t="s">
        <v>267</v>
      </c>
      <c r="V53" s="51" t="s">
        <v>327</v>
      </c>
      <c r="W53" s="51" t="s">
        <v>652</v>
      </c>
      <c r="X53" s="51" t="s">
        <v>45</v>
      </c>
      <c r="Y53" s="27"/>
      <c r="Z53" s="51" t="s">
        <v>99</v>
      </c>
      <c r="AA53" s="51" t="s">
        <v>83</v>
      </c>
      <c r="AB53" s="51" t="s">
        <v>140</v>
      </c>
      <c r="AC53" s="27">
        <v>1</v>
      </c>
      <c r="AD53" s="27">
        <v>1</v>
      </c>
      <c r="AE53" s="27">
        <v>5</v>
      </c>
      <c r="AF53" s="27" t="s">
        <v>547</v>
      </c>
      <c r="AG53" s="27">
        <v>7</v>
      </c>
    </row>
    <row r="54" spans="1:33" x14ac:dyDescent="0.55000000000000004">
      <c r="A54" s="28" t="s">
        <v>754</v>
      </c>
      <c r="B54" s="28" t="s">
        <v>585</v>
      </c>
      <c r="C54" s="28" t="s">
        <v>817</v>
      </c>
      <c r="D54" s="48" t="s">
        <v>710</v>
      </c>
      <c r="E54" s="28" t="s">
        <v>515</v>
      </c>
      <c r="F54" s="28" t="s">
        <v>516</v>
      </c>
      <c r="G54" s="28" t="s">
        <v>813</v>
      </c>
      <c r="H54" s="28" t="s">
        <v>543</v>
      </c>
      <c r="I54" s="28" t="s">
        <v>544</v>
      </c>
      <c r="J54" s="28" t="s">
        <v>515</v>
      </c>
      <c r="K54" s="48" t="s">
        <v>69</v>
      </c>
      <c r="L54" s="28" t="s">
        <v>544</v>
      </c>
      <c r="M54" s="28" t="s">
        <v>544</v>
      </c>
      <c r="N54" s="48" t="s">
        <v>343</v>
      </c>
      <c r="O54" s="48" t="s">
        <v>0</v>
      </c>
      <c r="P54" s="28" t="s">
        <v>629</v>
      </c>
      <c r="Q54" s="51">
        <v>7000226019</v>
      </c>
      <c r="R54" s="27">
        <v>111860403</v>
      </c>
      <c r="S54" s="51" t="s">
        <v>63</v>
      </c>
      <c r="T54" s="27" t="s">
        <v>630</v>
      </c>
      <c r="U54" s="51" t="s">
        <v>267</v>
      </c>
      <c r="V54" s="51" t="s">
        <v>327</v>
      </c>
      <c r="W54" s="51" t="s">
        <v>653</v>
      </c>
      <c r="X54" s="51" t="s">
        <v>45</v>
      </c>
      <c r="Y54" s="27"/>
      <c r="Z54" s="51" t="s">
        <v>99</v>
      </c>
      <c r="AA54" s="51" t="s">
        <v>83</v>
      </c>
      <c r="AB54" s="51" t="s">
        <v>140</v>
      </c>
      <c r="AC54" s="27">
        <v>1</v>
      </c>
      <c r="AD54" s="27">
        <v>1</v>
      </c>
      <c r="AE54" s="27">
        <v>5</v>
      </c>
      <c r="AF54" s="27" t="s">
        <v>548</v>
      </c>
      <c r="AG54" s="27">
        <v>7</v>
      </c>
    </row>
    <row r="55" spans="1:33" x14ac:dyDescent="0.55000000000000004">
      <c r="A55" s="28" t="s">
        <v>754</v>
      </c>
      <c r="B55" s="28" t="s">
        <v>586</v>
      </c>
      <c r="C55" s="28" t="s">
        <v>818</v>
      </c>
      <c r="D55" s="48" t="s">
        <v>711</v>
      </c>
      <c r="E55" s="28" t="s">
        <v>515</v>
      </c>
      <c r="F55" s="28" t="s">
        <v>516</v>
      </c>
      <c r="G55" s="28" t="s">
        <v>813</v>
      </c>
      <c r="H55" s="28" t="s">
        <v>543</v>
      </c>
      <c r="I55" s="28" t="s">
        <v>544</v>
      </c>
      <c r="J55" s="28" t="s">
        <v>515</v>
      </c>
      <c r="K55" s="48" t="s">
        <v>69</v>
      </c>
      <c r="L55" s="28" t="s">
        <v>544</v>
      </c>
      <c r="M55" s="28" t="s">
        <v>544</v>
      </c>
      <c r="N55" s="48" t="s">
        <v>343</v>
      </c>
      <c r="O55" s="48" t="s">
        <v>0</v>
      </c>
      <c r="P55" s="28" t="s">
        <v>629</v>
      </c>
      <c r="Q55" s="51">
        <v>7000226019</v>
      </c>
      <c r="R55" s="27">
        <v>111860503</v>
      </c>
      <c r="S55" s="51" t="s">
        <v>63</v>
      </c>
      <c r="T55" s="27" t="s">
        <v>630</v>
      </c>
      <c r="U55" s="51" t="s">
        <v>267</v>
      </c>
      <c r="V55" s="51" t="s">
        <v>327</v>
      </c>
      <c r="W55" s="51" t="s">
        <v>654</v>
      </c>
      <c r="X55" s="51" t="s">
        <v>45</v>
      </c>
      <c r="Y55" s="27"/>
      <c r="Z55" s="51" t="s">
        <v>99</v>
      </c>
      <c r="AA55" s="51" t="s">
        <v>83</v>
      </c>
      <c r="AB55" s="51" t="s">
        <v>140</v>
      </c>
      <c r="AC55" s="27">
        <v>1</v>
      </c>
      <c r="AD55" s="27">
        <v>1</v>
      </c>
      <c r="AE55" s="27">
        <v>5</v>
      </c>
      <c r="AF55" s="27" t="s">
        <v>549</v>
      </c>
      <c r="AG55" s="27">
        <v>7</v>
      </c>
    </row>
    <row r="56" spans="1:33" x14ac:dyDescent="0.55000000000000004">
      <c r="A56" s="28" t="s">
        <v>754</v>
      </c>
      <c r="B56" s="28" t="s">
        <v>587</v>
      </c>
      <c r="C56" s="28" t="s">
        <v>819</v>
      </c>
      <c r="D56" s="48" t="s">
        <v>712</v>
      </c>
      <c r="E56" s="28" t="s">
        <v>515</v>
      </c>
      <c r="F56" s="28" t="s">
        <v>516</v>
      </c>
      <c r="G56" s="28" t="s">
        <v>813</v>
      </c>
      <c r="H56" s="28" t="s">
        <v>543</v>
      </c>
      <c r="I56" s="28" t="s">
        <v>544</v>
      </c>
      <c r="J56" s="28" t="s">
        <v>515</v>
      </c>
      <c r="K56" s="48" t="s">
        <v>69</v>
      </c>
      <c r="L56" s="28" t="s">
        <v>544</v>
      </c>
      <c r="M56" s="28" t="s">
        <v>544</v>
      </c>
      <c r="N56" s="48" t="s">
        <v>343</v>
      </c>
      <c r="O56" s="48" t="s">
        <v>0</v>
      </c>
      <c r="P56" s="28" t="s">
        <v>629</v>
      </c>
      <c r="Q56" s="51">
        <v>7000226019</v>
      </c>
      <c r="R56" s="27">
        <v>111860703</v>
      </c>
      <c r="S56" s="51" t="s">
        <v>63</v>
      </c>
      <c r="T56" s="27" t="s">
        <v>630</v>
      </c>
      <c r="U56" s="51" t="s">
        <v>267</v>
      </c>
      <c r="V56" s="51" t="s">
        <v>327</v>
      </c>
      <c r="W56" s="51" t="s">
        <v>656</v>
      </c>
      <c r="X56" s="51" t="s">
        <v>45</v>
      </c>
      <c r="Y56" s="27"/>
      <c r="Z56" s="51" t="s">
        <v>99</v>
      </c>
      <c r="AA56" s="51" t="s">
        <v>83</v>
      </c>
      <c r="AB56" s="51" t="s">
        <v>140</v>
      </c>
      <c r="AC56" s="27">
        <v>1</v>
      </c>
      <c r="AD56" s="27">
        <v>1</v>
      </c>
      <c r="AE56" s="27">
        <v>5</v>
      </c>
      <c r="AF56" s="27" t="s">
        <v>550</v>
      </c>
      <c r="AG56" s="27">
        <v>7</v>
      </c>
    </row>
    <row r="57" spans="1:33" x14ac:dyDescent="0.55000000000000004">
      <c r="A57" s="28" t="s">
        <v>754</v>
      </c>
      <c r="B57" s="28" t="s">
        <v>588</v>
      </c>
      <c r="C57" s="28" t="s">
        <v>821</v>
      </c>
      <c r="D57" s="48" t="s">
        <v>713</v>
      </c>
      <c r="E57" s="28" t="s">
        <v>515</v>
      </c>
      <c r="F57" s="28" t="s">
        <v>516</v>
      </c>
      <c r="G57" s="28" t="s">
        <v>820</v>
      </c>
      <c r="H57" s="28" t="s">
        <v>543</v>
      </c>
      <c r="I57" s="28" t="s">
        <v>544</v>
      </c>
      <c r="J57" s="28" t="s">
        <v>515</v>
      </c>
      <c r="K57" s="48" t="s">
        <v>69</v>
      </c>
      <c r="L57" s="28" t="s">
        <v>544</v>
      </c>
      <c r="M57" s="28" t="s">
        <v>544</v>
      </c>
      <c r="N57" s="48" t="s">
        <v>343</v>
      </c>
      <c r="O57" s="48" t="s">
        <v>0</v>
      </c>
      <c r="P57" s="28" t="s">
        <v>629</v>
      </c>
      <c r="Q57" s="51">
        <v>7000226019</v>
      </c>
      <c r="R57" s="27">
        <v>112230103</v>
      </c>
      <c r="S57" s="51" t="s">
        <v>63</v>
      </c>
      <c r="T57" s="27" t="s">
        <v>630</v>
      </c>
      <c r="U57" s="51" t="s">
        <v>267</v>
      </c>
      <c r="V57" s="51" t="s">
        <v>327</v>
      </c>
      <c r="W57" s="51" t="s">
        <v>650</v>
      </c>
      <c r="X57" s="51" t="s">
        <v>45</v>
      </c>
      <c r="Y57" s="27"/>
      <c r="Z57" s="51" t="s">
        <v>99</v>
      </c>
      <c r="AA57" s="51" t="s">
        <v>83</v>
      </c>
      <c r="AB57" s="51" t="s">
        <v>140</v>
      </c>
      <c r="AC57" s="27">
        <v>1</v>
      </c>
      <c r="AD57" s="27">
        <v>1</v>
      </c>
      <c r="AE57" s="27">
        <v>5</v>
      </c>
      <c r="AF57" s="27" t="s">
        <v>551</v>
      </c>
      <c r="AG57" s="27">
        <v>7</v>
      </c>
    </row>
    <row r="58" spans="1:33" x14ac:dyDescent="0.55000000000000004">
      <c r="A58" s="28" t="s">
        <v>754</v>
      </c>
      <c r="B58" s="28" t="s">
        <v>589</v>
      </c>
      <c r="C58" s="28" t="s">
        <v>822</v>
      </c>
      <c r="D58" s="48" t="s">
        <v>714</v>
      </c>
      <c r="E58" s="28" t="s">
        <v>515</v>
      </c>
      <c r="F58" s="28" t="s">
        <v>516</v>
      </c>
      <c r="G58" s="28" t="s">
        <v>820</v>
      </c>
      <c r="H58" s="28" t="s">
        <v>543</v>
      </c>
      <c r="I58" s="28" t="s">
        <v>544</v>
      </c>
      <c r="J58" s="28" t="s">
        <v>515</v>
      </c>
      <c r="K58" s="48" t="s">
        <v>69</v>
      </c>
      <c r="L58" s="28" t="s">
        <v>544</v>
      </c>
      <c r="M58" s="28" t="s">
        <v>544</v>
      </c>
      <c r="N58" s="48" t="s">
        <v>343</v>
      </c>
      <c r="O58" s="48" t="s">
        <v>0</v>
      </c>
      <c r="P58" s="28" t="s">
        <v>629</v>
      </c>
      <c r="Q58" s="51">
        <v>7000226019</v>
      </c>
      <c r="R58" s="27">
        <v>112230403</v>
      </c>
      <c r="S58" s="51" t="s">
        <v>63</v>
      </c>
      <c r="T58" s="27" t="s">
        <v>630</v>
      </c>
      <c r="U58" s="51" t="s">
        <v>267</v>
      </c>
      <c r="V58" s="51" t="s">
        <v>327</v>
      </c>
      <c r="W58" s="51" t="s">
        <v>653</v>
      </c>
      <c r="X58" s="51" t="s">
        <v>45</v>
      </c>
      <c r="Y58" s="27"/>
      <c r="Z58" s="51" t="s">
        <v>99</v>
      </c>
      <c r="AA58" s="51" t="s">
        <v>83</v>
      </c>
      <c r="AB58" s="51" t="s">
        <v>140</v>
      </c>
      <c r="AC58" s="27">
        <v>1</v>
      </c>
      <c r="AD58" s="27">
        <v>1</v>
      </c>
      <c r="AE58" s="27">
        <v>5</v>
      </c>
      <c r="AF58" s="27" t="s">
        <v>501</v>
      </c>
      <c r="AG58" s="27">
        <v>8</v>
      </c>
    </row>
    <row r="59" spans="1:33" x14ac:dyDescent="0.55000000000000004">
      <c r="A59" s="28" t="s">
        <v>754</v>
      </c>
      <c r="B59" s="28" t="s">
        <v>590</v>
      </c>
      <c r="C59" s="28" t="s">
        <v>823</v>
      </c>
      <c r="D59" s="48" t="s">
        <v>715</v>
      </c>
      <c r="E59" s="28" t="s">
        <v>515</v>
      </c>
      <c r="F59" s="28" t="s">
        <v>516</v>
      </c>
      <c r="G59" s="28" t="s">
        <v>820</v>
      </c>
      <c r="H59" s="28" t="s">
        <v>543</v>
      </c>
      <c r="I59" s="28" t="s">
        <v>544</v>
      </c>
      <c r="J59" s="28" t="s">
        <v>515</v>
      </c>
      <c r="K59" s="48" t="s">
        <v>69</v>
      </c>
      <c r="L59" s="28" t="s">
        <v>544</v>
      </c>
      <c r="M59" s="28" t="s">
        <v>544</v>
      </c>
      <c r="N59" s="48" t="s">
        <v>343</v>
      </c>
      <c r="O59" s="48" t="s">
        <v>0</v>
      </c>
      <c r="P59" s="28" t="s">
        <v>629</v>
      </c>
      <c r="Q59" s="51">
        <v>7000226019</v>
      </c>
      <c r="R59" s="27">
        <v>112230503</v>
      </c>
      <c r="S59" s="51" t="s">
        <v>63</v>
      </c>
      <c r="T59" s="27" t="s">
        <v>630</v>
      </c>
      <c r="U59" s="51" t="s">
        <v>267</v>
      </c>
      <c r="V59" s="51" t="s">
        <v>327</v>
      </c>
      <c r="W59" s="51" t="s">
        <v>654</v>
      </c>
      <c r="X59" s="51" t="s">
        <v>45</v>
      </c>
      <c r="Y59" s="27"/>
      <c r="Z59" s="51" t="s">
        <v>99</v>
      </c>
      <c r="AA59" s="51" t="s">
        <v>83</v>
      </c>
      <c r="AB59" s="51" t="s">
        <v>140</v>
      </c>
      <c r="AC59" s="27">
        <v>1</v>
      </c>
      <c r="AD59" s="27">
        <v>1</v>
      </c>
      <c r="AE59" s="27">
        <v>5</v>
      </c>
      <c r="AF59" s="27" t="s">
        <v>545</v>
      </c>
      <c r="AG59" s="27">
        <v>8</v>
      </c>
    </row>
    <row r="60" spans="1:33" x14ac:dyDescent="0.55000000000000004">
      <c r="A60" s="28" t="s">
        <v>754</v>
      </c>
      <c r="B60" s="28" t="s">
        <v>591</v>
      </c>
      <c r="C60" s="28" t="s">
        <v>824</v>
      </c>
      <c r="D60" s="48" t="s">
        <v>716</v>
      </c>
      <c r="E60" s="28" t="s">
        <v>515</v>
      </c>
      <c r="F60" s="28" t="s">
        <v>516</v>
      </c>
      <c r="G60" s="28" t="s">
        <v>820</v>
      </c>
      <c r="H60" s="28" t="s">
        <v>543</v>
      </c>
      <c r="I60" s="28" t="s">
        <v>544</v>
      </c>
      <c r="J60" s="28" t="s">
        <v>515</v>
      </c>
      <c r="K60" s="48" t="s">
        <v>69</v>
      </c>
      <c r="L60" s="28" t="s">
        <v>544</v>
      </c>
      <c r="M60" s="28" t="s">
        <v>544</v>
      </c>
      <c r="N60" s="48" t="s">
        <v>343</v>
      </c>
      <c r="O60" s="48" t="s">
        <v>0</v>
      </c>
      <c r="P60" s="28" t="s">
        <v>629</v>
      </c>
      <c r="Q60" s="51">
        <v>7000226019</v>
      </c>
      <c r="R60" s="27">
        <v>112230603</v>
      </c>
      <c r="S60" s="51" t="s">
        <v>63</v>
      </c>
      <c r="T60" s="27" t="s">
        <v>630</v>
      </c>
      <c r="U60" s="51" t="s">
        <v>267</v>
      </c>
      <c r="V60" s="51" t="s">
        <v>327</v>
      </c>
      <c r="W60" s="51" t="s">
        <v>655</v>
      </c>
      <c r="X60" s="51" t="s">
        <v>45</v>
      </c>
      <c r="Y60" s="27"/>
      <c r="Z60" s="51" t="s">
        <v>99</v>
      </c>
      <c r="AA60" s="51" t="s">
        <v>83</v>
      </c>
      <c r="AB60" s="51" t="s">
        <v>140</v>
      </c>
      <c r="AC60" s="27">
        <v>1</v>
      </c>
      <c r="AD60" s="27">
        <v>1</v>
      </c>
      <c r="AE60" s="27">
        <v>5</v>
      </c>
      <c r="AF60" s="27" t="s">
        <v>546</v>
      </c>
      <c r="AG60" s="27">
        <v>8</v>
      </c>
    </row>
    <row r="61" spans="1:33" x14ac:dyDescent="0.55000000000000004">
      <c r="A61" s="28" t="s">
        <v>754</v>
      </c>
      <c r="B61" s="28" t="s">
        <v>592</v>
      </c>
      <c r="C61" s="28" t="s">
        <v>825</v>
      </c>
      <c r="D61" s="48" t="s">
        <v>717</v>
      </c>
      <c r="E61" s="28" t="s">
        <v>515</v>
      </c>
      <c r="F61" s="28" t="s">
        <v>516</v>
      </c>
      <c r="G61" s="28" t="s">
        <v>820</v>
      </c>
      <c r="H61" s="28" t="s">
        <v>543</v>
      </c>
      <c r="I61" s="28" t="s">
        <v>544</v>
      </c>
      <c r="J61" s="28" t="s">
        <v>515</v>
      </c>
      <c r="K61" s="48" t="s">
        <v>69</v>
      </c>
      <c r="L61" s="28" t="s">
        <v>544</v>
      </c>
      <c r="M61" s="28" t="s">
        <v>544</v>
      </c>
      <c r="N61" s="48" t="s">
        <v>343</v>
      </c>
      <c r="O61" s="48" t="s">
        <v>0</v>
      </c>
      <c r="P61" s="28" t="s">
        <v>629</v>
      </c>
      <c r="Q61" s="51">
        <v>7000226019</v>
      </c>
      <c r="R61" s="27">
        <v>112230703</v>
      </c>
      <c r="S61" s="51" t="s">
        <v>63</v>
      </c>
      <c r="T61" s="27" t="s">
        <v>630</v>
      </c>
      <c r="U61" s="51" t="s">
        <v>267</v>
      </c>
      <c r="V61" s="51" t="s">
        <v>327</v>
      </c>
      <c r="W61" s="51" t="s">
        <v>656</v>
      </c>
      <c r="X61" s="51" t="s">
        <v>45</v>
      </c>
      <c r="Y61" s="27"/>
      <c r="Z61" s="51" t="s">
        <v>99</v>
      </c>
      <c r="AA61" s="51" t="s">
        <v>83</v>
      </c>
      <c r="AB61" s="51" t="s">
        <v>140</v>
      </c>
      <c r="AC61" s="27">
        <v>1</v>
      </c>
      <c r="AD61" s="27">
        <v>1</v>
      </c>
      <c r="AE61" s="27">
        <v>5</v>
      </c>
      <c r="AF61" s="27" t="s">
        <v>547</v>
      </c>
      <c r="AG61" s="27">
        <v>8</v>
      </c>
    </row>
    <row r="62" spans="1:33" x14ac:dyDescent="0.55000000000000004">
      <c r="A62" s="28" t="s">
        <v>754</v>
      </c>
      <c r="B62" s="28" t="s">
        <v>593</v>
      </c>
      <c r="C62" s="28" t="s">
        <v>827</v>
      </c>
      <c r="D62" s="48" t="s">
        <v>718</v>
      </c>
      <c r="E62" s="28" t="s">
        <v>515</v>
      </c>
      <c r="F62" s="28" t="s">
        <v>516</v>
      </c>
      <c r="G62" s="28" t="s">
        <v>826</v>
      </c>
      <c r="H62" s="28" t="s">
        <v>543</v>
      </c>
      <c r="I62" s="28" t="s">
        <v>544</v>
      </c>
      <c r="J62" s="28" t="s">
        <v>515</v>
      </c>
      <c r="K62" s="48" t="s">
        <v>69</v>
      </c>
      <c r="L62" s="28" t="s">
        <v>544</v>
      </c>
      <c r="M62" s="28" t="s">
        <v>544</v>
      </c>
      <c r="N62" s="48" t="s">
        <v>343</v>
      </c>
      <c r="O62" s="48" t="s">
        <v>0</v>
      </c>
      <c r="P62" s="28" t="s">
        <v>629</v>
      </c>
      <c r="Q62" s="51">
        <v>7000226019</v>
      </c>
      <c r="R62" s="27">
        <v>112400103</v>
      </c>
      <c r="S62" s="51" t="s">
        <v>63</v>
      </c>
      <c r="T62" s="27" t="s">
        <v>630</v>
      </c>
      <c r="U62" s="51" t="s">
        <v>267</v>
      </c>
      <c r="V62" s="51" t="s">
        <v>327</v>
      </c>
      <c r="W62" s="51" t="s">
        <v>650</v>
      </c>
      <c r="X62" s="51" t="s">
        <v>45</v>
      </c>
      <c r="Y62" s="27"/>
      <c r="Z62" s="51" t="s">
        <v>99</v>
      </c>
      <c r="AA62" s="51" t="s">
        <v>83</v>
      </c>
      <c r="AB62" s="51" t="s">
        <v>140</v>
      </c>
      <c r="AC62" s="27">
        <v>1</v>
      </c>
      <c r="AD62" s="27">
        <v>1</v>
      </c>
      <c r="AE62" s="27">
        <v>5</v>
      </c>
      <c r="AF62" s="27" t="s">
        <v>548</v>
      </c>
      <c r="AG62" s="27">
        <v>8</v>
      </c>
    </row>
    <row r="63" spans="1:33" x14ac:dyDescent="0.55000000000000004">
      <c r="A63" s="28" t="s">
        <v>754</v>
      </c>
      <c r="B63" s="28" t="s">
        <v>594</v>
      </c>
      <c r="C63" s="28" t="s">
        <v>828</v>
      </c>
      <c r="D63" s="48" t="s">
        <v>719</v>
      </c>
      <c r="E63" s="28" t="s">
        <v>515</v>
      </c>
      <c r="F63" s="28" t="s">
        <v>516</v>
      </c>
      <c r="G63" s="28" t="s">
        <v>826</v>
      </c>
      <c r="H63" s="28" t="s">
        <v>543</v>
      </c>
      <c r="I63" s="28" t="s">
        <v>544</v>
      </c>
      <c r="J63" s="28" t="s">
        <v>515</v>
      </c>
      <c r="K63" s="48" t="s">
        <v>69</v>
      </c>
      <c r="L63" s="28" t="s">
        <v>544</v>
      </c>
      <c r="M63" s="28" t="s">
        <v>544</v>
      </c>
      <c r="N63" s="48" t="s">
        <v>343</v>
      </c>
      <c r="O63" s="48" t="s">
        <v>0</v>
      </c>
      <c r="P63" s="28" t="s">
        <v>629</v>
      </c>
      <c r="Q63" s="51">
        <v>7000226019</v>
      </c>
      <c r="R63" s="27">
        <v>112400403</v>
      </c>
      <c r="S63" s="51" t="s">
        <v>63</v>
      </c>
      <c r="T63" s="27" t="s">
        <v>630</v>
      </c>
      <c r="U63" s="51" t="s">
        <v>267</v>
      </c>
      <c r="V63" s="51" t="s">
        <v>327</v>
      </c>
      <c r="W63" s="51" t="s">
        <v>653</v>
      </c>
      <c r="X63" s="51" t="s">
        <v>45</v>
      </c>
      <c r="Y63" s="27"/>
      <c r="Z63" s="51" t="s">
        <v>99</v>
      </c>
      <c r="AA63" s="51" t="s">
        <v>83</v>
      </c>
      <c r="AB63" s="51" t="s">
        <v>140</v>
      </c>
      <c r="AC63" s="27">
        <v>1</v>
      </c>
      <c r="AD63" s="27">
        <v>1</v>
      </c>
      <c r="AE63" s="27">
        <v>5</v>
      </c>
      <c r="AF63" s="27" t="s">
        <v>549</v>
      </c>
      <c r="AG63" s="27">
        <v>8</v>
      </c>
    </row>
    <row r="64" spans="1:33" x14ac:dyDescent="0.55000000000000004">
      <c r="A64" s="28" t="s">
        <v>754</v>
      </c>
      <c r="B64" s="28" t="s">
        <v>595</v>
      </c>
      <c r="C64" s="28" t="s">
        <v>829</v>
      </c>
      <c r="D64" s="48" t="s">
        <v>720</v>
      </c>
      <c r="E64" s="28" t="s">
        <v>515</v>
      </c>
      <c r="F64" s="28" t="s">
        <v>516</v>
      </c>
      <c r="G64" s="28" t="s">
        <v>826</v>
      </c>
      <c r="H64" s="28" t="s">
        <v>543</v>
      </c>
      <c r="I64" s="28" t="s">
        <v>544</v>
      </c>
      <c r="J64" s="28" t="s">
        <v>515</v>
      </c>
      <c r="K64" s="48" t="s">
        <v>69</v>
      </c>
      <c r="L64" s="28" t="s">
        <v>544</v>
      </c>
      <c r="M64" s="28" t="s">
        <v>544</v>
      </c>
      <c r="N64" s="48" t="s">
        <v>343</v>
      </c>
      <c r="O64" s="48" t="s">
        <v>0</v>
      </c>
      <c r="P64" s="28" t="s">
        <v>629</v>
      </c>
      <c r="Q64" s="51">
        <v>7000226019</v>
      </c>
      <c r="R64" s="27">
        <v>112400503</v>
      </c>
      <c r="S64" s="51" t="s">
        <v>63</v>
      </c>
      <c r="T64" s="27" t="s">
        <v>630</v>
      </c>
      <c r="U64" s="51" t="s">
        <v>267</v>
      </c>
      <c r="V64" s="51" t="s">
        <v>327</v>
      </c>
      <c r="W64" s="51" t="s">
        <v>654</v>
      </c>
      <c r="X64" s="51" t="s">
        <v>45</v>
      </c>
      <c r="Y64" s="27"/>
      <c r="Z64" s="51" t="s">
        <v>99</v>
      </c>
      <c r="AA64" s="51" t="s">
        <v>83</v>
      </c>
      <c r="AB64" s="51" t="s">
        <v>140</v>
      </c>
      <c r="AC64" s="27">
        <v>1</v>
      </c>
      <c r="AD64" s="27">
        <v>1</v>
      </c>
      <c r="AE64" s="27">
        <v>5</v>
      </c>
      <c r="AF64" s="27" t="s">
        <v>550</v>
      </c>
      <c r="AG64" s="27">
        <v>8</v>
      </c>
    </row>
    <row r="65" spans="1:33" x14ac:dyDescent="0.55000000000000004">
      <c r="A65" s="28" t="s">
        <v>754</v>
      </c>
      <c r="B65" s="28" t="s">
        <v>596</v>
      </c>
      <c r="C65" s="28" t="s">
        <v>830</v>
      </c>
      <c r="D65" s="48" t="s">
        <v>721</v>
      </c>
      <c r="E65" s="28" t="s">
        <v>515</v>
      </c>
      <c r="F65" s="28" t="s">
        <v>516</v>
      </c>
      <c r="G65" s="28" t="s">
        <v>826</v>
      </c>
      <c r="H65" s="28" t="s">
        <v>543</v>
      </c>
      <c r="I65" s="28" t="s">
        <v>544</v>
      </c>
      <c r="J65" s="28" t="s">
        <v>515</v>
      </c>
      <c r="K65" s="48" t="s">
        <v>69</v>
      </c>
      <c r="L65" s="28" t="s">
        <v>544</v>
      </c>
      <c r="M65" s="28" t="s">
        <v>544</v>
      </c>
      <c r="N65" s="48" t="s">
        <v>343</v>
      </c>
      <c r="O65" s="48" t="s">
        <v>0</v>
      </c>
      <c r="P65" s="28" t="s">
        <v>629</v>
      </c>
      <c r="Q65" s="51">
        <v>7000226019</v>
      </c>
      <c r="R65" s="27">
        <v>112400603</v>
      </c>
      <c r="S65" s="51" t="s">
        <v>63</v>
      </c>
      <c r="T65" s="27" t="s">
        <v>630</v>
      </c>
      <c r="U65" s="51" t="s">
        <v>267</v>
      </c>
      <c r="V65" s="51" t="s">
        <v>327</v>
      </c>
      <c r="W65" s="51" t="s">
        <v>655</v>
      </c>
      <c r="X65" s="51" t="s">
        <v>45</v>
      </c>
      <c r="Y65" s="27"/>
      <c r="Z65" s="51" t="s">
        <v>99</v>
      </c>
      <c r="AA65" s="51" t="s">
        <v>83</v>
      </c>
      <c r="AB65" s="51" t="s">
        <v>140</v>
      </c>
      <c r="AC65" s="27">
        <v>1</v>
      </c>
      <c r="AD65" s="27">
        <v>1</v>
      </c>
      <c r="AE65" s="27">
        <v>5</v>
      </c>
      <c r="AF65" s="27" t="s">
        <v>551</v>
      </c>
      <c r="AG65" s="27">
        <v>8</v>
      </c>
    </row>
    <row r="66" spans="1:33" x14ac:dyDescent="0.55000000000000004">
      <c r="A66" s="28" t="s">
        <v>754</v>
      </c>
      <c r="B66" s="28" t="s">
        <v>597</v>
      </c>
      <c r="C66" s="28" t="s">
        <v>831</v>
      </c>
      <c r="D66" s="48" t="s">
        <v>722</v>
      </c>
      <c r="E66" s="28" t="s">
        <v>515</v>
      </c>
      <c r="F66" s="28" t="s">
        <v>516</v>
      </c>
      <c r="G66" s="28" t="s">
        <v>826</v>
      </c>
      <c r="H66" s="28" t="s">
        <v>543</v>
      </c>
      <c r="I66" s="28" t="s">
        <v>544</v>
      </c>
      <c r="J66" s="28" t="s">
        <v>515</v>
      </c>
      <c r="K66" s="48" t="s">
        <v>69</v>
      </c>
      <c r="L66" s="28" t="s">
        <v>544</v>
      </c>
      <c r="M66" s="28" t="s">
        <v>544</v>
      </c>
      <c r="N66" s="48" t="s">
        <v>343</v>
      </c>
      <c r="O66" s="48" t="s">
        <v>0</v>
      </c>
      <c r="P66" s="28" t="s">
        <v>629</v>
      </c>
      <c r="Q66" s="51">
        <v>7000226019</v>
      </c>
      <c r="R66" s="27">
        <v>112400703</v>
      </c>
      <c r="S66" s="51" t="s">
        <v>63</v>
      </c>
      <c r="T66" s="27" t="s">
        <v>630</v>
      </c>
      <c r="U66" s="51" t="s">
        <v>267</v>
      </c>
      <c r="V66" s="51" t="s">
        <v>327</v>
      </c>
      <c r="W66" s="51" t="s">
        <v>656</v>
      </c>
      <c r="X66" s="51" t="s">
        <v>45</v>
      </c>
      <c r="Y66" s="27"/>
      <c r="Z66" s="51" t="s">
        <v>99</v>
      </c>
      <c r="AA66" s="51" t="s">
        <v>83</v>
      </c>
      <c r="AB66" s="51" t="s">
        <v>140</v>
      </c>
      <c r="AC66" s="27">
        <v>1</v>
      </c>
      <c r="AD66" s="27">
        <v>1</v>
      </c>
      <c r="AE66" s="27">
        <v>5</v>
      </c>
      <c r="AF66" s="27" t="s">
        <v>501</v>
      </c>
      <c r="AG66" s="27">
        <v>9</v>
      </c>
    </row>
    <row r="67" spans="1:33" x14ac:dyDescent="0.55000000000000004">
      <c r="A67" s="28" t="s">
        <v>754</v>
      </c>
      <c r="B67" s="28" t="s">
        <v>598</v>
      </c>
      <c r="C67" s="28" t="s">
        <v>833</v>
      </c>
      <c r="D67" s="48" t="s">
        <v>723</v>
      </c>
      <c r="E67" s="28" t="s">
        <v>515</v>
      </c>
      <c r="F67" s="28" t="s">
        <v>516</v>
      </c>
      <c r="G67" s="28" t="s">
        <v>832</v>
      </c>
      <c r="H67" s="28" t="s">
        <v>543</v>
      </c>
      <c r="I67" s="28" t="s">
        <v>544</v>
      </c>
      <c r="J67" s="28" t="s">
        <v>515</v>
      </c>
      <c r="K67" s="48" t="s">
        <v>69</v>
      </c>
      <c r="L67" s="28" t="s">
        <v>544</v>
      </c>
      <c r="M67" s="28" t="s">
        <v>544</v>
      </c>
      <c r="N67" s="48" t="s">
        <v>343</v>
      </c>
      <c r="O67" s="48" t="s">
        <v>0</v>
      </c>
      <c r="P67" s="28" t="s">
        <v>629</v>
      </c>
      <c r="Q67" s="51">
        <v>7000226019</v>
      </c>
      <c r="R67" s="27">
        <v>111720103</v>
      </c>
      <c r="S67" s="51" t="s">
        <v>63</v>
      </c>
      <c r="T67" s="27" t="s">
        <v>630</v>
      </c>
      <c r="U67" s="51" t="s">
        <v>267</v>
      </c>
      <c r="V67" s="51" t="s">
        <v>327</v>
      </c>
      <c r="W67" s="51" t="s">
        <v>650</v>
      </c>
      <c r="X67" s="51" t="s">
        <v>45</v>
      </c>
      <c r="Y67" s="27"/>
      <c r="Z67" s="51" t="s">
        <v>99</v>
      </c>
      <c r="AA67" s="51" t="s">
        <v>83</v>
      </c>
      <c r="AB67" s="51" t="s">
        <v>140</v>
      </c>
      <c r="AC67" s="27">
        <v>1</v>
      </c>
      <c r="AD67" s="27">
        <v>1</v>
      </c>
      <c r="AE67" s="27">
        <v>5</v>
      </c>
      <c r="AF67" s="27" t="s">
        <v>545</v>
      </c>
      <c r="AG67" s="27">
        <v>9</v>
      </c>
    </row>
    <row r="68" spans="1:33" x14ac:dyDescent="0.55000000000000004">
      <c r="A68" s="28" t="s">
        <v>754</v>
      </c>
      <c r="B68" s="28" t="s">
        <v>599</v>
      </c>
      <c r="C68" s="28" t="s">
        <v>834</v>
      </c>
      <c r="D68" s="48" t="s">
        <v>724</v>
      </c>
      <c r="E68" s="28" t="s">
        <v>515</v>
      </c>
      <c r="F68" s="28" t="s">
        <v>516</v>
      </c>
      <c r="G68" s="28" t="s">
        <v>832</v>
      </c>
      <c r="H68" s="28" t="s">
        <v>543</v>
      </c>
      <c r="I68" s="28" t="s">
        <v>544</v>
      </c>
      <c r="J68" s="28" t="s">
        <v>515</v>
      </c>
      <c r="K68" s="48" t="s">
        <v>69</v>
      </c>
      <c r="L68" s="28" t="s">
        <v>544</v>
      </c>
      <c r="M68" s="28" t="s">
        <v>544</v>
      </c>
      <c r="N68" s="48" t="s">
        <v>343</v>
      </c>
      <c r="O68" s="48" t="s">
        <v>0</v>
      </c>
      <c r="P68" s="28" t="s">
        <v>629</v>
      </c>
      <c r="Q68" s="51">
        <v>7000226019</v>
      </c>
      <c r="R68" s="27">
        <v>111720203</v>
      </c>
      <c r="S68" s="51" t="s">
        <v>63</v>
      </c>
      <c r="T68" s="27" t="s">
        <v>630</v>
      </c>
      <c r="U68" s="51" t="s">
        <v>267</v>
      </c>
      <c r="V68" s="51" t="s">
        <v>327</v>
      </c>
      <c r="W68" s="51" t="s">
        <v>651</v>
      </c>
      <c r="X68" s="51" t="s">
        <v>45</v>
      </c>
      <c r="Y68" s="27"/>
      <c r="Z68" s="51" t="s">
        <v>99</v>
      </c>
      <c r="AA68" s="51" t="s">
        <v>83</v>
      </c>
      <c r="AB68" s="51" t="s">
        <v>140</v>
      </c>
      <c r="AC68" s="27">
        <v>1</v>
      </c>
      <c r="AD68" s="27">
        <v>1</v>
      </c>
      <c r="AE68" s="27">
        <v>5</v>
      </c>
      <c r="AF68" s="27" t="s">
        <v>546</v>
      </c>
      <c r="AG68" s="27">
        <v>9</v>
      </c>
    </row>
    <row r="69" spans="1:33" x14ac:dyDescent="0.55000000000000004">
      <c r="A69" s="28" t="s">
        <v>754</v>
      </c>
      <c r="B69" s="28" t="s">
        <v>600</v>
      </c>
      <c r="C69" s="28" t="s">
        <v>835</v>
      </c>
      <c r="D69" s="48" t="s">
        <v>725</v>
      </c>
      <c r="E69" s="28" t="s">
        <v>515</v>
      </c>
      <c r="F69" s="28" t="s">
        <v>516</v>
      </c>
      <c r="G69" s="28" t="s">
        <v>832</v>
      </c>
      <c r="H69" s="28" t="s">
        <v>543</v>
      </c>
      <c r="I69" s="28" t="s">
        <v>544</v>
      </c>
      <c r="J69" s="28" t="s">
        <v>515</v>
      </c>
      <c r="K69" s="48" t="s">
        <v>69</v>
      </c>
      <c r="L69" s="28" t="s">
        <v>544</v>
      </c>
      <c r="M69" s="28" t="s">
        <v>544</v>
      </c>
      <c r="N69" s="48" t="s">
        <v>343</v>
      </c>
      <c r="O69" s="48" t="s">
        <v>0</v>
      </c>
      <c r="P69" s="28" t="s">
        <v>629</v>
      </c>
      <c r="Q69" s="51">
        <v>7000226019</v>
      </c>
      <c r="R69" s="27">
        <v>111720303</v>
      </c>
      <c r="S69" s="51" t="s">
        <v>63</v>
      </c>
      <c r="T69" s="27" t="s">
        <v>630</v>
      </c>
      <c r="U69" s="51" t="s">
        <v>267</v>
      </c>
      <c r="V69" s="51" t="s">
        <v>327</v>
      </c>
      <c r="W69" s="51" t="s">
        <v>652</v>
      </c>
      <c r="X69" s="51" t="s">
        <v>45</v>
      </c>
      <c r="Y69" s="27"/>
      <c r="Z69" s="51" t="s">
        <v>99</v>
      </c>
      <c r="AA69" s="51" t="s">
        <v>83</v>
      </c>
      <c r="AB69" s="51" t="s">
        <v>140</v>
      </c>
      <c r="AC69" s="27">
        <v>1</v>
      </c>
      <c r="AD69" s="27">
        <v>1</v>
      </c>
      <c r="AE69" s="27">
        <v>5</v>
      </c>
      <c r="AF69" s="27" t="s">
        <v>547</v>
      </c>
      <c r="AG69" s="27">
        <v>9</v>
      </c>
    </row>
    <row r="70" spans="1:33" x14ac:dyDescent="0.55000000000000004">
      <c r="A70" s="28" t="s">
        <v>754</v>
      </c>
      <c r="B70" s="28" t="s">
        <v>601</v>
      </c>
      <c r="C70" s="28" t="s">
        <v>836</v>
      </c>
      <c r="D70" s="48" t="s">
        <v>726</v>
      </c>
      <c r="E70" s="28" t="s">
        <v>515</v>
      </c>
      <c r="F70" s="28" t="s">
        <v>516</v>
      </c>
      <c r="G70" s="28" t="s">
        <v>832</v>
      </c>
      <c r="H70" s="28" t="s">
        <v>543</v>
      </c>
      <c r="I70" s="28" t="s">
        <v>544</v>
      </c>
      <c r="J70" s="28" t="s">
        <v>515</v>
      </c>
      <c r="K70" s="48" t="s">
        <v>69</v>
      </c>
      <c r="L70" s="28" t="s">
        <v>544</v>
      </c>
      <c r="M70" s="28" t="s">
        <v>544</v>
      </c>
      <c r="N70" s="48" t="s">
        <v>343</v>
      </c>
      <c r="O70" s="48" t="s">
        <v>0</v>
      </c>
      <c r="P70" s="28" t="s">
        <v>629</v>
      </c>
      <c r="Q70" s="51">
        <v>7000226019</v>
      </c>
      <c r="R70" s="27">
        <v>111720403</v>
      </c>
      <c r="S70" s="51" t="s">
        <v>63</v>
      </c>
      <c r="T70" s="27" t="s">
        <v>630</v>
      </c>
      <c r="U70" s="51" t="s">
        <v>267</v>
      </c>
      <c r="V70" s="51" t="s">
        <v>327</v>
      </c>
      <c r="W70" s="51" t="s">
        <v>653</v>
      </c>
      <c r="X70" s="51" t="s">
        <v>45</v>
      </c>
      <c r="Y70" s="27"/>
      <c r="Z70" s="51" t="s">
        <v>99</v>
      </c>
      <c r="AA70" s="51" t="s">
        <v>83</v>
      </c>
      <c r="AB70" s="51" t="s">
        <v>140</v>
      </c>
      <c r="AC70" s="27">
        <v>1</v>
      </c>
      <c r="AD70" s="27">
        <v>1</v>
      </c>
      <c r="AE70" s="27">
        <v>5</v>
      </c>
      <c r="AF70" s="27" t="s">
        <v>548</v>
      </c>
      <c r="AG70" s="27">
        <v>9</v>
      </c>
    </row>
    <row r="71" spans="1:33" x14ac:dyDescent="0.55000000000000004">
      <c r="A71" s="28" t="s">
        <v>754</v>
      </c>
      <c r="B71" s="28" t="s">
        <v>602</v>
      </c>
      <c r="C71" s="28" t="s">
        <v>837</v>
      </c>
      <c r="D71" s="48" t="s">
        <v>727</v>
      </c>
      <c r="E71" s="28" t="s">
        <v>515</v>
      </c>
      <c r="F71" s="28" t="s">
        <v>516</v>
      </c>
      <c r="G71" s="28" t="s">
        <v>832</v>
      </c>
      <c r="H71" s="28" t="s">
        <v>543</v>
      </c>
      <c r="I71" s="28" t="s">
        <v>544</v>
      </c>
      <c r="J71" s="28" t="s">
        <v>515</v>
      </c>
      <c r="K71" s="48" t="s">
        <v>69</v>
      </c>
      <c r="L71" s="28" t="s">
        <v>544</v>
      </c>
      <c r="M71" s="28" t="s">
        <v>544</v>
      </c>
      <c r="N71" s="48" t="s">
        <v>343</v>
      </c>
      <c r="O71" s="48" t="s">
        <v>0</v>
      </c>
      <c r="P71" s="28" t="s">
        <v>629</v>
      </c>
      <c r="Q71" s="51">
        <v>7000226019</v>
      </c>
      <c r="R71" s="27">
        <v>111720503</v>
      </c>
      <c r="S71" s="51" t="s">
        <v>63</v>
      </c>
      <c r="T71" s="27" t="s">
        <v>630</v>
      </c>
      <c r="U71" s="51" t="s">
        <v>267</v>
      </c>
      <c r="V71" s="51" t="s">
        <v>327</v>
      </c>
      <c r="W71" s="51" t="s">
        <v>654</v>
      </c>
      <c r="X71" s="51" t="s">
        <v>45</v>
      </c>
      <c r="Y71" s="27"/>
      <c r="Z71" s="51" t="s">
        <v>99</v>
      </c>
      <c r="AA71" s="51" t="s">
        <v>83</v>
      </c>
      <c r="AB71" s="51" t="s">
        <v>140</v>
      </c>
      <c r="AC71" s="27">
        <v>1</v>
      </c>
      <c r="AD71" s="27">
        <v>1</v>
      </c>
      <c r="AE71" s="27">
        <v>5</v>
      </c>
      <c r="AF71" s="27" t="s">
        <v>549</v>
      </c>
      <c r="AG71" s="27">
        <v>9</v>
      </c>
    </row>
    <row r="72" spans="1:33" x14ac:dyDescent="0.55000000000000004">
      <c r="A72" s="28" t="s">
        <v>754</v>
      </c>
      <c r="B72" s="28" t="s">
        <v>603</v>
      </c>
      <c r="C72" s="28" t="s">
        <v>839</v>
      </c>
      <c r="D72" s="48" t="s">
        <v>728</v>
      </c>
      <c r="E72" s="28" t="s">
        <v>515</v>
      </c>
      <c r="F72" s="28" t="s">
        <v>516</v>
      </c>
      <c r="G72" s="28" t="s">
        <v>838</v>
      </c>
      <c r="H72" s="28" t="s">
        <v>543</v>
      </c>
      <c r="I72" s="28" t="s">
        <v>544</v>
      </c>
      <c r="J72" s="28" t="s">
        <v>515</v>
      </c>
      <c r="K72" s="48" t="s">
        <v>69</v>
      </c>
      <c r="L72" s="28" t="s">
        <v>544</v>
      </c>
      <c r="M72" s="28" t="s">
        <v>544</v>
      </c>
      <c r="N72" s="48" t="s">
        <v>343</v>
      </c>
      <c r="O72" s="48" t="s">
        <v>0</v>
      </c>
      <c r="P72" s="28" t="s">
        <v>629</v>
      </c>
      <c r="Q72" s="51">
        <v>7000226019</v>
      </c>
      <c r="R72" s="27">
        <v>111730103</v>
      </c>
      <c r="S72" s="51" t="s">
        <v>63</v>
      </c>
      <c r="T72" s="27" t="s">
        <v>630</v>
      </c>
      <c r="U72" s="51" t="s">
        <v>267</v>
      </c>
      <c r="V72" s="51" t="s">
        <v>327</v>
      </c>
      <c r="W72" s="51" t="s">
        <v>650</v>
      </c>
      <c r="X72" s="51" t="s">
        <v>45</v>
      </c>
      <c r="Y72" s="27"/>
      <c r="Z72" s="51" t="s">
        <v>99</v>
      </c>
      <c r="AA72" s="51" t="s">
        <v>83</v>
      </c>
      <c r="AB72" s="51" t="s">
        <v>140</v>
      </c>
      <c r="AC72" s="27">
        <v>1</v>
      </c>
      <c r="AD72" s="27">
        <v>1</v>
      </c>
      <c r="AE72" s="27">
        <v>5</v>
      </c>
      <c r="AF72" s="27" t="s">
        <v>550</v>
      </c>
      <c r="AG72" s="27">
        <v>9</v>
      </c>
    </row>
    <row r="73" spans="1:33" x14ac:dyDescent="0.55000000000000004">
      <c r="A73" s="28" t="s">
        <v>754</v>
      </c>
      <c r="B73" s="28" t="s">
        <v>604</v>
      </c>
      <c r="C73" s="28" t="s">
        <v>840</v>
      </c>
      <c r="D73" s="48" t="s">
        <v>729</v>
      </c>
      <c r="E73" s="28" t="s">
        <v>515</v>
      </c>
      <c r="F73" s="28" t="s">
        <v>516</v>
      </c>
      <c r="G73" s="28" t="s">
        <v>838</v>
      </c>
      <c r="H73" s="28" t="s">
        <v>543</v>
      </c>
      <c r="I73" s="28" t="s">
        <v>544</v>
      </c>
      <c r="J73" s="28" t="s">
        <v>515</v>
      </c>
      <c r="K73" s="48" t="s">
        <v>69</v>
      </c>
      <c r="L73" s="28" t="s">
        <v>544</v>
      </c>
      <c r="M73" s="28" t="s">
        <v>544</v>
      </c>
      <c r="N73" s="48" t="s">
        <v>343</v>
      </c>
      <c r="O73" s="48" t="s">
        <v>0</v>
      </c>
      <c r="P73" s="28" t="s">
        <v>629</v>
      </c>
      <c r="Q73" s="51">
        <v>7000226019</v>
      </c>
      <c r="R73" s="27">
        <v>111730203</v>
      </c>
      <c r="S73" s="51" t="s">
        <v>63</v>
      </c>
      <c r="T73" s="27" t="s">
        <v>630</v>
      </c>
      <c r="U73" s="51" t="s">
        <v>267</v>
      </c>
      <c r="V73" s="51" t="s">
        <v>327</v>
      </c>
      <c r="W73" s="51" t="s">
        <v>651</v>
      </c>
      <c r="X73" s="51" t="s">
        <v>45</v>
      </c>
      <c r="Y73" s="27"/>
      <c r="Z73" s="51" t="s">
        <v>99</v>
      </c>
      <c r="AA73" s="51" t="s">
        <v>83</v>
      </c>
      <c r="AB73" s="51" t="s">
        <v>140</v>
      </c>
      <c r="AC73" s="27">
        <v>1</v>
      </c>
      <c r="AD73" s="27">
        <v>1</v>
      </c>
      <c r="AE73" s="27">
        <v>5</v>
      </c>
      <c r="AF73" s="27" t="s">
        <v>551</v>
      </c>
      <c r="AG73" s="27">
        <v>9</v>
      </c>
    </row>
    <row r="74" spans="1:33" x14ac:dyDescent="0.55000000000000004">
      <c r="A74" s="28" t="s">
        <v>754</v>
      </c>
      <c r="B74" s="28" t="s">
        <v>605</v>
      </c>
      <c r="C74" s="28" t="s">
        <v>841</v>
      </c>
      <c r="D74" s="48" t="s">
        <v>730</v>
      </c>
      <c r="E74" s="28" t="s">
        <v>515</v>
      </c>
      <c r="F74" s="28" t="s">
        <v>516</v>
      </c>
      <c r="G74" s="28" t="s">
        <v>838</v>
      </c>
      <c r="H74" s="28" t="s">
        <v>543</v>
      </c>
      <c r="I74" s="28" t="s">
        <v>544</v>
      </c>
      <c r="J74" s="28" t="s">
        <v>515</v>
      </c>
      <c r="K74" s="48" t="s">
        <v>69</v>
      </c>
      <c r="L74" s="28" t="s">
        <v>544</v>
      </c>
      <c r="M74" s="28" t="s">
        <v>544</v>
      </c>
      <c r="N74" s="48" t="s">
        <v>343</v>
      </c>
      <c r="O74" s="48" t="s">
        <v>0</v>
      </c>
      <c r="P74" s="28" t="s">
        <v>629</v>
      </c>
      <c r="Q74" s="51">
        <v>7000226019</v>
      </c>
      <c r="R74" s="27">
        <v>111730303</v>
      </c>
      <c r="S74" s="51" t="s">
        <v>63</v>
      </c>
      <c r="T74" s="27" t="s">
        <v>630</v>
      </c>
      <c r="U74" s="51" t="s">
        <v>267</v>
      </c>
      <c r="V74" s="51" t="s">
        <v>327</v>
      </c>
      <c r="W74" s="51" t="s">
        <v>652</v>
      </c>
      <c r="X74" s="51" t="s">
        <v>45</v>
      </c>
      <c r="Y74" s="27"/>
      <c r="Z74" s="51" t="s">
        <v>99</v>
      </c>
      <c r="AA74" s="51" t="s">
        <v>83</v>
      </c>
      <c r="AB74" s="51" t="s">
        <v>140</v>
      </c>
      <c r="AC74" s="27">
        <v>1</v>
      </c>
      <c r="AD74" s="27">
        <v>1</v>
      </c>
      <c r="AE74" s="27">
        <v>5</v>
      </c>
      <c r="AF74" s="27" t="s">
        <v>501</v>
      </c>
      <c r="AG74" s="27">
        <v>10</v>
      </c>
    </row>
    <row r="75" spans="1:33" x14ac:dyDescent="0.55000000000000004">
      <c r="A75" s="28" t="s">
        <v>754</v>
      </c>
      <c r="B75" s="28" t="s">
        <v>606</v>
      </c>
      <c r="C75" s="28" t="s">
        <v>842</v>
      </c>
      <c r="D75" s="48" t="s">
        <v>731</v>
      </c>
      <c r="E75" s="28" t="s">
        <v>515</v>
      </c>
      <c r="F75" s="28" t="s">
        <v>516</v>
      </c>
      <c r="G75" s="28" t="s">
        <v>838</v>
      </c>
      <c r="H75" s="28" t="s">
        <v>543</v>
      </c>
      <c r="I75" s="28" t="s">
        <v>544</v>
      </c>
      <c r="J75" s="28" t="s">
        <v>515</v>
      </c>
      <c r="K75" s="48" t="s">
        <v>69</v>
      </c>
      <c r="L75" s="28" t="s">
        <v>544</v>
      </c>
      <c r="M75" s="28" t="s">
        <v>544</v>
      </c>
      <c r="N75" s="48" t="s">
        <v>343</v>
      </c>
      <c r="O75" s="48" t="s">
        <v>0</v>
      </c>
      <c r="P75" s="28" t="s">
        <v>629</v>
      </c>
      <c r="Q75" s="51">
        <v>7000226019</v>
      </c>
      <c r="R75" s="27">
        <v>111730403</v>
      </c>
      <c r="S75" s="51" t="s">
        <v>63</v>
      </c>
      <c r="T75" s="27" t="s">
        <v>630</v>
      </c>
      <c r="U75" s="51" t="s">
        <v>267</v>
      </c>
      <c r="V75" s="51" t="s">
        <v>327</v>
      </c>
      <c r="W75" s="51" t="s">
        <v>653</v>
      </c>
      <c r="X75" s="51" t="s">
        <v>45</v>
      </c>
      <c r="Y75" s="27"/>
      <c r="Z75" s="51" t="s">
        <v>99</v>
      </c>
      <c r="AA75" s="51" t="s">
        <v>83</v>
      </c>
      <c r="AB75" s="51" t="s">
        <v>140</v>
      </c>
      <c r="AC75" s="27">
        <v>1</v>
      </c>
      <c r="AD75" s="27">
        <v>1</v>
      </c>
      <c r="AE75" s="27">
        <v>5</v>
      </c>
      <c r="AF75" s="27" t="s">
        <v>545</v>
      </c>
      <c r="AG75" s="27">
        <v>10</v>
      </c>
    </row>
    <row r="76" spans="1:33" x14ac:dyDescent="0.55000000000000004">
      <c r="A76" s="28" t="s">
        <v>754</v>
      </c>
      <c r="B76" s="28" t="s">
        <v>607</v>
      </c>
      <c r="C76" s="28" t="s">
        <v>843</v>
      </c>
      <c r="D76" s="48" t="s">
        <v>732</v>
      </c>
      <c r="E76" s="28" t="s">
        <v>515</v>
      </c>
      <c r="F76" s="28" t="s">
        <v>516</v>
      </c>
      <c r="G76" s="28" t="s">
        <v>838</v>
      </c>
      <c r="H76" s="28" t="s">
        <v>543</v>
      </c>
      <c r="I76" s="28" t="s">
        <v>544</v>
      </c>
      <c r="J76" s="28" t="s">
        <v>515</v>
      </c>
      <c r="K76" s="48" t="s">
        <v>69</v>
      </c>
      <c r="L76" s="28" t="s">
        <v>544</v>
      </c>
      <c r="M76" s="28" t="s">
        <v>544</v>
      </c>
      <c r="N76" s="48" t="s">
        <v>343</v>
      </c>
      <c r="O76" s="48" t="s">
        <v>0</v>
      </c>
      <c r="P76" s="28" t="s">
        <v>629</v>
      </c>
      <c r="Q76" s="51">
        <v>7000226019</v>
      </c>
      <c r="R76" s="27">
        <v>111730503</v>
      </c>
      <c r="S76" s="51" t="s">
        <v>63</v>
      </c>
      <c r="T76" s="27" t="s">
        <v>630</v>
      </c>
      <c r="U76" s="51" t="s">
        <v>267</v>
      </c>
      <c r="V76" s="51" t="s">
        <v>327</v>
      </c>
      <c r="W76" s="51" t="s">
        <v>654</v>
      </c>
      <c r="X76" s="51" t="s">
        <v>45</v>
      </c>
      <c r="Y76" s="27"/>
      <c r="Z76" s="51" t="s">
        <v>99</v>
      </c>
      <c r="AA76" s="51" t="s">
        <v>83</v>
      </c>
      <c r="AB76" s="51" t="s">
        <v>140</v>
      </c>
      <c r="AC76" s="27">
        <v>1</v>
      </c>
      <c r="AD76" s="27">
        <v>1</v>
      </c>
      <c r="AE76" s="27">
        <v>5</v>
      </c>
      <c r="AF76" s="27" t="s">
        <v>546</v>
      </c>
      <c r="AG76" s="27">
        <v>10</v>
      </c>
    </row>
    <row r="77" spans="1:33" x14ac:dyDescent="0.55000000000000004">
      <c r="A77" s="28" t="s">
        <v>754</v>
      </c>
      <c r="B77" s="28" t="s">
        <v>608</v>
      </c>
      <c r="C77" s="28" t="s">
        <v>844</v>
      </c>
      <c r="D77" s="48" t="s">
        <v>733</v>
      </c>
      <c r="E77" s="28" t="s">
        <v>515</v>
      </c>
      <c r="F77" s="28" t="s">
        <v>516</v>
      </c>
      <c r="G77" s="28" t="s">
        <v>838</v>
      </c>
      <c r="H77" s="28" t="s">
        <v>543</v>
      </c>
      <c r="I77" s="28" t="s">
        <v>544</v>
      </c>
      <c r="J77" s="28" t="s">
        <v>515</v>
      </c>
      <c r="K77" s="48" t="s">
        <v>69</v>
      </c>
      <c r="L77" s="28" t="s">
        <v>544</v>
      </c>
      <c r="M77" s="28" t="s">
        <v>544</v>
      </c>
      <c r="N77" s="48" t="s">
        <v>343</v>
      </c>
      <c r="O77" s="48" t="s">
        <v>0</v>
      </c>
      <c r="P77" s="28" t="s">
        <v>629</v>
      </c>
      <c r="Q77" s="51">
        <v>7000226019</v>
      </c>
      <c r="R77" s="27">
        <v>111730703</v>
      </c>
      <c r="S77" s="51" t="s">
        <v>63</v>
      </c>
      <c r="T77" s="27" t="s">
        <v>630</v>
      </c>
      <c r="U77" s="51" t="s">
        <v>267</v>
      </c>
      <c r="V77" s="51" t="s">
        <v>327</v>
      </c>
      <c r="W77" s="51" t="s">
        <v>656</v>
      </c>
      <c r="X77" s="51" t="s">
        <v>45</v>
      </c>
      <c r="Y77" s="27"/>
      <c r="Z77" s="51" t="s">
        <v>99</v>
      </c>
      <c r="AA77" s="51" t="s">
        <v>83</v>
      </c>
      <c r="AB77" s="51" t="s">
        <v>140</v>
      </c>
      <c r="AC77" s="27">
        <v>1</v>
      </c>
      <c r="AD77" s="27">
        <v>1</v>
      </c>
      <c r="AE77" s="27">
        <v>5</v>
      </c>
      <c r="AF77" s="27" t="s">
        <v>547</v>
      </c>
      <c r="AG77" s="27">
        <v>10</v>
      </c>
    </row>
    <row r="78" spans="1:33" x14ac:dyDescent="0.55000000000000004">
      <c r="A78" s="28" t="s">
        <v>754</v>
      </c>
      <c r="B78" s="28" t="s">
        <v>609</v>
      </c>
      <c r="C78" s="28" t="s">
        <v>846</v>
      </c>
      <c r="D78" s="48" t="s">
        <v>734</v>
      </c>
      <c r="E78" s="28" t="s">
        <v>515</v>
      </c>
      <c r="F78" s="28" t="s">
        <v>516</v>
      </c>
      <c r="G78" s="28" t="s">
        <v>845</v>
      </c>
      <c r="H78" s="28" t="s">
        <v>543</v>
      </c>
      <c r="I78" s="28" t="s">
        <v>544</v>
      </c>
      <c r="J78" s="28" t="s">
        <v>515</v>
      </c>
      <c r="K78" s="48" t="s">
        <v>69</v>
      </c>
      <c r="L78" s="28" t="s">
        <v>544</v>
      </c>
      <c r="M78" s="28" t="s">
        <v>544</v>
      </c>
      <c r="N78" s="48" t="s">
        <v>343</v>
      </c>
      <c r="O78" s="48" t="s">
        <v>0</v>
      </c>
      <c r="P78" s="28" t="s">
        <v>629</v>
      </c>
      <c r="Q78" s="51">
        <v>7000226019</v>
      </c>
      <c r="R78" s="27">
        <v>110410103</v>
      </c>
      <c r="S78" s="51" t="s">
        <v>63</v>
      </c>
      <c r="T78" s="27" t="s">
        <v>630</v>
      </c>
      <c r="U78" s="51" t="s">
        <v>267</v>
      </c>
      <c r="V78" s="51" t="s">
        <v>327</v>
      </c>
      <c r="W78" s="51" t="s">
        <v>650</v>
      </c>
      <c r="X78" s="51" t="s">
        <v>45</v>
      </c>
      <c r="Y78" s="27"/>
      <c r="Z78" s="51" t="s">
        <v>99</v>
      </c>
      <c r="AA78" s="51" t="s">
        <v>83</v>
      </c>
      <c r="AB78" s="51" t="s">
        <v>140</v>
      </c>
      <c r="AC78" s="27">
        <v>1</v>
      </c>
      <c r="AD78" s="27">
        <v>1</v>
      </c>
      <c r="AE78" s="27">
        <v>5</v>
      </c>
      <c r="AF78" s="27" t="s">
        <v>548</v>
      </c>
      <c r="AG78" s="27">
        <v>10</v>
      </c>
    </row>
    <row r="79" spans="1:33" x14ac:dyDescent="0.55000000000000004">
      <c r="A79" s="28" t="s">
        <v>754</v>
      </c>
      <c r="B79" s="28" t="s">
        <v>610</v>
      </c>
      <c r="C79" s="28" t="s">
        <v>847</v>
      </c>
      <c r="D79" s="48" t="s">
        <v>735</v>
      </c>
      <c r="E79" s="28" t="s">
        <v>515</v>
      </c>
      <c r="F79" s="28" t="s">
        <v>516</v>
      </c>
      <c r="G79" s="28" t="s">
        <v>845</v>
      </c>
      <c r="H79" s="28" t="s">
        <v>543</v>
      </c>
      <c r="I79" s="28" t="s">
        <v>544</v>
      </c>
      <c r="J79" s="28" t="s">
        <v>515</v>
      </c>
      <c r="K79" s="48" t="s">
        <v>69</v>
      </c>
      <c r="L79" s="28" t="s">
        <v>544</v>
      </c>
      <c r="M79" s="28" t="s">
        <v>544</v>
      </c>
      <c r="N79" s="48" t="s">
        <v>343</v>
      </c>
      <c r="O79" s="48" t="s">
        <v>0</v>
      </c>
      <c r="P79" s="28" t="s">
        <v>629</v>
      </c>
      <c r="Q79" s="51">
        <v>7000226019</v>
      </c>
      <c r="R79" s="27">
        <v>110410203</v>
      </c>
      <c r="S79" s="51" t="s">
        <v>63</v>
      </c>
      <c r="T79" s="27" t="s">
        <v>630</v>
      </c>
      <c r="U79" s="51" t="s">
        <v>267</v>
      </c>
      <c r="V79" s="51" t="s">
        <v>327</v>
      </c>
      <c r="W79" s="51" t="s">
        <v>651</v>
      </c>
      <c r="X79" s="51" t="s">
        <v>45</v>
      </c>
      <c r="Y79" s="27"/>
      <c r="Z79" s="51" t="s">
        <v>99</v>
      </c>
      <c r="AA79" s="51" t="s">
        <v>83</v>
      </c>
      <c r="AB79" s="51" t="s">
        <v>140</v>
      </c>
      <c r="AC79" s="27">
        <v>1</v>
      </c>
      <c r="AD79" s="27">
        <v>1</v>
      </c>
      <c r="AE79" s="27">
        <v>5</v>
      </c>
      <c r="AF79" s="27" t="s">
        <v>549</v>
      </c>
      <c r="AG79" s="27">
        <v>10</v>
      </c>
    </row>
    <row r="80" spans="1:33" x14ac:dyDescent="0.55000000000000004">
      <c r="A80" s="28" t="s">
        <v>754</v>
      </c>
      <c r="B80" s="28" t="s">
        <v>611</v>
      </c>
      <c r="C80" s="28" t="s">
        <v>848</v>
      </c>
      <c r="D80" s="48" t="s">
        <v>736</v>
      </c>
      <c r="E80" s="28" t="s">
        <v>515</v>
      </c>
      <c r="F80" s="28" t="s">
        <v>516</v>
      </c>
      <c r="G80" s="28" t="s">
        <v>845</v>
      </c>
      <c r="H80" s="28" t="s">
        <v>543</v>
      </c>
      <c r="I80" s="28" t="s">
        <v>544</v>
      </c>
      <c r="J80" s="28" t="s">
        <v>515</v>
      </c>
      <c r="K80" s="48" t="s">
        <v>69</v>
      </c>
      <c r="L80" s="28" t="s">
        <v>544</v>
      </c>
      <c r="M80" s="28" t="s">
        <v>544</v>
      </c>
      <c r="N80" s="48" t="s">
        <v>343</v>
      </c>
      <c r="O80" s="48" t="s">
        <v>0</v>
      </c>
      <c r="P80" s="28" t="s">
        <v>629</v>
      </c>
      <c r="Q80" s="51">
        <v>7000226019</v>
      </c>
      <c r="R80" s="27">
        <v>110410303</v>
      </c>
      <c r="S80" s="51" t="s">
        <v>63</v>
      </c>
      <c r="T80" s="27" t="s">
        <v>630</v>
      </c>
      <c r="U80" s="51" t="s">
        <v>267</v>
      </c>
      <c r="V80" s="51" t="s">
        <v>327</v>
      </c>
      <c r="W80" s="51" t="s">
        <v>652</v>
      </c>
      <c r="X80" s="51" t="s">
        <v>45</v>
      </c>
      <c r="Y80" s="27"/>
      <c r="Z80" s="51" t="s">
        <v>99</v>
      </c>
      <c r="AA80" s="51" t="s">
        <v>83</v>
      </c>
      <c r="AB80" s="51" t="s">
        <v>140</v>
      </c>
      <c r="AC80" s="27">
        <v>1</v>
      </c>
      <c r="AD80" s="27">
        <v>1</v>
      </c>
      <c r="AE80" s="27">
        <v>5</v>
      </c>
      <c r="AF80" s="27" t="s">
        <v>550</v>
      </c>
      <c r="AG80" s="27">
        <v>10</v>
      </c>
    </row>
    <row r="81" spans="1:33" x14ac:dyDescent="0.55000000000000004">
      <c r="A81" s="28" t="s">
        <v>754</v>
      </c>
      <c r="B81" s="28" t="s">
        <v>612</v>
      </c>
      <c r="C81" s="28" t="s">
        <v>849</v>
      </c>
      <c r="D81" s="48" t="s">
        <v>737</v>
      </c>
      <c r="E81" s="28" t="s">
        <v>515</v>
      </c>
      <c r="F81" s="28" t="s">
        <v>516</v>
      </c>
      <c r="G81" s="28" t="s">
        <v>845</v>
      </c>
      <c r="H81" s="28" t="s">
        <v>543</v>
      </c>
      <c r="I81" s="28" t="s">
        <v>544</v>
      </c>
      <c r="J81" s="28" t="s">
        <v>515</v>
      </c>
      <c r="K81" s="48" t="s">
        <v>69</v>
      </c>
      <c r="L81" s="28" t="s">
        <v>544</v>
      </c>
      <c r="M81" s="28" t="s">
        <v>544</v>
      </c>
      <c r="N81" s="48" t="s">
        <v>343</v>
      </c>
      <c r="O81" s="48" t="s">
        <v>0</v>
      </c>
      <c r="P81" s="28" t="s">
        <v>629</v>
      </c>
      <c r="Q81" s="51">
        <v>7000226019</v>
      </c>
      <c r="R81" s="27">
        <v>110410403</v>
      </c>
      <c r="S81" s="51" t="s">
        <v>63</v>
      </c>
      <c r="T81" s="27" t="s">
        <v>630</v>
      </c>
      <c r="U81" s="51" t="s">
        <v>267</v>
      </c>
      <c r="V81" s="51" t="s">
        <v>327</v>
      </c>
      <c r="W81" s="51" t="s">
        <v>653</v>
      </c>
      <c r="X81" s="51" t="s">
        <v>45</v>
      </c>
      <c r="Y81" s="27"/>
      <c r="Z81" s="51" t="s">
        <v>99</v>
      </c>
      <c r="AA81" s="51" t="s">
        <v>83</v>
      </c>
      <c r="AB81" s="51" t="s">
        <v>140</v>
      </c>
      <c r="AC81" s="27">
        <v>1</v>
      </c>
      <c r="AD81" s="27">
        <v>1</v>
      </c>
      <c r="AE81" s="27">
        <v>5</v>
      </c>
      <c r="AF81" s="27" t="s">
        <v>551</v>
      </c>
      <c r="AG81" s="27">
        <v>10</v>
      </c>
    </row>
    <row r="82" spans="1:33" x14ac:dyDescent="0.55000000000000004">
      <c r="A82" s="28" t="s">
        <v>754</v>
      </c>
      <c r="B82" s="28" t="s">
        <v>613</v>
      </c>
      <c r="C82" s="28" t="s">
        <v>850</v>
      </c>
      <c r="D82" s="48" t="s">
        <v>738</v>
      </c>
      <c r="E82" s="28" t="s">
        <v>515</v>
      </c>
      <c r="F82" s="28" t="s">
        <v>516</v>
      </c>
      <c r="G82" s="28" t="s">
        <v>845</v>
      </c>
      <c r="H82" s="28" t="s">
        <v>543</v>
      </c>
      <c r="I82" s="28" t="s">
        <v>544</v>
      </c>
      <c r="J82" s="28" t="s">
        <v>515</v>
      </c>
      <c r="K82" s="48" t="s">
        <v>69</v>
      </c>
      <c r="L82" s="28" t="s">
        <v>544</v>
      </c>
      <c r="M82" s="28" t="s">
        <v>544</v>
      </c>
      <c r="N82" s="48" t="s">
        <v>343</v>
      </c>
      <c r="O82" s="48" t="s">
        <v>0</v>
      </c>
      <c r="P82" s="28" t="s">
        <v>629</v>
      </c>
      <c r="Q82" s="51">
        <v>7000226019</v>
      </c>
      <c r="R82" s="27">
        <v>110410503</v>
      </c>
      <c r="S82" s="51" t="s">
        <v>63</v>
      </c>
      <c r="T82" s="27" t="s">
        <v>630</v>
      </c>
      <c r="U82" s="51" t="s">
        <v>267</v>
      </c>
      <c r="V82" s="51" t="s">
        <v>327</v>
      </c>
      <c r="W82" s="51" t="s">
        <v>654</v>
      </c>
      <c r="X82" s="51" t="s">
        <v>45</v>
      </c>
      <c r="Y82" s="27"/>
      <c r="Z82" s="51" t="s">
        <v>99</v>
      </c>
      <c r="AA82" s="51" t="s">
        <v>83</v>
      </c>
      <c r="AB82" s="51" t="s">
        <v>140</v>
      </c>
      <c r="AC82" s="27">
        <v>1</v>
      </c>
      <c r="AD82" s="27">
        <v>1</v>
      </c>
      <c r="AE82" s="27">
        <v>5</v>
      </c>
      <c r="AF82" s="27" t="s">
        <v>501</v>
      </c>
      <c r="AG82" s="27">
        <v>11</v>
      </c>
    </row>
    <row r="83" spans="1:33" x14ac:dyDescent="0.55000000000000004">
      <c r="A83" s="28" t="s">
        <v>754</v>
      </c>
      <c r="B83" s="28" t="s">
        <v>614</v>
      </c>
      <c r="C83" s="28" t="s">
        <v>851</v>
      </c>
      <c r="D83" s="48" t="s">
        <v>739</v>
      </c>
      <c r="E83" s="28" t="s">
        <v>515</v>
      </c>
      <c r="F83" s="28" t="s">
        <v>516</v>
      </c>
      <c r="G83" s="28" t="s">
        <v>845</v>
      </c>
      <c r="H83" s="28" t="s">
        <v>543</v>
      </c>
      <c r="I83" s="28" t="s">
        <v>544</v>
      </c>
      <c r="J83" s="28" t="s">
        <v>515</v>
      </c>
      <c r="K83" s="48" t="s">
        <v>69</v>
      </c>
      <c r="L83" s="28" t="s">
        <v>544</v>
      </c>
      <c r="M83" s="28" t="s">
        <v>544</v>
      </c>
      <c r="N83" s="48" t="s">
        <v>343</v>
      </c>
      <c r="O83" s="48" t="s">
        <v>0</v>
      </c>
      <c r="P83" s="28" t="s">
        <v>629</v>
      </c>
      <c r="Q83" s="51">
        <v>7000226019</v>
      </c>
      <c r="R83" s="27">
        <v>110410603</v>
      </c>
      <c r="S83" s="51" t="s">
        <v>63</v>
      </c>
      <c r="T83" s="27" t="s">
        <v>630</v>
      </c>
      <c r="U83" s="51" t="s">
        <v>267</v>
      </c>
      <c r="V83" s="51" t="s">
        <v>327</v>
      </c>
      <c r="W83" s="51" t="s">
        <v>655</v>
      </c>
      <c r="X83" s="51" t="s">
        <v>45</v>
      </c>
      <c r="Y83" s="27"/>
      <c r="Z83" s="51" t="s">
        <v>99</v>
      </c>
      <c r="AA83" s="51" t="s">
        <v>83</v>
      </c>
      <c r="AB83" s="51" t="s">
        <v>140</v>
      </c>
      <c r="AC83" s="27">
        <v>1</v>
      </c>
      <c r="AD83" s="27">
        <v>1</v>
      </c>
      <c r="AE83" s="27">
        <v>5</v>
      </c>
      <c r="AF83" s="27" t="s">
        <v>545</v>
      </c>
      <c r="AG83" s="27">
        <v>11</v>
      </c>
    </row>
    <row r="84" spans="1:33" x14ac:dyDescent="0.55000000000000004">
      <c r="A84" s="28" t="s">
        <v>754</v>
      </c>
      <c r="B84" s="28" t="s">
        <v>615</v>
      </c>
      <c r="C84" s="28" t="s">
        <v>852</v>
      </c>
      <c r="D84" s="48" t="s">
        <v>740</v>
      </c>
      <c r="E84" s="28" t="s">
        <v>515</v>
      </c>
      <c r="F84" s="28" t="s">
        <v>516</v>
      </c>
      <c r="G84" s="28" t="s">
        <v>845</v>
      </c>
      <c r="H84" s="28" t="s">
        <v>543</v>
      </c>
      <c r="I84" s="28" t="s">
        <v>544</v>
      </c>
      <c r="J84" s="28" t="s">
        <v>515</v>
      </c>
      <c r="K84" s="48" t="s">
        <v>69</v>
      </c>
      <c r="L84" s="28" t="s">
        <v>544</v>
      </c>
      <c r="M84" s="28" t="s">
        <v>544</v>
      </c>
      <c r="N84" s="48" t="s">
        <v>343</v>
      </c>
      <c r="O84" s="48" t="s">
        <v>0</v>
      </c>
      <c r="P84" s="28" t="s">
        <v>629</v>
      </c>
      <c r="Q84" s="51">
        <v>7000226019</v>
      </c>
      <c r="R84" s="27">
        <v>110410703</v>
      </c>
      <c r="S84" s="51" t="s">
        <v>63</v>
      </c>
      <c r="T84" s="27" t="s">
        <v>630</v>
      </c>
      <c r="U84" s="51" t="s">
        <v>267</v>
      </c>
      <c r="V84" s="51" t="s">
        <v>327</v>
      </c>
      <c r="W84" s="51" t="s">
        <v>656</v>
      </c>
      <c r="X84" s="51" t="s">
        <v>45</v>
      </c>
      <c r="Y84" s="27"/>
      <c r="Z84" s="51" t="s">
        <v>99</v>
      </c>
      <c r="AA84" s="51" t="s">
        <v>83</v>
      </c>
      <c r="AB84" s="51" t="s">
        <v>140</v>
      </c>
      <c r="AC84" s="27">
        <v>1</v>
      </c>
      <c r="AD84" s="27">
        <v>1</v>
      </c>
      <c r="AE84" s="27">
        <v>5</v>
      </c>
      <c r="AF84" s="27" t="s">
        <v>546</v>
      </c>
      <c r="AG84" s="27">
        <v>11</v>
      </c>
    </row>
    <row r="85" spans="1:33" x14ac:dyDescent="0.55000000000000004">
      <c r="A85" s="28" t="s">
        <v>754</v>
      </c>
      <c r="B85" s="28" t="s">
        <v>616</v>
      </c>
      <c r="C85" s="28" t="s">
        <v>854</v>
      </c>
      <c r="D85" s="48" t="s">
        <v>741</v>
      </c>
      <c r="E85" s="28" t="s">
        <v>515</v>
      </c>
      <c r="F85" s="28" t="s">
        <v>516</v>
      </c>
      <c r="G85" s="28" t="s">
        <v>853</v>
      </c>
      <c r="H85" s="28" t="s">
        <v>543</v>
      </c>
      <c r="I85" s="28" t="s">
        <v>544</v>
      </c>
      <c r="J85" s="28" t="s">
        <v>515</v>
      </c>
      <c r="K85" s="48" t="s">
        <v>69</v>
      </c>
      <c r="L85" s="28" t="s">
        <v>544</v>
      </c>
      <c r="M85" s="28" t="s">
        <v>544</v>
      </c>
      <c r="N85" s="48" t="s">
        <v>343</v>
      </c>
      <c r="O85" s="48" t="s">
        <v>0</v>
      </c>
      <c r="P85" s="28" t="s">
        <v>629</v>
      </c>
      <c r="Q85" s="51">
        <v>7000226019</v>
      </c>
      <c r="R85" s="27">
        <v>110420103</v>
      </c>
      <c r="S85" s="51" t="s">
        <v>63</v>
      </c>
      <c r="T85" s="27" t="s">
        <v>630</v>
      </c>
      <c r="U85" s="51" t="s">
        <v>267</v>
      </c>
      <c r="V85" s="51" t="s">
        <v>327</v>
      </c>
      <c r="W85" s="51" t="s">
        <v>650</v>
      </c>
      <c r="X85" s="51" t="s">
        <v>45</v>
      </c>
      <c r="Y85" s="27"/>
      <c r="Z85" s="51" t="s">
        <v>99</v>
      </c>
      <c r="AA85" s="51" t="s">
        <v>83</v>
      </c>
      <c r="AB85" s="51" t="s">
        <v>140</v>
      </c>
      <c r="AC85" s="27">
        <v>1</v>
      </c>
      <c r="AD85" s="27">
        <v>1</v>
      </c>
      <c r="AE85" s="27">
        <v>5</v>
      </c>
      <c r="AF85" s="27" t="s">
        <v>547</v>
      </c>
      <c r="AG85" s="27">
        <v>11</v>
      </c>
    </row>
    <row r="86" spans="1:33" x14ac:dyDescent="0.55000000000000004">
      <c r="A86" s="28" t="s">
        <v>754</v>
      </c>
      <c r="B86" s="28" t="s">
        <v>617</v>
      </c>
      <c r="C86" s="28" t="s">
        <v>855</v>
      </c>
      <c r="D86" s="48" t="s">
        <v>742</v>
      </c>
      <c r="E86" s="28" t="s">
        <v>515</v>
      </c>
      <c r="F86" s="28" t="s">
        <v>516</v>
      </c>
      <c r="G86" s="28" t="s">
        <v>853</v>
      </c>
      <c r="H86" s="28" t="s">
        <v>543</v>
      </c>
      <c r="I86" s="28" t="s">
        <v>544</v>
      </c>
      <c r="J86" s="28" t="s">
        <v>515</v>
      </c>
      <c r="K86" s="48" t="s">
        <v>69</v>
      </c>
      <c r="L86" s="28" t="s">
        <v>544</v>
      </c>
      <c r="M86" s="28" t="s">
        <v>544</v>
      </c>
      <c r="N86" s="48" t="s">
        <v>343</v>
      </c>
      <c r="O86" s="48" t="s">
        <v>0</v>
      </c>
      <c r="P86" s="28" t="s">
        <v>629</v>
      </c>
      <c r="Q86" s="51">
        <v>7000226019</v>
      </c>
      <c r="R86" s="27">
        <v>110420203</v>
      </c>
      <c r="S86" s="51" t="s">
        <v>63</v>
      </c>
      <c r="T86" s="27" t="s">
        <v>630</v>
      </c>
      <c r="U86" s="51" t="s">
        <v>267</v>
      </c>
      <c r="V86" s="51" t="s">
        <v>327</v>
      </c>
      <c r="W86" s="51" t="s">
        <v>651</v>
      </c>
      <c r="X86" s="51" t="s">
        <v>45</v>
      </c>
      <c r="Y86" s="27"/>
      <c r="Z86" s="51" t="s">
        <v>99</v>
      </c>
      <c r="AA86" s="51" t="s">
        <v>83</v>
      </c>
      <c r="AB86" s="51" t="s">
        <v>140</v>
      </c>
      <c r="AC86" s="27">
        <v>1</v>
      </c>
      <c r="AD86" s="27">
        <v>1</v>
      </c>
      <c r="AE86" s="27">
        <v>5</v>
      </c>
      <c r="AF86" s="27" t="s">
        <v>548</v>
      </c>
      <c r="AG86" s="27">
        <v>11</v>
      </c>
    </row>
    <row r="87" spans="1:33" x14ac:dyDescent="0.55000000000000004">
      <c r="A87" s="28" t="s">
        <v>754</v>
      </c>
      <c r="B87" s="28" t="s">
        <v>618</v>
      </c>
      <c r="C87" s="28" t="s">
        <v>856</v>
      </c>
      <c r="D87" s="48" t="s">
        <v>743</v>
      </c>
      <c r="E87" s="28" t="s">
        <v>515</v>
      </c>
      <c r="F87" s="28" t="s">
        <v>516</v>
      </c>
      <c r="G87" s="28" t="s">
        <v>853</v>
      </c>
      <c r="H87" s="28" t="s">
        <v>543</v>
      </c>
      <c r="I87" s="28" t="s">
        <v>544</v>
      </c>
      <c r="J87" s="28" t="s">
        <v>515</v>
      </c>
      <c r="K87" s="48" t="s">
        <v>69</v>
      </c>
      <c r="L87" s="28" t="s">
        <v>544</v>
      </c>
      <c r="M87" s="28" t="s">
        <v>544</v>
      </c>
      <c r="N87" s="48" t="s">
        <v>343</v>
      </c>
      <c r="O87" s="48" t="s">
        <v>0</v>
      </c>
      <c r="P87" s="28" t="s">
        <v>629</v>
      </c>
      <c r="Q87" s="51">
        <v>7000226019</v>
      </c>
      <c r="R87" s="27">
        <v>110420303</v>
      </c>
      <c r="S87" s="51" t="s">
        <v>63</v>
      </c>
      <c r="T87" s="27" t="s">
        <v>630</v>
      </c>
      <c r="U87" s="51" t="s">
        <v>267</v>
      </c>
      <c r="V87" s="51" t="s">
        <v>327</v>
      </c>
      <c r="W87" s="51" t="s">
        <v>652</v>
      </c>
      <c r="X87" s="51" t="s">
        <v>45</v>
      </c>
      <c r="Y87" s="27"/>
      <c r="Z87" s="51" t="s">
        <v>99</v>
      </c>
      <c r="AA87" s="51" t="s">
        <v>83</v>
      </c>
      <c r="AB87" s="51" t="s">
        <v>140</v>
      </c>
      <c r="AC87" s="27">
        <v>1</v>
      </c>
      <c r="AD87" s="27">
        <v>1</v>
      </c>
      <c r="AE87" s="27">
        <v>5</v>
      </c>
      <c r="AF87" s="27" t="s">
        <v>549</v>
      </c>
      <c r="AG87" s="27">
        <v>11</v>
      </c>
    </row>
    <row r="88" spans="1:33" x14ac:dyDescent="0.55000000000000004">
      <c r="A88" s="28" t="s">
        <v>754</v>
      </c>
      <c r="B88" s="28" t="s">
        <v>619</v>
      </c>
      <c r="C88" s="28" t="s">
        <v>857</v>
      </c>
      <c r="D88" s="48" t="s">
        <v>744</v>
      </c>
      <c r="E88" s="28" t="s">
        <v>515</v>
      </c>
      <c r="F88" s="28" t="s">
        <v>516</v>
      </c>
      <c r="G88" s="28" t="s">
        <v>853</v>
      </c>
      <c r="H88" s="28" t="s">
        <v>543</v>
      </c>
      <c r="I88" s="28" t="s">
        <v>544</v>
      </c>
      <c r="J88" s="28" t="s">
        <v>515</v>
      </c>
      <c r="K88" s="48" t="s">
        <v>69</v>
      </c>
      <c r="L88" s="28" t="s">
        <v>544</v>
      </c>
      <c r="M88" s="28" t="s">
        <v>544</v>
      </c>
      <c r="N88" s="48" t="s">
        <v>343</v>
      </c>
      <c r="O88" s="48" t="s">
        <v>0</v>
      </c>
      <c r="P88" s="28" t="s">
        <v>629</v>
      </c>
      <c r="Q88" s="51">
        <v>7000226019</v>
      </c>
      <c r="R88" s="27">
        <v>110420503</v>
      </c>
      <c r="S88" s="51" t="s">
        <v>63</v>
      </c>
      <c r="T88" s="27" t="s">
        <v>630</v>
      </c>
      <c r="U88" s="51" t="s">
        <v>267</v>
      </c>
      <c r="V88" s="51" t="s">
        <v>327</v>
      </c>
      <c r="W88" s="51" t="s">
        <v>654</v>
      </c>
      <c r="X88" s="51" t="s">
        <v>45</v>
      </c>
      <c r="Y88" s="27"/>
      <c r="Z88" s="51" t="s">
        <v>99</v>
      </c>
      <c r="AA88" s="51" t="s">
        <v>83</v>
      </c>
      <c r="AB88" s="51" t="s">
        <v>140</v>
      </c>
      <c r="AC88" s="27">
        <v>1</v>
      </c>
      <c r="AD88" s="27">
        <v>1</v>
      </c>
      <c r="AE88" s="27">
        <v>5</v>
      </c>
      <c r="AF88" s="27" t="s">
        <v>550</v>
      </c>
      <c r="AG88" s="27">
        <v>11</v>
      </c>
    </row>
    <row r="89" spans="1:33" x14ac:dyDescent="0.55000000000000004">
      <c r="A89" s="28" t="s">
        <v>754</v>
      </c>
      <c r="B89" s="28" t="s">
        <v>620</v>
      </c>
      <c r="C89" s="28" t="s">
        <v>858</v>
      </c>
      <c r="D89" s="48" t="s">
        <v>745</v>
      </c>
      <c r="E89" s="28" t="s">
        <v>515</v>
      </c>
      <c r="F89" s="28" t="s">
        <v>516</v>
      </c>
      <c r="G89" s="28" t="s">
        <v>853</v>
      </c>
      <c r="H89" s="28" t="s">
        <v>543</v>
      </c>
      <c r="I89" s="28" t="s">
        <v>544</v>
      </c>
      <c r="J89" s="28" t="s">
        <v>515</v>
      </c>
      <c r="K89" s="48" t="s">
        <v>69</v>
      </c>
      <c r="L89" s="28" t="s">
        <v>544</v>
      </c>
      <c r="M89" s="28" t="s">
        <v>544</v>
      </c>
      <c r="N89" s="48" t="s">
        <v>343</v>
      </c>
      <c r="O89" s="48" t="s">
        <v>0</v>
      </c>
      <c r="P89" s="28" t="s">
        <v>629</v>
      </c>
      <c r="Q89" s="51">
        <v>7000226019</v>
      </c>
      <c r="R89" s="27">
        <v>110420703</v>
      </c>
      <c r="S89" s="51" t="s">
        <v>63</v>
      </c>
      <c r="T89" s="27" t="s">
        <v>630</v>
      </c>
      <c r="U89" s="51" t="s">
        <v>267</v>
      </c>
      <c r="V89" s="51" t="s">
        <v>327</v>
      </c>
      <c r="W89" s="51" t="s">
        <v>656</v>
      </c>
      <c r="X89" s="51" t="s">
        <v>45</v>
      </c>
      <c r="Y89" s="27"/>
      <c r="Z89" s="51" t="s">
        <v>99</v>
      </c>
      <c r="AA89" s="51" t="s">
        <v>83</v>
      </c>
      <c r="AB89" s="51" t="s">
        <v>140</v>
      </c>
      <c r="AC89" s="27">
        <v>1</v>
      </c>
      <c r="AD89" s="27">
        <v>1</v>
      </c>
      <c r="AE89" s="27">
        <v>5</v>
      </c>
      <c r="AF89" s="27" t="s">
        <v>551</v>
      </c>
      <c r="AG89" s="27">
        <v>11</v>
      </c>
    </row>
    <row r="90" spans="1:33" x14ac:dyDescent="0.55000000000000004">
      <c r="A90" s="28" t="s">
        <v>754</v>
      </c>
      <c r="B90" s="28" t="s">
        <v>621</v>
      </c>
      <c r="C90" s="28" t="s">
        <v>860</v>
      </c>
      <c r="D90" s="48" t="s">
        <v>746</v>
      </c>
      <c r="E90" s="28" t="s">
        <v>515</v>
      </c>
      <c r="F90" s="28" t="s">
        <v>516</v>
      </c>
      <c r="G90" s="28" t="s">
        <v>859</v>
      </c>
      <c r="H90" s="28" t="s">
        <v>543</v>
      </c>
      <c r="I90" s="28" t="s">
        <v>544</v>
      </c>
      <c r="J90" s="28" t="s">
        <v>515</v>
      </c>
      <c r="K90" s="48" t="s">
        <v>69</v>
      </c>
      <c r="L90" s="28" t="s">
        <v>544</v>
      </c>
      <c r="M90" s="28" t="s">
        <v>544</v>
      </c>
      <c r="N90" s="48" t="s">
        <v>343</v>
      </c>
      <c r="O90" s="48" t="s">
        <v>0</v>
      </c>
      <c r="P90" s="28" t="s">
        <v>629</v>
      </c>
      <c r="Q90" s="51">
        <v>7000226019</v>
      </c>
      <c r="R90" s="27">
        <v>110440103</v>
      </c>
      <c r="S90" s="51" t="s">
        <v>63</v>
      </c>
      <c r="T90" s="27" t="s">
        <v>630</v>
      </c>
      <c r="U90" s="51" t="s">
        <v>267</v>
      </c>
      <c r="V90" s="51" t="s">
        <v>327</v>
      </c>
      <c r="W90" s="51" t="s">
        <v>650</v>
      </c>
      <c r="X90" s="51" t="s">
        <v>45</v>
      </c>
      <c r="Y90" s="27"/>
      <c r="Z90" s="51" t="s">
        <v>99</v>
      </c>
      <c r="AA90" s="51" t="s">
        <v>83</v>
      </c>
      <c r="AB90" s="51" t="s">
        <v>140</v>
      </c>
      <c r="AC90" s="27">
        <v>1</v>
      </c>
      <c r="AD90" s="27">
        <v>1</v>
      </c>
      <c r="AE90" s="27">
        <v>5</v>
      </c>
      <c r="AF90" s="27" t="s">
        <v>501</v>
      </c>
      <c r="AG90" s="27">
        <v>12</v>
      </c>
    </row>
    <row r="91" spans="1:33" x14ac:dyDescent="0.55000000000000004">
      <c r="A91" s="28" t="s">
        <v>754</v>
      </c>
      <c r="B91" s="28" t="s">
        <v>622</v>
      </c>
      <c r="C91" s="28" t="s">
        <v>861</v>
      </c>
      <c r="D91" s="48" t="s">
        <v>747</v>
      </c>
      <c r="E91" s="28" t="s">
        <v>515</v>
      </c>
      <c r="F91" s="28" t="s">
        <v>516</v>
      </c>
      <c r="G91" s="28" t="s">
        <v>859</v>
      </c>
      <c r="H91" s="28" t="s">
        <v>543</v>
      </c>
      <c r="I91" s="28" t="s">
        <v>544</v>
      </c>
      <c r="J91" s="28" t="s">
        <v>515</v>
      </c>
      <c r="K91" s="48" t="s">
        <v>69</v>
      </c>
      <c r="L91" s="28" t="s">
        <v>544</v>
      </c>
      <c r="M91" s="28" t="s">
        <v>544</v>
      </c>
      <c r="N91" s="48" t="s">
        <v>343</v>
      </c>
      <c r="O91" s="48" t="s">
        <v>0</v>
      </c>
      <c r="P91" s="28" t="s">
        <v>629</v>
      </c>
      <c r="Q91" s="51">
        <v>7000226019</v>
      </c>
      <c r="R91" s="27">
        <v>110440203</v>
      </c>
      <c r="S91" s="51" t="s">
        <v>63</v>
      </c>
      <c r="T91" s="27" t="s">
        <v>630</v>
      </c>
      <c r="U91" s="51" t="s">
        <v>267</v>
      </c>
      <c r="V91" s="51" t="s">
        <v>327</v>
      </c>
      <c r="W91" s="51" t="s">
        <v>651</v>
      </c>
      <c r="X91" s="51" t="s">
        <v>45</v>
      </c>
      <c r="Y91" s="27"/>
      <c r="Z91" s="51" t="s">
        <v>99</v>
      </c>
      <c r="AA91" s="51" t="s">
        <v>83</v>
      </c>
      <c r="AB91" s="51" t="s">
        <v>140</v>
      </c>
      <c r="AC91" s="27">
        <v>1</v>
      </c>
      <c r="AD91" s="27">
        <v>1</v>
      </c>
      <c r="AE91" s="27">
        <v>5</v>
      </c>
      <c r="AF91" s="27" t="s">
        <v>545</v>
      </c>
      <c r="AG91" s="27">
        <v>12</v>
      </c>
    </row>
    <row r="92" spans="1:33" x14ac:dyDescent="0.55000000000000004">
      <c r="A92" s="28" t="s">
        <v>754</v>
      </c>
      <c r="B92" s="28" t="s">
        <v>623</v>
      </c>
      <c r="C92" s="28" t="s">
        <v>862</v>
      </c>
      <c r="D92" s="48" t="s">
        <v>748</v>
      </c>
      <c r="E92" s="28" t="s">
        <v>515</v>
      </c>
      <c r="F92" s="28" t="s">
        <v>516</v>
      </c>
      <c r="G92" s="28" t="s">
        <v>859</v>
      </c>
      <c r="H92" s="28" t="s">
        <v>543</v>
      </c>
      <c r="I92" s="28" t="s">
        <v>544</v>
      </c>
      <c r="J92" s="28" t="s">
        <v>515</v>
      </c>
      <c r="K92" s="48" t="s">
        <v>69</v>
      </c>
      <c r="L92" s="28" t="s">
        <v>544</v>
      </c>
      <c r="M92" s="28" t="s">
        <v>544</v>
      </c>
      <c r="N92" s="48" t="s">
        <v>343</v>
      </c>
      <c r="O92" s="48" t="s">
        <v>0</v>
      </c>
      <c r="P92" s="28" t="s">
        <v>629</v>
      </c>
      <c r="Q92" s="51">
        <v>7000226019</v>
      </c>
      <c r="R92" s="27">
        <v>110440303</v>
      </c>
      <c r="S92" s="51" t="s">
        <v>63</v>
      </c>
      <c r="T92" s="27" t="s">
        <v>630</v>
      </c>
      <c r="U92" s="51" t="s">
        <v>267</v>
      </c>
      <c r="V92" s="51" t="s">
        <v>327</v>
      </c>
      <c r="W92" s="51" t="s">
        <v>652</v>
      </c>
      <c r="X92" s="51" t="s">
        <v>45</v>
      </c>
      <c r="Y92" s="27"/>
      <c r="Z92" s="51" t="s">
        <v>99</v>
      </c>
      <c r="AA92" s="51" t="s">
        <v>83</v>
      </c>
      <c r="AB92" s="51" t="s">
        <v>140</v>
      </c>
      <c r="AC92" s="27">
        <v>1</v>
      </c>
      <c r="AD92" s="27">
        <v>1</v>
      </c>
      <c r="AE92" s="27">
        <v>5</v>
      </c>
      <c r="AF92" s="27" t="s">
        <v>546</v>
      </c>
      <c r="AG92" s="27">
        <v>12</v>
      </c>
    </row>
    <row r="93" spans="1:33" x14ac:dyDescent="0.55000000000000004">
      <c r="A93" s="28" t="s">
        <v>754</v>
      </c>
      <c r="B93" s="28" t="s">
        <v>624</v>
      </c>
      <c r="C93" s="28" t="s">
        <v>863</v>
      </c>
      <c r="D93" s="48" t="s">
        <v>749</v>
      </c>
      <c r="E93" s="28" t="s">
        <v>515</v>
      </c>
      <c r="F93" s="28" t="s">
        <v>516</v>
      </c>
      <c r="G93" s="28" t="s">
        <v>859</v>
      </c>
      <c r="H93" s="28" t="s">
        <v>543</v>
      </c>
      <c r="I93" s="28" t="s">
        <v>544</v>
      </c>
      <c r="J93" s="28" t="s">
        <v>515</v>
      </c>
      <c r="K93" s="48" t="s">
        <v>69</v>
      </c>
      <c r="L93" s="28" t="s">
        <v>544</v>
      </c>
      <c r="M93" s="28" t="s">
        <v>544</v>
      </c>
      <c r="N93" s="48" t="s">
        <v>343</v>
      </c>
      <c r="O93" s="48" t="s">
        <v>0</v>
      </c>
      <c r="P93" s="28" t="s">
        <v>629</v>
      </c>
      <c r="Q93" s="51">
        <v>7000226019</v>
      </c>
      <c r="R93" s="27">
        <v>110440403</v>
      </c>
      <c r="S93" s="51" t="s">
        <v>63</v>
      </c>
      <c r="T93" s="27" t="s">
        <v>630</v>
      </c>
      <c r="U93" s="51" t="s">
        <v>267</v>
      </c>
      <c r="V93" s="51" t="s">
        <v>327</v>
      </c>
      <c r="W93" s="51" t="s">
        <v>653</v>
      </c>
      <c r="X93" s="51" t="s">
        <v>45</v>
      </c>
      <c r="Y93" s="27"/>
      <c r="Z93" s="51" t="s">
        <v>99</v>
      </c>
      <c r="AA93" s="51" t="s">
        <v>83</v>
      </c>
      <c r="AB93" s="51" t="s">
        <v>140</v>
      </c>
      <c r="AC93" s="27">
        <v>1</v>
      </c>
      <c r="AD93" s="27">
        <v>1</v>
      </c>
      <c r="AE93" s="27">
        <v>5</v>
      </c>
      <c r="AF93" s="27" t="s">
        <v>547</v>
      </c>
      <c r="AG93" s="27">
        <v>12</v>
      </c>
    </row>
    <row r="94" spans="1:33" x14ac:dyDescent="0.55000000000000004">
      <c r="A94" s="28" t="s">
        <v>754</v>
      </c>
      <c r="B94" s="28" t="s">
        <v>625</v>
      </c>
      <c r="C94" s="28" t="s">
        <v>864</v>
      </c>
      <c r="D94" s="48" t="s">
        <v>750</v>
      </c>
      <c r="E94" s="28" t="s">
        <v>515</v>
      </c>
      <c r="F94" s="28" t="s">
        <v>516</v>
      </c>
      <c r="G94" s="28" t="s">
        <v>859</v>
      </c>
      <c r="H94" s="28" t="s">
        <v>543</v>
      </c>
      <c r="I94" s="28" t="s">
        <v>544</v>
      </c>
      <c r="J94" s="28" t="s">
        <v>515</v>
      </c>
      <c r="K94" s="48" t="s">
        <v>69</v>
      </c>
      <c r="L94" s="28" t="s">
        <v>544</v>
      </c>
      <c r="M94" s="28" t="s">
        <v>544</v>
      </c>
      <c r="N94" s="48" t="s">
        <v>343</v>
      </c>
      <c r="O94" s="48" t="s">
        <v>0</v>
      </c>
      <c r="P94" s="28" t="s">
        <v>629</v>
      </c>
      <c r="Q94" s="51">
        <v>7000226019</v>
      </c>
      <c r="R94" s="27">
        <v>110440503</v>
      </c>
      <c r="S94" s="51" t="s">
        <v>63</v>
      </c>
      <c r="T94" s="27" t="s">
        <v>630</v>
      </c>
      <c r="U94" s="51" t="s">
        <v>267</v>
      </c>
      <c r="V94" s="51" t="s">
        <v>327</v>
      </c>
      <c r="W94" s="51" t="s">
        <v>654</v>
      </c>
      <c r="X94" s="51" t="s">
        <v>45</v>
      </c>
      <c r="Y94" s="27"/>
      <c r="Z94" s="51" t="s">
        <v>99</v>
      </c>
      <c r="AA94" s="51" t="s">
        <v>83</v>
      </c>
      <c r="AB94" s="51" t="s">
        <v>140</v>
      </c>
      <c r="AC94" s="27">
        <v>1</v>
      </c>
      <c r="AD94" s="27">
        <v>1</v>
      </c>
      <c r="AE94" s="27">
        <v>5</v>
      </c>
      <c r="AF94" s="27" t="s">
        <v>548</v>
      </c>
      <c r="AG94" s="27">
        <v>12</v>
      </c>
    </row>
    <row r="95" spans="1:33" x14ac:dyDescent="0.55000000000000004">
      <c r="A95" s="28" t="s">
        <v>754</v>
      </c>
      <c r="B95" s="28" t="s">
        <v>626</v>
      </c>
      <c r="C95" s="28" t="s">
        <v>866</v>
      </c>
      <c r="D95" s="48" t="s">
        <v>751</v>
      </c>
      <c r="E95" s="28" t="s">
        <v>515</v>
      </c>
      <c r="F95" s="28" t="s">
        <v>516</v>
      </c>
      <c r="G95" s="28" t="s">
        <v>865</v>
      </c>
      <c r="H95" s="28" t="s">
        <v>543</v>
      </c>
      <c r="I95" s="28" t="s">
        <v>544</v>
      </c>
      <c r="J95" s="28" t="s">
        <v>515</v>
      </c>
      <c r="K95" s="48" t="s">
        <v>69</v>
      </c>
      <c r="L95" s="28" t="s">
        <v>544</v>
      </c>
      <c r="M95" s="28" t="s">
        <v>544</v>
      </c>
      <c r="N95" s="48" t="s">
        <v>343</v>
      </c>
      <c r="O95" s="48" t="s">
        <v>0</v>
      </c>
      <c r="P95" s="28" t="s">
        <v>629</v>
      </c>
      <c r="Q95" s="51">
        <v>7000226019</v>
      </c>
      <c r="R95" s="27">
        <v>112380503</v>
      </c>
      <c r="S95" s="51" t="s">
        <v>63</v>
      </c>
      <c r="T95" s="27" t="s">
        <v>630</v>
      </c>
      <c r="U95" s="51" t="s">
        <v>267</v>
      </c>
      <c r="V95" s="51" t="s">
        <v>327</v>
      </c>
      <c r="W95" s="51" t="s">
        <v>654</v>
      </c>
      <c r="X95" s="51" t="s">
        <v>45</v>
      </c>
      <c r="Y95" s="27"/>
      <c r="Z95" s="51" t="s">
        <v>99</v>
      </c>
      <c r="AA95" s="51" t="s">
        <v>83</v>
      </c>
      <c r="AB95" s="51" t="s">
        <v>140</v>
      </c>
      <c r="AC95" s="27">
        <v>1</v>
      </c>
      <c r="AD95" s="27">
        <v>1</v>
      </c>
      <c r="AE95" s="27">
        <v>5</v>
      </c>
      <c r="AF95" s="27" t="s">
        <v>549</v>
      </c>
      <c r="AG95" s="27">
        <v>12</v>
      </c>
    </row>
    <row r="96" spans="1:33" x14ac:dyDescent="0.55000000000000004">
      <c r="A96" s="28" t="s">
        <v>754</v>
      </c>
      <c r="B96" s="28" t="s">
        <v>627</v>
      </c>
      <c r="C96" s="28" t="s">
        <v>867</v>
      </c>
      <c r="D96" s="48" t="s">
        <v>752</v>
      </c>
      <c r="E96" s="28" t="s">
        <v>515</v>
      </c>
      <c r="F96" s="28" t="s">
        <v>516</v>
      </c>
      <c r="G96" s="28" t="s">
        <v>865</v>
      </c>
      <c r="H96" s="28" t="s">
        <v>543</v>
      </c>
      <c r="I96" s="28" t="s">
        <v>544</v>
      </c>
      <c r="J96" s="28" t="s">
        <v>515</v>
      </c>
      <c r="K96" s="48" t="s">
        <v>69</v>
      </c>
      <c r="L96" s="28" t="s">
        <v>544</v>
      </c>
      <c r="M96" s="28" t="s">
        <v>544</v>
      </c>
      <c r="N96" s="48" t="s">
        <v>343</v>
      </c>
      <c r="O96" s="48" t="s">
        <v>0</v>
      </c>
      <c r="P96" s="28" t="s">
        <v>629</v>
      </c>
      <c r="Q96" s="51">
        <v>7000226019</v>
      </c>
      <c r="R96" s="27">
        <v>112380703</v>
      </c>
      <c r="S96" s="51" t="s">
        <v>63</v>
      </c>
      <c r="T96" s="27" t="s">
        <v>630</v>
      </c>
      <c r="U96" s="51" t="s">
        <v>267</v>
      </c>
      <c r="V96" s="51" t="s">
        <v>327</v>
      </c>
      <c r="W96" s="51" t="s">
        <v>656</v>
      </c>
      <c r="X96" s="51" t="s">
        <v>45</v>
      </c>
      <c r="Y96" s="27"/>
      <c r="Z96" s="51" t="s">
        <v>99</v>
      </c>
      <c r="AA96" s="51" t="s">
        <v>83</v>
      </c>
      <c r="AB96" s="51" t="s">
        <v>140</v>
      </c>
      <c r="AC96" s="27">
        <v>1</v>
      </c>
      <c r="AD96" s="27">
        <v>1</v>
      </c>
      <c r="AE96" s="27">
        <v>5</v>
      </c>
      <c r="AF96" s="27" t="s">
        <v>550</v>
      </c>
      <c r="AG96" s="27">
        <v>12</v>
      </c>
    </row>
    <row r="97" spans="1:33" x14ac:dyDescent="0.55000000000000004">
      <c r="A97" s="28" t="s">
        <v>754</v>
      </c>
      <c r="B97" s="28" t="s">
        <v>628</v>
      </c>
      <c r="C97" s="28" t="s">
        <v>869</v>
      </c>
      <c r="D97" s="48" t="s">
        <v>753</v>
      </c>
      <c r="E97" s="28" t="s">
        <v>515</v>
      </c>
      <c r="F97" s="28" t="s">
        <v>516</v>
      </c>
      <c r="G97" s="28" t="s">
        <v>868</v>
      </c>
      <c r="H97" s="28" t="s">
        <v>543</v>
      </c>
      <c r="I97" s="28" t="s">
        <v>544</v>
      </c>
      <c r="J97" s="28" t="s">
        <v>515</v>
      </c>
      <c r="K97" s="48" t="s">
        <v>69</v>
      </c>
      <c r="L97" s="28" t="s">
        <v>544</v>
      </c>
      <c r="M97" s="28" t="s">
        <v>544</v>
      </c>
      <c r="N97" s="48" t="s">
        <v>343</v>
      </c>
      <c r="O97" s="48" t="s">
        <v>0</v>
      </c>
      <c r="P97" s="28" t="s">
        <v>629</v>
      </c>
      <c r="Q97" s="51">
        <v>7000226019</v>
      </c>
      <c r="R97" s="27">
        <v>112390103</v>
      </c>
      <c r="S97" s="51" t="s">
        <v>63</v>
      </c>
      <c r="T97" s="27" t="s">
        <v>630</v>
      </c>
      <c r="U97" s="51" t="s">
        <v>267</v>
      </c>
      <c r="V97" s="51" t="s">
        <v>327</v>
      </c>
      <c r="W97" s="51" t="s">
        <v>650</v>
      </c>
      <c r="X97" s="51" t="s">
        <v>45</v>
      </c>
      <c r="Y97" s="27"/>
      <c r="Z97" s="51" t="s">
        <v>99</v>
      </c>
      <c r="AA97" s="51" t="s">
        <v>83</v>
      </c>
      <c r="AB97" s="51" t="s">
        <v>140</v>
      </c>
      <c r="AC97" s="27">
        <v>1</v>
      </c>
      <c r="AD97" s="27">
        <v>1</v>
      </c>
      <c r="AE97" s="27">
        <v>5</v>
      </c>
      <c r="AF97" s="27" t="s">
        <v>551</v>
      </c>
      <c r="AG97" s="27">
        <v>12</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129"/>
  <sheetViews>
    <sheetView workbookViewId="0">
      <selection activeCell="I75" sqref="I75"/>
    </sheetView>
  </sheetViews>
  <sheetFormatPr defaultColWidth="13.7890625" defaultRowHeight="14.4" x14ac:dyDescent="0.55000000000000004"/>
  <cols>
    <col min="1" max="1" width="16.5234375" style="5" customWidth="1"/>
    <col min="2" max="2" width="7.5234375" style="29" customWidth="1"/>
    <col min="3" max="3" width="12.7890625" style="5" bestFit="1" customWidth="1"/>
    <col min="4" max="4" width="16.7890625" style="5" customWidth="1"/>
    <col min="5" max="5" width="16.20703125" style="5" bestFit="1" customWidth="1"/>
    <col min="6" max="6" width="8.41796875" style="29" customWidth="1"/>
    <col min="7" max="7" width="16.20703125" style="5" bestFit="1" customWidth="1"/>
    <col min="8" max="8" width="13.7890625" style="5"/>
    <col min="9" max="9" width="22.7890625" style="5" bestFit="1" customWidth="1"/>
    <col min="10" max="11" width="25.05078125" style="5" bestFit="1" customWidth="1"/>
    <col min="12" max="12" width="17.20703125" style="5" customWidth="1"/>
    <col min="13" max="13" width="21" style="5" bestFit="1" customWidth="1"/>
    <col min="14" max="14" width="13.7890625" style="5"/>
    <col min="15" max="15" width="21" style="5" bestFit="1" customWidth="1"/>
    <col min="16" max="20" width="13.7890625" style="5"/>
    <col min="21" max="21" width="22.5234375" style="5" bestFit="1" customWidth="1"/>
    <col min="22" max="22" width="13.7890625" style="5"/>
    <col min="23" max="23" width="22.5234375" style="5" bestFit="1" customWidth="1"/>
    <col min="24" max="35" width="13.7890625" style="5"/>
    <col min="41" max="41" width="17.41796875" customWidth="1"/>
    <col min="47" max="47" width="21.20703125" bestFit="1" customWidth="1"/>
    <col min="49" max="55" width="13.7890625" style="5"/>
    <col min="59" max="59" width="16.41796875" customWidth="1"/>
    <col min="61" max="61" width="13.7890625" style="26"/>
    <col min="63" max="63" width="13.7890625" style="26"/>
  </cols>
  <sheetData>
    <row r="1" spans="1:69" ht="49.5" customHeight="1" x14ac:dyDescent="0.55000000000000004">
      <c r="A1" s="55" t="s">
        <v>7</v>
      </c>
      <c r="B1" s="55"/>
      <c r="C1" s="55"/>
      <c r="D1" s="29"/>
      <c r="E1" s="54" t="s">
        <v>4</v>
      </c>
      <c r="F1" s="54"/>
      <c r="G1" s="54"/>
      <c r="I1" s="54" t="s">
        <v>133</v>
      </c>
      <c r="J1" s="54"/>
      <c r="K1" s="54"/>
      <c r="L1" s="29"/>
      <c r="M1" s="54" t="s">
        <v>68</v>
      </c>
      <c r="N1" s="54"/>
      <c r="O1" s="54"/>
      <c r="Q1" s="54" t="s">
        <v>6</v>
      </c>
      <c r="R1" s="54"/>
      <c r="S1" s="54"/>
      <c r="U1" s="54" t="s">
        <v>5</v>
      </c>
      <c r="V1" s="54"/>
      <c r="W1" s="54"/>
      <c r="X1" s="29"/>
      <c r="Y1" s="54" t="s">
        <v>8</v>
      </c>
      <c r="Z1" s="54"/>
      <c r="AA1" s="54"/>
      <c r="AB1" s="29"/>
      <c r="AC1" s="54" t="s">
        <v>199</v>
      </c>
      <c r="AD1" s="54"/>
      <c r="AE1" s="54"/>
      <c r="AG1" s="54" t="s">
        <v>93</v>
      </c>
      <c r="AH1" s="54"/>
      <c r="AI1" s="54"/>
      <c r="AJ1" s="26"/>
      <c r="AK1" s="54" t="s">
        <v>9</v>
      </c>
      <c r="AL1" s="54"/>
      <c r="AM1" s="54"/>
      <c r="AN1" s="26"/>
      <c r="AO1" s="54" t="s">
        <v>134</v>
      </c>
      <c r="AP1" s="54"/>
      <c r="AQ1" s="54"/>
      <c r="AR1" s="26"/>
      <c r="AS1" s="54" t="s">
        <v>139</v>
      </c>
      <c r="AT1" s="54"/>
      <c r="AU1" s="54"/>
      <c r="AV1" s="26"/>
      <c r="AW1" s="54" t="s">
        <v>138</v>
      </c>
      <c r="AX1" s="54"/>
      <c r="AY1" s="54"/>
      <c r="BA1" s="54" t="s">
        <v>198</v>
      </c>
      <c r="BB1" s="54"/>
      <c r="BC1" s="54"/>
      <c r="BE1" s="54" t="s">
        <v>262</v>
      </c>
      <c r="BF1" s="54"/>
      <c r="BG1" s="54"/>
      <c r="BI1" s="54" t="s">
        <v>365</v>
      </c>
      <c r="BJ1" s="54"/>
      <c r="BK1" s="54"/>
      <c r="BM1" s="56" t="s">
        <v>380</v>
      </c>
      <c r="BN1" s="56"/>
      <c r="BO1" s="56"/>
    </row>
    <row r="2" spans="1:69" ht="28.8" x14ac:dyDescent="0.55000000000000004">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4" t="s">
        <v>14</v>
      </c>
      <c r="BB2" s="34" t="s">
        <v>16</v>
      </c>
      <c r="BC2" s="44" t="s">
        <v>15</v>
      </c>
      <c r="BE2" s="39" t="s">
        <v>14</v>
      </c>
      <c r="BF2" s="39" t="s">
        <v>16</v>
      </c>
      <c r="BG2" s="39" t="s">
        <v>15</v>
      </c>
      <c r="BI2" s="40" t="s">
        <v>14</v>
      </c>
      <c r="BJ2" s="40" t="s">
        <v>16</v>
      </c>
      <c r="BK2" s="40" t="s">
        <v>15</v>
      </c>
      <c r="BM2" s="49" t="s">
        <v>14</v>
      </c>
      <c r="BN2" s="49" t="s">
        <v>16</v>
      </c>
      <c r="BO2" s="49" t="s">
        <v>15</v>
      </c>
    </row>
    <row r="3" spans="1:69" x14ac:dyDescent="0.55000000000000004">
      <c r="A3" t="s">
        <v>21</v>
      </c>
      <c r="B3"/>
      <c r="C3" t="s">
        <v>21</v>
      </c>
      <c r="D3" s="29"/>
      <c r="E3" t="s">
        <v>358</v>
      </c>
      <c r="F3"/>
      <c r="G3" t="s">
        <v>358</v>
      </c>
      <c r="H3" s="29"/>
      <c r="I3" t="s">
        <v>265</v>
      </c>
      <c r="J3"/>
      <c r="K3" t="s">
        <v>265</v>
      </c>
      <c r="L3" s="29"/>
      <c r="M3" t="s">
        <v>157</v>
      </c>
      <c r="N3"/>
      <c r="O3" t="s">
        <v>205</v>
      </c>
      <c r="P3" s="29"/>
      <c r="Q3" t="s">
        <v>515</v>
      </c>
      <c r="R3"/>
      <c r="S3" t="s">
        <v>69</v>
      </c>
      <c r="T3" s="29"/>
      <c r="U3" t="s">
        <v>158</v>
      </c>
      <c r="V3"/>
      <c r="W3" t="s">
        <v>206</v>
      </c>
      <c r="X3" s="29"/>
      <c r="Y3" t="s">
        <v>85</v>
      </c>
      <c r="Z3"/>
      <c r="AA3" t="s">
        <v>85</v>
      </c>
      <c r="AB3" s="29"/>
      <c r="AC3" t="s">
        <v>90</v>
      </c>
      <c r="AD3"/>
      <c r="AE3" t="s">
        <v>90</v>
      </c>
      <c r="AF3" s="29"/>
      <c r="AG3" t="s">
        <v>98</v>
      </c>
      <c r="AH3"/>
      <c r="AI3" t="s">
        <v>98</v>
      </c>
      <c r="AJ3" s="29"/>
      <c r="AK3" t="s">
        <v>360</v>
      </c>
      <c r="AM3" t="s">
        <v>360</v>
      </c>
      <c r="AN3" s="29"/>
      <c r="AO3" t="s">
        <v>135</v>
      </c>
      <c r="AP3" t="s">
        <v>225</v>
      </c>
      <c r="AQ3" t="s">
        <v>135</v>
      </c>
      <c r="AR3" s="29"/>
      <c r="AS3" t="s">
        <v>141</v>
      </c>
      <c r="AT3" t="s">
        <v>225</v>
      </c>
      <c r="AU3" t="s">
        <v>141</v>
      </c>
      <c r="AV3" s="29"/>
      <c r="AW3" s="5" t="s">
        <v>708</v>
      </c>
      <c r="AY3" s="5" t="s">
        <v>708</v>
      </c>
      <c r="BA3" s="5" t="s">
        <v>754</v>
      </c>
      <c r="BC3" s="5" t="s">
        <v>754</v>
      </c>
      <c r="BE3" t="s">
        <v>329</v>
      </c>
      <c r="BG3" t="s">
        <v>329</v>
      </c>
      <c r="BI3" s="28" t="s">
        <v>373</v>
      </c>
      <c r="BK3" s="28" t="s">
        <v>373</v>
      </c>
      <c r="BM3" t="s">
        <v>385</v>
      </c>
      <c r="BO3" t="s">
        <v>385</v>
      </c>
    </row>
    <row r="4" spans="1:69" x14ac:dyDescent="0.55000000000000004">
      <c r="A4" t="s">
        <v>32</v>
      </c>
      <c r="B4"/>
      <c r="C4" t="s">
        <v>21</v>
      </c>
      <c r="D4" s="29"/>
      <c r="E4" t="s">
        <v>480</v>
      </c>
      <c r="F4"/>
      <c r="G4" t="s">
        <v>480</v>
      </c>
      <c r="H4" s="29"/>
      <c r="I4" t="s">
        <v>272</v>
      </c>
      <c r="J4"/>
      <c r="K4" t="s">
        <v>265</v>
      </c>
      <c r="L4" s="29"/>
      <c r="M4" t="s">
        <v>47</v>
      </c>
      <c r="N4"/>
      <c r="O4" t="s">
        <v>47</v>
      </c>
      <c r="P4" s="29"/>
      <c r="Q4" t="s">
        <v>559</v>
      </c>
      <c r="R4"/>
      <c r="S4" t="s">
        <v>69</v>
      </c>
      <c r="T4" s="29"/>
      <c r="U4" t="s">
        <v>72</v>
      </c>
      <c r="V4"/>
      <c r="W4" t="s">
        <v>72</v>
      </c>
      <c r="X4" s="29"/>
      <c r="Y4" t="s">
        <v>146</v>
      </c>
      <c r="Z4"/>
      <c r="AA4" t="s">
        <v>146</v>
      </c>
      <c r="AB4" s="29"/>
      <c r="AC4" t="s">
        <v>89</v>
      </c>
      <c r="AD4" t="s">
        <v>225</v>
      </c>
      <c r="AE4" t="s">
        <v>89</v>
      </c>
      <c r="AF4" s="29"/>
      <c r="AG4" t="s">
        <v>99</v>
      </c>
      <c r="AH4" t="s">
        <v>225</v>
      </c>
      <c r="AI4" t="s">
        <v>99</v>
      </c>
      <c r="AJ4" s="29"/>
      <c r="AK4" t="s">
        <v>342</v>
      </c>
      <c r="AM4" t="s">
        <v>342</v>
      </c>
      <c r="AN4" s="29"/>
      <c r="AO4" t="s">
        <v>487</v>
      </c>
      <c r="AQ4" t="s">
        <v>487</v>
      </c>
      <c r="AR4" s="29"/>
      <c r="AS4" t="s">
        <v>142</v>
      </c>
      <c r="AU4" t="s">
        <v>142</v>
      </c>
      <c r="AV4" s="29"/>
      <c r="AW4" s="5" t="s">
        <v>731</v>
      </c>
      <c r="AY4" s="5" t="s">
        <v>731</v>
      </c>
      <c r="BE4" t="s">
        <v>326</v>
      </c>
      <c r="BG4" t="s">
        <v>326</v>
      </c>
      <c r="BI4" s="28" t="s">
        <v>371</v>
      </c>
      <c r="BK4" s="28" t="s">
        <v>371</v>
      </c>
      <c r="BM4" t="s">
        <v>387</v>
      </c>
      <c r="BO4" t="s">
        <v>387</v>
      </c>
      <c r="BP4" s="26"/>
      <c r="BQ4" s="26"/>
    </row>
    <row r="5" spans="1:69" x14ac:dyDescent="0.55000000000000004">
      <c r="A5" t="s">
        <v>23</v>
      </c>
      <c r="B5" t="s">
        <v>225</v>
      </c>
      <c r="C5" t="s">
        <v>23</v>
      </c>
      <c r="D5" s="29"/>
      <c r="E5" t="s">
        <v>481</v>
      </c>
      <c r="F5"/>
      <c r="G5" t="s">
        <v>482</v>
      </c>
      <c r="H5" s="29"/>
      <c r="I5" t="s">
        <v>200</v>
      </c>
      <c r="J5"/>
      <c r="K5" t="s">
        <v>200</v>
      </c>
      <c r="L5" s="29"/>
      <c r="M5" t="s">
        <v>48</v>
      </c>
      <c r="N5"/>
      <c r="O5" t="s">
        <v>48</v>
      </c>
      <c r="P5" s="29"/>
      <c r="Q5" t="s">
        <v>69</v>
      </c>
      <c r="R5" t="s">
        <v>225</v>
      </c>
      <c r="S5" t="s">
        <v>69</v>
      </c>
      <c r="T5" s="29"/>
      <c r="U5" t="s">
        <v>159</v>
      </c>
      <c r="V5"/>
      <c r="W5" t="s">
        <v>207</v>
      </c>
      <c r="X5" s="29"/>
      <c r="Y5" t="s">
        <v>145</v>
      </c>
      <c r="Z5"/>
      <c r="AA5" t="s">
        <v>145</v>
      </c>
      <c r="AB5" s="29"/>
      <c r="AG5" t="s">
        <v>321</v>
      </c>
      <c r="AH5"/>
      <c r="AI5" t="s">
        <v>321</v>
      </c>
      <c r="AJ5" s="26"/>
      <c r="AK5" t="s">
        <v>343</v>
      </c>
      <c r="AM5" t="s">
        <v>343</v>
      </c>
      <c r="AN5" s="29"/>
      <c r="AO5" t="s">
        <v>488</v>
      </c>
      <c r="AQ5" t="s">
        <v>488</v>
      </c>
      <c r="AR5" s="29"/>
      <c r="AS5" t="s">
        <v>143</v>
      </c>
      <c r="AU5" t="s">
        <v>143</v>
      </c>
      <c r="AV5" s="29"/>
      <c r="AW5" s="5" t="s">
        <v>717</v>
      </c>
      <c r="AY5" s="5" t="s">
        <v>717</v>
      </c>
      <c r="BE5" t="s">
        <v>333</v>
      </c>
      <c r="BG5" t="s">
        <v>326</v>
      </c>
      <c r="BI5" s="28" t="s">
        <v>372</v>
      </c>
      <c r="BK5" s="28" t="s">
        <v>372</v>
      </c>
      <c r="BM5" t="s">
        <v>381</v>
      </c>
      <c r="BO5" t="s">
        <v>381</v>
      </c>
      <c r="BP5" s="26"/>
      <c r="BQ5" s="26"/>
    </row>
    <row r="6" spans="1:69" x14ac:dyDescent="0.55000000000000004">
      <c r="A6" t="s">
        <v>34</v>
      </c>
      <c r="B6"/>
      <c r="C6" t="s">
        <v>23</v>
      </c>
      <c r="D6" s="29"/>
      <c r="E6" t="s">
        <v>482</v>
      </c>
      <c r="F6"/>
      <c r="G6" t="s">
        <v>482</v>
      </c>
      <c r="H6" s="29"/>
      <c r="I6" t="s">
        <v>163</v>
      </c>
      <c r="J6"/>
      <c r="K6" t="s">
        <v>200</v>
      </c>
      <c r="L6" s="29"/>
      <c r="M6" t="s">
        <v>56</v>
      </c>
      <c r="N6"/>
      <c r="O6" t="s">
        <v>47</v>
      </c>
      <c r="P6" s="29"/>
      <c r="Q6" t="s">
        <v>70</v>
      </c>
      <c r="R6"/>
      <c r="S6" t="s">
        <v>70</v>
      </c>
      <c r="T6" s="29"/>
      <c r="U6" t="s">
        <v>73</v>
      </c>
      <c r="V6" t="s">
        <v>225</v>
      </c>
      <c r="W6" t="s">
        <v>73</v>
      </c>
      <c r="X6" s="29"/>
      <c r="Y6" t="s">
        <v>83</v>
      </c>
      <c r="Z6" t="s">
        <v>225</v>
      </c>
      <c r="AA6" t="s">
        <v>83</v>
      </c>
      <c r="AB6" s="29"/>
      <c r="AJ6" s="26"/>
      <c r="AK6" t="s">
        <v>344</v>
      </c>
      <c r="AM6" t="s">
        <v>344</v>
      </c>
      <c r="AN6" s="29"/>
      <c r="AO6" t="s">
        <v>136</v>
      </c>
      <c r="AQ6" t="s">
        <v>136</v>
      </c>
      <c r="AR6" s="26"/>
      <c r="AS6" t="s">
        <v>491</v>
      </c>
      <c r="AU6" t="s">
        <v>491</v>
      </c>
      <c r="AV6" s="29"/>
      <c r="AW6" s="5" t="s">
        <v>715</v>
      </c>
      <c r="AY6" s="5" t="s">
        <v>715</v>
      </c>
      <c r="BE6" t="s">
        <v>374</v>
      </c>
      <c r="BG6" t="s">
        <v>330</v>
      </c>
      <c r="BM6" t="s">
        <v>386</v>
      </c>
      <c r="BO6" t="s">
        <v>386</v>
      </c>
      <c r="BP6" s="26"/>
      <c r="BQ6" s="26"/>
    </row>
    <row r="7" spans="1:69" x14ac:dyDescent="0.55000000000000004">
      <c r="A7" t="s">
        <v>25</v>
      </c>
      <c r="B7"/>
      <c r="C7" t="s">
        <v>25</v>
      </c>
      <c r="D7" s="29"/>
      <c r="E7" t="s">
        <v>0</v>
      </c>
      <c r="F7" t="s">
        <v>225</v>
      </c>
      <c r="G7" t="s">
        <v>0</v>
      </c>
      <c r="I7" t="s">
        <v>164</v>
      </c>
      <c r="J7"/>
      <c r="K7" t="s">
        <v>164</v>
      </c>
      <c r="L7" s="29"/>
      <c r="M7" t="s">
        <v>57</v>
      </c>
      <c r="N7"/>
      <c r="O7" t="s">
        <v>48</v>
      </c>
      <c r="P7" s="29"/>
      <c r="Q7" t="s">
        <v>63</v>
      </c>
      <c r="R7"/>
      <c r="S7" t="s">
        <v>63</v>
      </c>
      <c r="U7" t="s">
        <v>230</v>
      </c>
      <c r="V7"/>
      <c r="W7" t="s">
        <v>231</v>
      </c>
      <c r="X7" s="29"/>
      <c r="Y7" t="s">
        <v>144</v>
      </c>
      <c r="Z7"/>
      <c r="AA7" t="s">
        <v>144</v>
      </c>
      <c r="AB7" s="29"/>
      <c r="AJ7" s="26"/>
      <c r="AK7" t="s">
        <v>362</v>
      </c>
      <c r="AM7" t="s">
        <v>362</v>
      </c>
      <c r="AN7" s="26"/>
      <c r="AO7" t="s">
        <v>489</v>
      </c>
      <c r="AQ7" t="s">
        <v>489</v>
      </c>
      <c r="AR7" s="26"/>
      <c r="AS7" t="s">
        <v>492</v>
      </c>
      <c r="AU7" t="s">
        <v>492</v>
      </c>
      <c r="AV7" s="29"/>
      <c r="AW7" s="5" t="s">
        <v>713</v>
      </c>
      <c r="AY7" s="5" t="s">
        <v>713</v>
      </c>
      <c r="BE7" t="s">
        <v>327</v>
      </c>
      <c r="BG7" t="s">
        <v>327</v>
      </c>
      <c r="BM7" t="s">
        <v>384</v>
      </c>
      <c r="BO7" t="s">
        <v>384</v>
      </c>
      <c r="BP7" s="26"/>
      <c r="BQ7" s="26"/>
    </row>
    <row r="8" spans="1:69" x14ac:dyDescent="0.55000000000000004">
      <c r="A8" t="s">
        <v>36</v>
      </c>
      <c r="B8"/>
      <c r="C8" t="s">
        <v>25</v>
      </c>
      <c r="D8" s="29"/>
      <c r="E8" t="s">
        <v>2</v>
      </c>
      <c r="F8"/>
      <c r="G8" t="s">
        <v>2</v>
      </c>
      <c r="I8" t="s">
        <v>165</v>
      </c>
      <c r="J8"/>
      <c r="K8" t="s">
        <v>164</v>
      </c>
      <c r="L8" s="29"/>
      <c r="M8" t="s">
        <v>160</v>
      </c>
      <c r="N8"/>
      <c r="O8" t="s">
        <v>161</v>
      </c>
      <c r="P8" s="29"/>
      <c r="Q8" t="s">
        <v>71</v>
      </c>
      <c r="R8"/>
      <c r="S8" t="s">
        <v>71</v>
      </c>
      <c r="U8" t="s">
        <v>231</v>
      </c>
      <c r="V8"/>
      <c r="W8" t="s">
        <v>231</v>
      </c>
      <c r="X8" s="29"/>
      <c r="Y8" t="s">
        <v>84</v>
      </c>
      <c r="Z8"/>
      <c r="AA8" t="s">
        <v>84</v>
      </c>
      <c r="AB8" s="29"/>
      <c r="AJ8" s="26"/>
      <c r="AK8" s="26"/>
      <c r="AL8" s="26"/>
      <c r="AM8" s="26"/>
      <c r="AN8" s="26"/>
      <c r="AO8" t="s">
        <v>490</v>
      </c>
      <c r="AQ8" t="s">
        <v>490</v>
      </c>
      <c r="AR8" s="26"/>
      <c r="AS8" t="s">
        <v>322</v>
      </c>
      <c r="AU8" t="s">
        <v>322</v>
      </c>
      <c r="AV8" s="29"/>
      <c r="AW8" s="5" t="s">
        <v>716</v>
      </c>
      <c r="AY8" s="5" t="s">
        <v>716</v>
      </c>
      <c r="BE8" t="s">
        <v>334</v>
      </c>
      <c r="BG8" t="s">
        <v>327</v>
      </c>
      <c r="BM8" t="s">
        <v>383</v>
      </c>
      <c r="BO8" t="s">
        <v>383</v>
      </c>
      <c r="BP8" s="26"/>
      <c r="BQ8" s="26"/>
    </row>
    <row r="9" spans="1:69" x14ac:dyDescent="0.55000000000000004">
      <c r="A9" t="s">
        <v>167</v>
      </c>
      <c r="B9"/>
      <c r="C9" t="s">
        <v>210</v>
      </c>
      <c r="D9" s="29"/>
      <c r="E9" t="s">
        <v>1</v>
      </c>
      <c r="F9"/>
      <c r="G9" t="s">
        <v>1</v>
      </c>
      <c r="I9" t="s">
        <v>266</v>
      </c>
      <c r="J9"/>
      <c r="K9" t="s">
        <v>266</v>
      </c>
      <c r="L9" s="29"/>
      <c r="M9" t="s">
        <v>162</v>
      </c>
      <c r="N9"/>
      <c r="O9" t="s">
        <v>208</v>
      </c>
      <c r="P9" s="29"/>
      <c r="U9" t="s">
        <v>148</v>
      </c>
      <c r="V9"/>
      <c r="W9" t="s">
        <v>149</v>
      </c>
      <c r="X9" s="29"/>
      <c r="AB9" s="29"/>
      <c r="AJ9" s="26"/>
      <c r="AK9" s="26"/>
      <c r="AL9" s="26"/>
      <c r="AM9" s="26"/>
      <c r="AN9" s="26"/>
      <c r="AO9" t="s">
        <v>137</v>
      </c>
      <c r="AQ9" t="s">
        <v>137</v>
      </c>
      <c r="AR9" s="26"/>
      <c r="AS9" t="s">
        <v>323</v>
      </c>
      <c r="AU9" t="s">
        <v>323</v>
      </c>
      <c r="AV9" s="29"/>
      <c r="AW9" s="5" t="s">
        <v>740</v>
      </c>
      <c r="AY9" s="5" t="s">
        <v>740</v>
      </c>
      <c r="BE9" t="s">
        <v>335</v>
      </c>
      <c r="BG9" t="s">
        <v>328</v>
      </c>
      <c r="BM9" t="s">
        <v>382</v>
      </c>
      <c r="BO9" t="s">
        <v>382</v>
      </c>
      <c r="BP9" s="26"/>
      <c r="BQ9" s="26"/>
    </row>
    <row r="10" spans="1:69" x14ac:dyDescent="0.55000000000000004">
      <c r="A10" t="s">
        <v>31</v>
      </c>
      <c r="B10"/>
      <c r="C10" t="s">
        <v>20</v>
      </c>
      <c r="D10" s="29"/>
      <c r="E10" t="s">
        <v>3</v>
      </c>
      <c r="F10"/>
      <c r="G10" t="s">
        <v>3</v>
      </c>
      <c r="I10" t="s">
        <v>267</v>
      </c>
      <c r="J10"/>
      <c r="K10" t="s">
        <v>267</v>
      </c>
      <c r="L10" s="29"/>
      <c r="M10" t="s">
        <v>51</v>
      </c>
      <c r="N10"/>
      <c r="O10" t="s">
        <v>51</v>
      </c>
      <c r="P10" s="29"/>
      <c r="U10" t="s">
        <v>82</v>
      </c>
      <c r="V10"/>
      <c r="W10" t="s">
        <v>82</v>
      </c>
      <c r="X10" s="29"/>
      <c r="AB10" s="29"/>
      <c r="AJ10" s="26"/>
      <c r="AK10" s="26"/>
      <c r="AL10" s="26"/>
      <c r="AM10" s="26"/>
      <c r="AN10" s="26"/>
      <c r="AO10" s="26"/>
      <c r="AP10" s="26"/>
      <c r="AQ10" s="26"/>
      <c r="AR10" s="26"/>
      <c r="AS10" t="s">
        <v>324</v>
      </c>
      <c r="AU10" t="s">
        <v>324</v>
      </c>
      <c r="AV10" s="29"/>
      <c r="AW10" s="5" t="s">
        <v>701</v>
      </c>
      <c r="AY10" s="5" t="s">
        <v>701</v>
      </c>
      <c r="BE10" t="s">
        <v>336</v>
      </c>
      <c r="BG10" t="s">
        <v>329</v>
      </c>
      <c r="BM10" t="s">
        <v>389</v>
      </c>
      <c r="BO10" t="s">
        <v>381</v>
      </c>
      <c r="BP10" s="26"/>
      <c r="BQ10" s="26"/>
    </row>
    <row r="11" spans="1:69" x14ac:dyDescent="0.55000000000000004">
      <c r="A11" t="s">
        <v>29</v>
      </c>
      <c r="B11"/>
      <c r="C11" t="s">
        <v>29</v>
      </c>
      <c r="D11" s="29"/>
      <c r="F11" s="5"/>
      <c r="I11" t="s">
        <v>274</v>
      </c>
      <c r="J11"/>
      <c r="K11" t="s">
        <v>267</v>
      </c>
      <c r="L11" s="29"/>
      <c r="M11" t="s">
        <v>60</v>
      </c>
      <c r="N11"/>
      <c r="O11" t="s">
        <v>51</v>
      </c>
      <c r="P11" s="29"/>
      <c r="U11" t="s">
        <v>63</v>
      </c>
      <c r="V11"/>
      <c r="W11" t="s">
        <v>63</v>
      </c>
      <c r="X11" s="29"/>
      <c r="AB11" s="29"/>
      <c r="AJ11" s="26"/>
      <c r="AK11" s="26"/>
      <c r="AL11" s="26"/>
      <c r="AM11" s="26"/>
      <c r="AN11" s="26"/>
      <c r="AO11" s="26"/>
      <c r="AP11" s="26"/>
      <c r="AQ11" s="26"/>
      <c r="AR11" s="26"/>
      <c r="AS11" t="s">
        <v>325</v>
      </c>
      <c r="AU11" t="s">
        <v>325</v>
      </c>
      <c r="AV11" s="26"/>
      <c r="AW11" s="5" t="s">
        <v>676</v>
      </c>
      <c r="AY11" s="5" t="s">
        <v>676</v>
      </c>
      <c r="BE11" t="s">
        <v>330</v>
      </c>
      <c r="BG11" t="s">
        <v>330</v>
      </c>
      <c r="BM11" t="s">
        <v>225</v>
      </c>
      <c r="BO11" t="s">
        <v>382</v>
      </c>
      <c r="BP11" s="26"/>
      <c r="BQ11" s="26"/>
    </row>
    <row r="12" spans="1:69" x14ac:dyDescent="0.55000000000000004">
      <c r="A12" t="s">
        <v>172</v>
      </c>
      <c r="B12"/>
      <c r="C12" t="s">
        <v>29</v>
      </c>
      <c r="D12" s="29"/>
      <c r="F12" s="5"/>
      <c r="I12" t="s">
        <v>273</v>
      </c>
      <c r="J12"/>
      <c r="K12" t="s">
        <v>266</v>
      </c>
      <c r="L12" s="29"/>
      <c r="M12" t="s">
        <v>49</v>
      </c>
      <c r="N12"/>
      <c r="O12" t="s">
        <v>49</v>
      </c>
      <c r="P12" s="29"/>
      <c r="U12" t="s">
        <v>486</v>
      </c>
      <c r="V12"/>
      <c r="W12" t="s">
        <v>486</v>
      </c>
      <c r="X12" s="29"/>
      <c r="AB12" s="29"/>
      <c r="AJ12" s="26"/>
      <c r="AK12" s="26"/>
      <c r="AL12" s="26"/>
      <c r="AM12" s="26"/>
      <c r="AN12" s="26"/>
      <c r="AO12" s="26"/>
      <c r="AP12" s="26"/>
      <c r="AQ12" s="26"/>
      <c r="AR12" s="26"/>
      <c r="AS12" t="s">
        <v>493</v>
      </c>
      <c r="AU12" t="s">
        <v>493</v>
      </c>
      <c r="AV12" s="26"/>
      <c r="AW12" s="5" t="s">
        <v>677</v>
      </c>
      <c r="AY12" s="5" t="s">
        <v>677</v>
      </c>
      <c r="BE12" t="s">
        <v>337</v>
      </c>
      <c r="BG12" t="s">
        <v>330</v>
      </c>
      <c r="BM12" t="s">
        <v>390</v>
      </c>
      <c r="BO12" t="s">
        <v>383</v>
      </c>
      <c r="BP12" s="26"/>
      <c r="BQ12" s="26"/>
    </row>
    <row r="13" spans="1:69" x14ac:dyDescent="0.55000000000000004">
      <c r="A13" t="s">
        <v>40</v>
      </c>
      <c r="B13"/>
      <c r="C13" t="s">
        <v>29</v>
      </c>
      <c r="D13" s="29"/>
      <c r="F13" s="5"/>
      <c r="I13" t="s">
        <v>67</v>
      </c>
      <c r="J13"/>
      <c r="K13" t="s">
        <v>211</v>
      </c>
      <c r="L13" s="29"/>
      <c r="M13" t="s">
        <v>50</v>
      </c>
      <c r="N13"/>
      <c r="O13" t="s">
        <v>50</v>
      </c>
      <c r="P13" s="29"/>
      <c r="U13" t="s">
        <v>75</v>
      </c>
      <c r="V13"/>
      <c r="W13" t="s">
        <v>75</v>
      </c>
      <c r="X13" s="29"/>
      <c r="AB13" s="29"/>
      <c r="AJ13" s="26"/>
      <c r="AK13" s="26"/>
      <c r="AL13" s="26"/>
      <c r="AM13" s="26"/>
      <c r="AN13" s="26"/>
      <c r="AO13" s="26"/>
      <c r="AP13" s="26"/>
      <c r="AQ13" s="26"/>
      <c r="AR13" s="26"/>
      <c r="AS13" t="s">
        <v>494</v>
      </c>
      <c r="AU13" t="s">
        <v>494</v>
      </c>
      <c r="AV13" s="26"/>
      <c r="AW13" s="5" t="s">
        <v>660</v>
      </c>
      <c r="AY13" s="5" t="s">
        <v>660</v>
      </c>
      <c r="BE13" t="s">
        <v>328</v>
      </c>
      <c r="BG13" t="s">
        <v>328</v>
      </c>
      <c r="BM13" t="s">
        <v>391</v>
      </c>
      <c r="BO13" t="s">
        <v>384</v>
      </c>
      <c r="BP13" s="26"/>
      <c r="BQ13" s="26"/>
    </row>
    <row r="14" spans="1:69" x14ac:dyDescent="0.55000000000000004">
      <c r="A14" t="s">
        <v>26</v>
      </c>
      <c r="B14"/>
      <c r="C14" t="s">
        <v>26</v>
      </c>
      <c r="D14" s="29"/>
      <c r="F14" s="5"/>
      <c r="I14" t="s">
        <v>211</v>
      </c>
      <c r="J14"/>
      <c r="K14" t="s">
        <v>211</v>
      </c>
      <c r="L14" s="29"/>
      <c r="M14" t="s">
        <v>58</v>
      </c>
      <c r="N14"/>
      <c r="O14" t="s">
        <v>49</v>
      </c>
      <c r="P14" s="29"/>
      <c r="U14" t="s">
        <v>359</v>
      </c>
      <c r="V14"/>
      <c r="W14" t="s">
        <v>359</v>
      </c>
      <c r="X14" s="29"/>
      <c r="AB14" s="29"/>
      <c r="AJ14" s="26"/>
      <c r="AK14" s="26"/>
      <c r="AL14" s="26"/>
      <c r="AM14" s="26"/>
      <c r="AN14" s="26"/>
      <c r="AO14" s="26"/>
      <c r="AP14" s="26"/>
      <c r="AQ14" s="26"/>
      <c r="AR14" s="26"/>
      <c r="AS14" t="s">
        <v>495</v>
      </c>
      <c r="AU14" t="s">
        <v>495</v>
      </c>
      <c r="AV14" s="26"/>
      <c r="AW14" s="5" t="s">
        <v>678</v>
      </c>
      <c r="AY14" s="5" t="s">
        <v>678</v>
      </c>
      <c r="BE14" t="s">
        <v>377</v>
      </c>
      <c r="BG14" t="s">
        <v>328</v>
      </c>
      <c r="BM14" t="s">
        <v>392</v>
      </c>
      <c r="BO14" t="s">
        <v>385</v>
      </c>
      <c r="BP14" s="26"/>
      <c r="BQ14" s="26"/>
    </row>
    <row r="15" spans="1:69" x14ac:dyDescent="0.55000000000000004">
      <c r="A15" t="s">
        <v>37</v>
      </c>
      <c r="B15"/>
      <c r="C15" t="s">
        <v>26</v>
      </c>
      <c r="D15" s="29"/>
      <c r="F15" s="5"/>
      <c r="I15" t="s">
        <v>175</v>
      </c>
      <c r="J15"/>
      <c r="K15" t="s">
        <v>175</v>
      </c>
      <c r="L15" s="29"/>
      <c r="M15" t="s">
        <v>59</v>
      </c>
      <c r="N15"/>
      <c r="O15" t="s">
        <v>50</v>
      </c>
      <c r="P15" s="29"/>
      <c r="U15" t="s">
        <v>95</v>
      </c>
      <c r="V15"/>
      <c r="W15" t="s">
        <v>95</v>
      </c>
      <c r="X15" s="29"/>
      <c r="AB15" s="29"/>
      <c r="AJ15" s="26"/>
      <c r="AK15" s="26"/>
      <c r="AL15" s="26"/>
      <c r="AM15" s="26"/>
      <c r="AN15" s="26"/>
      <c r="AO15" s="26"/>
      <c r="AP15" s="26"/>
      <c r="AQ15" s="26"/>
      <c r="AR15" s="26"/>
      <c r="AS15" t="s">
        <v>496</v>
      </c>
      <c r="AU15" t="s">
        <v>496</v>
      </c>
      <c r="AV15" s="26"/>
      <c r="AW15" s="5" t="s">
        <v>680</v>
      </c>
      <c r="AY15" s="5" t="s">
        <v>680</v>
      </c>
      <c r="BE15" t="s">
        <v>331</v>
      </c>
      <c r="BG15" t="s">
        <v>331</v>
      </c>
      <c r="BM15" t="s">
        <v>388</v>
      </c>
      <c r="BO15" t="s">
        <v>386</v>
      </c>
      <c r="BP15" s="26"/>
      <c r="BQ15" s="26"/>
    </row>
    <row r="16" spans="1:69" x14ac:dyDescent="0.55000000000000004">
      <c r="A16" t="s">
        <v>173</v>
      </c>
      <c r="B16"/>
      <c r="C16" t="s">
        <v>212</v>
      </c>
      <c r="D16" s="29"/>
      <c r="F16" s="5"/>
      <c r="I16" t="s">
        <v>176</v>
      </c>
      <c r="J16"/>
      <c r="K16" t="s">
        <v>175</v>
      </c>
      <c r="L16" s="29"/>
      <c r="M16" t="s">
        <v>201</v>
      </c>
      <c r="N16"/>
      <c r="O16" t="s">
        <v>202</v>
      </c>
      <c r="P16" s="29"/>
      <c r="U16" t="s">
        <v>76</v>
      </c>
      <c r="V16"/>
      <c r="W16" t="s">
        <v>95</v>
      </c>
      <c r="X16" s="29"/>
      <c r="AB16" s="29"/>
      <c r="AJ16" s="26"/>
      <c r="AK16" s="26"/>
      <c r="AL16" s="26"/>
      <c r="AM16" s="26"/>
      <c r="AN16" s="26"/>
      <c r="AO16" s="26"/>
      <c r="AP16" s="26"/>
      <c r="AQ16" s="26"/>
      <c r="AR16" s="26"/>
      <c r="AS16" t="s">
        <v>497</v>
      </c>
      <c r="AU16" t="s">
        <v>497</v>
      </c>
      <c r="AV16" s="26"/>
      <c r="AW16" s="5" t="s">
        <v>681</v>
      </c>
      <c r="AY16" s="5" t="s">
        <v>681</v>
      </c>
      <c r="BE16" t="s">
        <v>338</v>
      </c>
      <c r="BG16" t="s">
        <v>331</v>
      </c>
      <c r="BM16" t="s">
        <v>393</v>
      </c>
      <c r="BO16" t="s">
        <v>387</v>
      </c>
      <c r="BP16" s="26"/>
      <c r="BQ16" s="26"/>
    </row>
    <row r="17" spans="1:59" x14ac:dyDescent="0.55000000000000004">
      <c r="A17" t="s">
        <v>24</v>
      </c>
      <c r="B17"/>
      <c r="C17" t="s">
        <v>24</v>
      </c>
      <c r="D17" s="29"/>
      <c r="F17" s="5"/>
      <c r="I17" t="s">
        <v>179</v>
      </c>
      <c r="J17"/>
      <c r="K17" t="s">
        <v>179</v>
      </c>
      <c r="L17" s="29"/>
      <c r="M17" t="s">
        <v>203</v>
      </c>
      <c r="N17"/>
      <c r="O17" t="s">
        <v>204</v>
      </c>
      <c r="P17" s="29"/>
      <c r="U17" t="s">
        <v>96</v>
      </c>
      <c r="V17"/>
      <c r="W17" t="s">
        <v>96</v>
      </c>
      <c r="X17" s="29"/>
      <c r="AB17" s="29"/>
      <c r="AJ17" s="26"/>
      <c r="AK17" s="26"/>
      <c r="AL17" s="26"/>
      <c r="AM17" s="26"/>
      <c r="AN17" s="26"/>
      <c r="AO17" s="26"/>
      <c r="AP17" s="26"/>
      <c r="AQ17" s="26"/>
      <c r="AR17" s="26"/>
      <c r="AS17" t="s">
        <v>140</v>
      </c>
      <c r="AU17" t="s">
        <v>140</v>
      </c>
      <c r="AV17" s="26"/>
      <c r="AW17" s="5" t="s">
        <v>659</v>
      </c>
      <c r="AY17" s="5" t="s">
        <v>659</v>
      </c>
      <c r="BE17" t="s">
        <v>483</v>
      </c>
      <c r="BG17" t="s">
        <v>484</v>
      </c>
    </row>
    <row r="18" spans="1:59" x14ac:dyDescent="0.55000000000000004">
      <c r="A18" t="s">
        <v>35</v>
      </c>
      <c r="B18"/>
      <c r="C18" t="s">
        <v>24</v>
      </c>
      <c r="D18" s="29"/>
      <c r="F18" s="5"/>
      <c r="I18" t="s">
        <v>180</v>
      </c>
      <c r="J18"/>
      <c r="K18" t="s">
        <v>179</v>
      </c>
      <c r="L18" s="29"/>
      <c r="M18" t="s">
        <v>166</v>
      </c>
      <c r="N18"/>
      <c r="O18" t="s">
        <v>209</v>
      </c>
      <c r="P18" s="29"/>
      <c r="U18" t="s">
        <v>80</v>
      </c>
      <c r="V18"/>
      <c r="W18" t="s">
        <v>96</v>
      </c>
      <c r="X18" s="29"/>
      <c r="AB18" s="29"/>
      <c r="AJ18" s="26"/>
      <c r="AK18" s="26"/>
      <c r="AL18" s="26"/>
      <c r="AM18" s="26"/>
      <c r="AN18" s="26"/>
      <c r="AO18" s="26"/>
      <c r="AP18" s="26"/>
      <c r="AQ18" s="26"/>
      <c r="AR18" s="26"/>
      <c r="AS18" t="s">
        <v>147</v>
      </c>
      <c r="AU18" t="s">
        <v>147</v>
      </c>
      <c r="AV18" s="26"/>
      <c r="AW18" s="5" t="s">
        <v>658</v>
      </c>
      <c r="AY18" s="5" t="s">
        <v>658</v>
      </c>
      <c r="BE18" t="s">
        <v>332</v>
      </c>
      <c r="BG18" t="s">
        <v>332</v>
      </c>
    </row>
    <row r="19" spans="1:59" x14ac:dyDescent="0.55000000000000004">
      <c r="A19" t="s">
        <v>27</v>
      </c>
      <c r="B19"/>
      <c r="C19" t="s">
        <v>27</v>
      </c>
      <c r="D19" s="29"/>
      <c r="F19" s="5"/>
      <c r="I19" t="s">
        <v>181</v>
      </c>
      <c r="J19"/>
      <c r="K19" t="s">
        <v>182</v>
      </c>
      <c r="L19" s="29"/>
      <c r="M19" t="s">
        <v>202</v>
      </c>
      <c r="N19"/>
      <c r="O19" t="s">
        <v>202</v>
      </c>
      <c r="P19" s="29"/>
      <c r="U19" t="s">
        <v>97</v>
      </c>
      <c r="V19"/>
      <c r="W19" t="s">
        <v>97</v>
      </c>
      <c r="X19" s="29"/>
      <c r="AB19" s="29"/>
      <c r="AJ19" s="26"/>
      <c r="AK19" s="26"/>
      <c r="AL19" s="26"/>
      <c r="AM19" s="26"/>
      <c r="AN19" s="26"/>
      <c r="AO19" s="26"/>
      <c r="AP19" s="26"/>
      <c r="AQ19" s="26"/>
      <c r="AR19" s="26"/>
      <c r="AS19" s="26"/>
      <c r="AT19" s="26"/>
      <c r="AU19" s="26"/>
      <c r="AV19" s="26"/>
      <c r="AW19" s="5" t="s">
        <v>675</v>
      </c>
      <c r="AY19" s="5" t="s">
        <v>675</v>
      </c>
      <c r="BE19" t="s">
        <v>339</v>
      </c>
      <c r="BG19" t="s">
        <v>332</v>
      </c>
    </row>
    <row r="20" spans="1:59" x14ac:dyDescent="0.55000000000000004">
      <c r="A20" t="s">
        <v>38</v>
      </c>
      <c r="B20"/>
      <c r="C20" t="s">
        <v>27</v>
      </c>
      <c r="D20" s="29"/>
      <c r="F20" s="5"/>
      <c r="I20" t="s">
        <v>182</v>
      </c>
      <c r="J20"/>
      <c r="K20" t="s">
        <v>182</v>
      </c>
      <c r="L20" s="29"/>
      <c r="M20" t="s">
        <v>204</v>
      </c>
      <c r="N20"/>
      <c r="O20" t="s">
        <v>204</v>
      </c>
      <c r="P20" s="29"/>
      <c r="U20" t="s">
        <v>77</v>
      </c>
      <c r="V20"/>
      <c r="W20" t="s">
        <v>97</v>
      </c>
      <c r="X20" s="29"/>
      <c r="AB20" s="29"/>
      <c r="AJ20" s="26"/>
      <c r="AK20" s="26"/>
      <c r="AL20" s="26"/>
      <c r="AM20" s="26"/>
      <c r="AN20" s="26"/>
      <c r="AO20" s="26"/>
      <c r="AP20" s="26"/>
      <c r="AQ20" s="26"/>
      <c r="AR20" s="26"/>
      <c r="AS20" s="26"/>
      <c r="AT20" s="26"/>
      <c r="AU20" s="26"/>
      <c r="AV20" s="26"/>
      <c r="AW20" s="5" t="s">
        <v>679</v>
      </c>
      <c r="AY20" s="5" t="s">
        <v>679</v>
      </c>
      <c r="BE20" t="s">
        <v>484</v>
      </c>
      <c r="BG20" t="s">
        <v>484</v>
      </c>
    </row>
    <row r="21" spans="1:59" x14ac:dyDescent="0.55000000000000004">
      <c r="A21" t="s">
        <v>177</v>
      </c>
      <c r="B21"/>
      <c r="C21" t="s">
        <v>214</v>
      </c>
      <c r="D21" s="29"/>
      <c r="F21" s="5"/>
      <c r="I21" t="s">
        <v>228</v>
      </c>
      <c r="J21"/>
      <c r="K21" t="s">
        <v>228</v>
      </c>
      <c r="L21" s="29"/>
      <c r="M21" t="s">
        <v>44</v>
      </c>
      <c r="N21"/>
      <c r="O21" t="s">
        <v>44</v>
      </c>
      <c r="P21" s="29"/>
      <c r="U21" t="s">
        <v>74</v>
      </c>
      <c r="V21"/>
      <c r="W21" t="s">
        <v>74</v>
      </c>
      <c r="X21" s="29"/>
      <c r="AB21" s="29"/>
      <c r="AJ21" s="26"/>
      <c r="AK21" s="26"/>
      <c r="AL21" s="26"/>
      <c r="AM21" s="26"/>
      <c r="AN21" s="26"/>
      <c r="AO21" s="26"/>
      <c r="AP21" s="26"/>
      <c r="AQ21" s="26"/>
      <c r="AR21" s="26"/>
      <c r="AS21" s="26"/>
      <c r="AT21" s="26"/>
      <c r="AU21" s="26"/>
      <c r="AV21" s="26"/>
      <c r="AW21" s="5" t="s">
        <v>723</v>
      </c>
      <c r="AY21" s="5" t="s">
        <v>723</v>
      </c>
      <c r="BE21" t="s">
        <v>498</v>
      </c>
      <c r="BG21" t="s">
        <v>499</v>
      </c>
    </row>
    <row r="22" spans="1:59" x14ac:dyDescent="0.55000000000000004">
      <c r="A22" t="s">
        <v>178</v>
      </c>
      <c r="B22"/>
      <c r="C22" t="s">
        <v>215</v>
      </c>
      <c r="D22" s="29"/>
      <c r="F22" s="5"/>
      <c r="I22" t="s">
        <v>229</v>
      </c>
      <c r="J22"/>
      <c r="K22" t="s">
        <v>228</v>
      </c>
      <c r="L22" s="29"/>
      <c r="M22" t="s">
        <v>63</v>
      </c>
      <c r="N22"/>
      <c r="O22" t="s">
        <v>44</v>
      </c>
      <c r="P22" s="29"/>
      <c r="U22" t="s">
        <v>375</v>
      </c>
      <c r="V22"/>
      <c r="W22" t="s">
        <v>375</v>
      </c>
      <c r="X22" s="29"/>
      <c r="AB22" s="29"/>
      <c r="AJ22" s="26"/>
      <c r="AK22" s="26"/>
      <c r="AL22" s="26"/>
      <c r="AM22" s="26"/>
      <c r="AN22" s="26"/>
      <c r="AO22" s="26"/>
      <c r="AP22" s="26"/>
      <c r="AQ22" s="26"/>
      <c r="AR22" s="26"/>
      <c r="AS22" s="26"/>
      <c r="AT22" s="26"/>
      <c r="AU22" s="26"/>
      <c r="AV22" s="26"/>
      <c r="AW22" s="5" t="s">
        <v>707</v>
      </c>
      <c r="AY22" s="5" t="s">
        <v>707</v>
      </c>
      <c r="BE22" t="s">
        <v>485</v>
      </c>
      <c r="BG22" t="s">
        <v>500</v>
      </c>
    </row>
    <row r="23" spans="1:59" x14ac:dyDescent="0.55000000000000004">
      <c r="A23" t="s">
        <v>28</v>
      </c>
      <c r="B23"/>
      <c r="C23" t="s">
        <v>28</v>
      </c>
      <c r="D23" s="29"/>
      <c r="F23" s="5"/>
      <c r="I23" t="s">
        <v>184</v>
      </c>
      <c r="J23"/>
      <c r="K23" t="s">
        <v>184</v>
      </c>
      <c r="L23" s="29"/>
      <c r="M23" t="s">
        <v>46</v>
      </c>
      <c r="N23"/>
      <c r="O23" t="s">
        <v>46</v>
      </c>
      <c r="P23" s="29"/>
      <c r="U23" t="s">
        <v>78</v>
      </c>
      <c r="V23"/>
      <c r="W23" t="s">
        <v>78</v>
      </c>
      <c r="X23" s="29"/>
      <c r="AB23" s="29"/>
      <c r="AJ23" s="26"/>
      <c r="AK23" s="26"/>
      <c r="AL23" s="26"/>
      <c r="AM23" s="26"/>
      <c r="AN23" s="26"/>
      <c r="AO23" s="26"/>
      <c r="AP23" s="26"/>
      <c r="AQ23" s="26"/>
      <c r="AR23" s="26"/>
      <c r="AS23" s="26"/>
      <c r="AT23" s="26"/>
      <c r="AU23" s="26"/>
      <c r="AV23" s="26"/>
      <c r="AW23" s="5" t="s">
        <v>724</v>
      </c>
      <c r="AY23" s="5" t="s">
        <v>724</v>
      </c>
      <c r="BE23" t="s">
        <v>553</v>
      </c>
      <c r="BG23" t="s">
        <v>327</v>
      </c>
    </row>
    <row r="24" spans="1:59" x14ac:dyDescent="0.55000000000000004">
      <c r="A24" t="s">
        <v>39</v>
      </c>
      <c r="B24"/>
      <c r="C24" t="s">
        <v>28</v>
      </c>
      <c r="D24" s="29"/>
      <c r="F24" s="5"/>
      <c r="I24" t="s">
        <v>186</v>
      </c>
      <c r="J24"/>
      <c r="K24" t="s">
        <v>184</v>
      </c>
      <c r="L24" s="29"/>
      <c r="M24" t="s">
        <v>55</v>
      </c>
      <c r="N24"/>
      <c r="O24" t="s">
        <v>46</v>
      </c>
      <c r="P24" s="29"/>
      <c r="U24" t="s">
        <v>79</v>
      </c>
      <c r="V24"/>
      <c r="W24" t="s">
        <v>79</v>
      </c>
      <c r="X24" s="29"/>
      <c r="AB24" s="29"/>
      <c r="AJ24" s="26"/>
      <c r="AK24" s="26"/>
      <c r="AL24" s="26"/>
      <c r="AM24" s="26"/>
      <c r="AN24" s="26"/>
      <c r="AO24" s="26"/>
      <c r="AP24" s="26"/>
      <c r="AQ24" s="26"/>
      <c r="AR24" s="26"/>
      <c r="AS24" s="26"/>
      <c r="AT24" s="26"/>
      <c r="AU24" s="26"/>
      <c r="AV24" s="26"/>
      <c r="AW24" s="5" t="s">
        <v>733</v>
      </c>
      <c r="AY24" s="5" t="s">
        <v>733</v>
      </c>
      <c r="BE24" t="s">
        <v>554</v>
      </c>
      <c r="BG24" t="s">
        <v>329</v>
      </c>
    </row>
    <row r="25" spans="1:59" x14ac:dyDescent="0.55000000000000004">
      <c r="A25" t="s">
        <v>22</v>
      </c>
      <c r="B25"/>
      <c r="C25" t="s">
        <v>22</v>
      </c>
      <c r="D25" s="29"/>
      <c r="F25" s="5"/>
      <c r="I25" t="s">
        <v>218</v>
      </c>
      <c r="J25"/>
      <c r="K25" t="s">
        <v>218</v>
      </c>
      <c r="L25" s="29"/>
      <c r="M25" t="s">
        <v>62</v>
      </c>
      <c r="N25"/>
      <c r="O25" t="s">
        <v>53</v>
      </c>
      <c r="P25" s="29"/>
      <c r="U25" t="s">
        <v>170</v>
      </c>
      <c r="V25"/>
      <c r="W25" t="s">
        <v>171</v>
      </c>
      <c r="X25" s="29"/>
      <c r="AB25" s="29"/>
      <c r="AJ25" s="26"/>
      <c r="AK25" s="26"/>
      <c r="AL25" s="26"/>
      <c r="AM25" s="26"/>
      <c r="AN25" s="26"/>
      <c r="AO25" s="26"/>
      <c r="AP25" s="26"/>
      <c r="AQ25" s="26"/>
      <c r="AR25" s="26"/>
      <c r="AS25" s="26"/>
      <c r="AT25" s="26"/>
      <c r="AU25" s="26"/>
      <c r="AV25" s="26"/>
      <c r="AW25" s="5" t="s">
        <v>711</v>
      </c>
      <c r="AY25" s="5" t="s">
        <v>711</v>
      </c>
      <c r="BE25" t="s">
        <v>555</v>
      </c>
      <c r="BG25" t="s">
        <v>330</v>
      </c>
    </row>
    <row r="26" spans="1:59" x14ac:dyDescent="0.55000000000000004">
      <c r="A26" t="s">
        <v>33</v>
      </c>
      <c r="B26"/>
      <c r="C26" t="s">
        <v>22</v>
      </c>
      <c r="D26" s="29"/>
      <c r="F26" s="5"/>
      <c r="I26" t="s">
        <v>187</v>
      </c>
      <c r="J26"/>
      <c r="K26" t="s">
        <v>218</v>
      </c>
      <c r="L26" s="29"/>
      <c r="M26" t="s">
        <v>61</v>
      </c>
      <c r="N26"/>
      <c r="O26" t="s">
        <v>52</v>
      </c>
      <c r="P26" s="29"/>
      <c r="U26" t="s">
        <v>168</v>
      </c>
      <c r="V26"/>
      <c r="W26" t="s">
        <v>169</v>
      </c>
      <c r="X26" s="29"/>
      <c r="AB26" s="29"/>
      <c r="AJ26" s="26"/>
      <c r="AK26" s="26"/>
      <c r="AL26" s="26"/>
      <c r="AM26" s="26"/>
      <c r="AN26" s="26"/>
      <c r="AO26" s="26"/>
      <c r="AP26" s="26"/>
      <c r="AQ26" s="26"/>
      <c r="AR26" s="26"/>
      <c r="AS26" s="26"/>
      <c r="AT26" s="26"/>
      <c r="AU26" s="26"/>
      <c r="AV26" s="26"/>
      <c r="AW26" s="5" t="s">
        <v>727</v>
      </c>
      <c r="AY26" s="5" t="s">
        <v>727</v>
      </c>
      <c r="BE26" t="s">
        <v>556</v>
      </c>
      <c r="BG26" t="s">
        <v>326</v>
      </c>
    </row>
    <row r="27" spans="1:59" x14ac:dyDescent="0.55000000000000004">
      <c r="A27" t="s">
        <v>183</v>
      </c>
      <c r="B27"/>
      <c r="C27" t="s">
        <v>216</v>
      </c>
      <c r="D27" s="29"/>
      <c r="F27" s="5"/>
      <c r="I27" t="s">
        <v>188</v>
      </c>
      <c r="J27"/>
      <c r="K27" t="s">
        <v>188</v>
      </c>
      <c r="L27" s="29"/>
      <c r="M27" t="s">
        <v>53</v>
      </c>
      <c r="N27"/>
      <c r="O27" t="s">
        <v>53</v>
      </c>
      <c r="P27" s="29"/>
      <c r="U27" t="s">
        <v>376</v>
      </c>
      <c r="V27"/>
      <c r="W27" t="s">
        <v>375</v>
      </c>
      <c r="X27" s="29"/>
      <c r="AB27" s="29"/>
      <c r="AJ27" s="26"/>
      <c r="AK27" s="26"/>
      <c r="AL27" s="26"/>
      <c r="AM27" s="26"/>
      <c r="AN27" s="26"/>
      <c r="AO27" s="26"/>
      <c r="AP27" s="26"/>
      <c r="AQ27" s="26"/>
      <c r="AR27" s="26"/>
      <c r="AS27" s="26"/>
      <c r="AT27" s="26"/>
      <c r="AU27" s="26"/>
      <c r="AV27" s="26"/>
      <c r="AW27" s="5" t="s">
        <v>710</v>
      </c>
      <c r="AY27" s="5" t="s">
        <v>710</v>
      </c>
      <c r="BE27" t="s">
        <v>557</v>
      </c>
      <c r="BG27" t="s">
        <v>326</v>
      </c>
    </row>
    <row r="28" spans="1:59" x14ac:dyDescent="0.55000000000000004">
      <c r="A28" t="s">
        <v>226</v>
      </c>
      <c r="B28"/>
      <c r="C28" t="s">
        <v>226</v>
      </c>
      <c r="D28" s="29"/>
      <c r="F28" s="5"/>
      <c r="I28" t="s">
        <v>189</v>
      </c>
      <c r="J28"/>
      <c r="K28" t="s">
        <v>188</v>
      </c>
      <c r="L28" s="29"/>
      <c r="M28" t="s">
        <v>52</v>
      </c>
      <c r="N28"/>
      <c r="O28" t="s">
        <v>52</v>
      </c>
      <c r="P28" s="29"/>
      <c r="U28" t="s">
        <v>81</v>
      </c>
      <c r="V28"/>
      <c r="W28" t="s">
        <v>81</v>
      </c>
      <c r="X28" s="29"/>
      <c r="AB28" s="29"/>
      <c r="AJ28" s="26"/>
      <c r="AK28" s="26"/>
      <c r="AL28" s="26"/>
      <c r="AM28" s="26"/>
      <c r="AN28" s="26"/>
      <c r="AO28" s="26"/>
      <c r="AP28" s="26"/>
      <c r="AQ28" s="26"/>
      <c r="AR28" s="26"/>
      <c r="AS28" s="26"/>
      <c r="AT28" s="26"/>
      <c r="AU28" s="26"/>
      <c r="AV28" s="26"/>
      <c r="AW28" s="5" t="s">
        <v>709</v>
      </c>
      <c r="AY28" s="5" t="s">
        <v>709</v>
      </c>
      <c r="BE28" t="s">
        <v>395</v>
      </c>
      <c r="BG28" t="s">
        <v>331</v>
      </c>
    </row>
    <row r="29" spans="1:59" x14ac:dyDescent="0.55000000000000004">
      <c r="A29" t="s">
        <v>227</v>
      </c>
      <c r="B29"/>
      <c r="C29" t="s">
        <v>226</v>
      </c>
      <c r="D29" s="29"/>
      <c r="F29" s="5"/>
      <c r="I29" t="s">
        <v>268</v>
      </c>
      <c r="J29"/>
      <c r="K29" t="s">
        <v>268</v>
      </c>
      <c r="L29" s="29"/>
      <c r="M29" t="s">
        <v>54</v>
      </c>
      <c r="N29"/>
      <c r="O29" t="s">
        <v>45</v>
      </c>
      <c r="P29" s="29"/>
      <c r="X29" s="29"/>
      <c r="AB29" s="29"/>
      <c r="AJ29" s="26"/>
      <c r="AK29" s="26"/>
      <c r="AL29" s="26"/>
      <c r="AM29" s="26"/>
      <c r="AN29" s="26"/>
      <c r="AO29" s="26"/>
      <c r="AP29" s="26"/>
      <c r="AQ29" s="26"/>
      <c r="AR29" s="26"/>
      <c r="AS29" s="26"/>
      <c r="AT29" s="26"/>
      <c r="AU29" s="26"/>
      <c r="AV29" s="26"/>
      <c r="AW29" s="5" t="s">
        <v>726</v>
      </c>
      <c r="AY29" s="5" t="s">
        <v>726</v>
      </c>
      <c r="BE29" t="s">
        <v>391</v>
      </c>
      <c r="BG29" t="s">
        <v>327</v>
      </c>
    </row>
    <row r="30" spans="1:59" x14ac:dyDescent="0.55000000000000004">
      <c r="A30" t="s">
        <v>185</v>
      </c>
      <c r="B30"/>
      <c r="C30" t="s">
        <v>217</v>
      </c>
      <c r="D30" s="29"/>
      <c r="F30" s="5"/>
      <c r="I30" t="s">
        <v>275</v>
      </c>
      <c r="J30"/>
      <c r="K30" t="s">
        <v>268</v>
      </c>
      <c r="L30" s="29"/>
      <c r="M30" t="s">
        <v>45</v>
      </c>
      <c r="N30" t="s">
        <v>225</v>
      </c>
      <c r="O30" t="s">
        <v>45</v>
      </c>
      <c r="P30" s="29"/>
      <c r="X30" s="29"/>
      <c r="AB30" s="29"/>
      <c r="AJ30" s="26"/>
      <c r="AK30" s="26"/>
      <c r="AL30" s="26"/>
      <c r="AM30" s="26"/>
      <c r="AN30" s="26"/>
      <c r="AO30" s="26"/>
      <c r="AP30" s="26"/>
      <c r="AQ30" s="26"/>
      <c r="AR30" s="26"/>
      <c r="AS30" s="26"/>
      <c r="AT30" s="26"/>
      <c r="AU30" s="26"/>
      <c r="AV30" s="26"/>
      <c r="AW30" s="5" t="s">
        <v>737</v>
      </c>
      <c r="AY30" s="5" t="s">
        <v>737</v>
      </c>
      <c r="BE30" t="s">
        <v>264</v>
      </c>
      <c r="BG30" t="s">
        <v>329</v>
      </c>
    </row>
    <row r="31" spans="1:59" x14ac:dyDescent="0.55000000000000004">
      <c r="A31" t="s">
        <v>86</v>
      </c>
      <c r="B31"/>
      <c r="C31" t="s">
        <v>19</v>
      </c>
      <c r="D31" s="29"/>
      <c r="F31" s="5"/>
      <c r="I31" t="s">
        <v>276</v>
      </c>
      <c r="J31"/>
      <c r="K31" t="s">
        <v>269</v>
      </c>
      <c r="L31" s="29"/>
      <c r="M31" t="s">
        <v>174</v>
      </c>
      <c r="N31"/>
      <c r="O31" t="s">
        <v>213</v>
      </c>
      <c r="P31" s="29"/>
      <c r="X31" s="29"/>
      <c r="AB31" s="29"/>
      <c r="AJ31" s="26"/>
      <c r="AK31" s="26"/>
      <c r="AL31" s="26"/>
      <c r="AM31" s="26"/>
      <c r="AN31" s="26"/>
      <c r="AO31" s="26"/>
      <c r="AP31" s="26"/>
      <c r="AQ31" s="26"/>
      <c r="AR31" s="26"/>
      <c r="AS31" s="26"/>
      <c r="AT31" s="26"/>
      <c r="AU31" s="26"/>
      <c r="AV31" s="26"/>
      <c r="AW31" s="5" t="s">
        <v>745</v>
      </c>
      <c r="AY31" s="5" t="s">
        <v>745</v>
      </c>
      <c r="BE31" t="s">
        <v>300</v>
      </c>
      <c r="BG31" t="s">
        <v>328</v>
      </c>
    </row>
    <row r="32" spans="1:59" x14ac:dyDescent="0.55000000000000004">
      <c r="A32" t="s">
        <v>20</v>
      </c>
      <c r="B32"/>
      <c r="C32" t="s">
        <v>20</v>
      </c>
      <c r="D32" s="29"/>
      <c r="F32" s="5"/>
      <c r="I32" t="s">
        <v>269</v>
      </c>
      <c r="J32"/>
      <c r="K32" t="s">
        <v>269</v>
      </c>
      <c r="L32" s="29"/>
      <c r="X32" s="29"/>
      <c r="AB32" s="29"/>
      <c r="AJ32" s="26"/>
      <c r="AK32" s="26"/>
      <c r="AL32" s="26"/>
      <c r="AM32" s="26"/>
      <c r="AN32" s="26"/>
      <c r="AO32" s="26"/>
      <c r="AP32" s="26"/>
      <c r="AQ32" s="26"/>
      <c r="AR32" s="26"/>
      <c r="AS32" s="26"/>
      <c r="AT32" s="26"/>
      <c r="AU32" s="26"/>
      <c r="AV32" s="26"/>
      <c r="AW32" s="5" t="s">
        <v>749</v>
      </c>
      <c r="AY32" s="5" t="s">
        <v>749</v>
      </c>
      <c r="BE32" t="s">
        <v>301</v>
      </c>
      <c r="BG32" t="s">
        <v>327</v>
      </c>
    </row>
    <row r="33" spans="1:59" x14ac:dyDescent="0.55000000000000004">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5" t="s">
        <v>706</v>
      </c>
      <c r="AY33" s="5" t="s">
        <v>706</v>
      </c>
      <c r="BE33" t="s">
        <v>302</v>
      </c>
      <c r="BG33" t="s">
        <v>326</v>
      </c>
    </row>
    <row r="34" spans="1:59" x14ac:dyDescent="0.55000000000000004">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5" t="s">
        <v>744</v>
      </c>
      <c r="AY34" s="5" t="s">
        <v>744</v>
      </c>
      <c r="BE34" t="s">
        <v>303</v>
      </c>
      <c r="BG34" t="s">
        <v>326</v>
      </c>
    </row>
    <row r="35" spans="1:59" x14ac:dyDescent="0.55000000000000004">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5" t="s">
        <v>750</v>
      </c>
      <c r="AY35" s="5" t="s">
        <v>750</v>
      </c>
      <c r="BE35" t="s">
        <v>304</v>
      </c>
      <c r="BG35" t="s">
        <v>326</v>
      </c>
    </row>
    <row r="36" spans="1:59" x14ac:dyDescent="0.55000000000000004">
      <c r="A36" t="s">
        <v>341</v>
      </c>
      <c r="B36"/>
      <c r="C36" t="s">
        <v>341</v>
      </c>
      <c r="D36" s="29"/>
      <c r="F36" s="5"/>
      <c r="I36" t="s">
        <v>190</v>
      </c>
      <c r="J36"/>
      <c r="K36" t="s">
        <v>221</v>
      </c>
      <c r="L36" s="29"/>
      <c r="X36" s="29"/>
      <c r="AB36" s="29"/>
      <c r="AJ36" s="26"/>
      <c r="AK36" s="26"/>
      <c r="AL36" s="26"/>
      <c r="AM36" s="26"/>
      <c r="AN36" s="26"/>
      <c r="AO36" s="26"/>
      <c r="AP36" s="26"/>
      <c r="AQ36" s="26"/>
      <c r="AR36" s="26"/>
      <c r="AS36" s="26"/>
      <c r="AT36" s="26"/>
      <c r="AU36" s="26"/>
      <c r="AV36" s="26"/>
      <c r="AW36" s="5" t="s">
        <v>748</v>
      </c>
      <c r="AY36" s="5" t="s">
        <v>748</v>
      </c>
      <c r="BE36" t="s">
        <v>305</v>
      </c>
      <c r="BG36" t="s">
        <v>326</v>
      </c>
    </row>
    <row r="37" spans="1:59" x14ac:dyDescent="0.55000000000000004">
      <c r="A37" t="s">
        <v>361</v>
      </c>
      <c r="B37"/>
      <c r="C37" t="s">
        <v>341</v>
      </c>
      <c r="D37" s="29"/>
      <c r="F37" s="5"/>
      <c r="I37" t="s">
        <v>191</v>
      </c>
      <c r="J37"/>
      <c r="K37" t="s">
        <v>191</v>
      </c>
      <c r="L37" s="29"/>
      <c r="X37" s="29"/>
      <c r="AB37" s="29"/>
      <c r="AJ37" s="26"/>
      <c r="AK37" s="26"/>
      <c r="AL37" s="26"/>
      <c r="AM37" s="26"/>
      <c r="AN37" s="26"/>
      <c r="AO37" s="26"/>
      <c r="AP37" s="26"/>
      <c r="AQ37" s="26"/>
      <c r="AR37" s="26"/>
      <c r="AS37" s="26"/>
      <c r="AT37" s="26"/>
      <c r="AU37" s="26"/>
      <c r="AV37" s="26"/>
      <c r="AW37" s="5" t="s">
        <v>743</v>
      </c>
      <c r="AY37" s="5" t="s">
        <v>743</v>
      </c>
      <c r="BE37" t="s">
        <v>306</v>
      </c>
      <c r="BG37" t="s">
        <v>326</v>
      </c>
    </row>
    <row r="38" spans="1:59" x14ac:dyDescent="0.55000000000000004">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5" t="s">
        <v>738</v>
      </c>
      <c r="AY38" s="5" t="s">
        <v>738</v>
      </c>
      <c r="BE38" t="s">
        <v>307</v>
      </c>
      <c r="BG38" t="s">
        <v>326</v>
      </c>
    </row>
    <row r="39" spans="1:59" x14ac:dyDescent="0.55000000000000004">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5" t="s">
        <v>735</v>
      </c>
      <c r="AY39" s="5" t="s">
        <v>735</v>
      </c>
      <c r="BE39" t="s">
        <v>308</v>
      </c>
      <c r="BG39" t="s">
        <v>326</v>
      </c>
    </row>
    <row r="40" spans="1:59" x14ac:dyDescent="0.55000000000000004">
      <c r="A40" t="s">
        <v>19</v>
      </c>
      <c r="B40"/>
      <c r="C40" t="s">
        <v>19</v>
      </c>
      <c r="D40" s="29"/>
      <c r="F40" s="5"/>
      <c r="I40" t="s">
        <v>277</v>
      </c>
      <c r="J40"/>
      <c r="K40" t="s">
        <v>191</v>
      </c>
      <c r="L40" s="29"/>
      <c r="X40" s="29"/>
      <c r="AB40" s="29"/>
      <c r="AJ40" s="26"/>
      <c r="AK40" s="26"/>
      <c r="AL40" s="26"/>
      <c r="AM40" s="26"/>
      <c r="AN40" s="26"/>
      <c r="AO40" s="26"/>
      <c r="AP40" s="26"/>
      <c r="AQ40" s="26"/>
      <c r="AR40" s="26"/>
      <c r="AS40" s="26"/>
      <c r="AT40" s="26"/>
      <c r="AU40" s="26"/>
      <c r="AV40" s="26"/>
      <c r="AW40" s="5" t="s">
        <v>704</v>
      </c>
      <c r="AY40" s="5" t="s">
        <v>704</v>
      </c>
      <c r="BE40" t="s">
        <v>392</v>
      </c>
      <c r="BG40" t="s">
        <v>329</v>
      </c>
    </row>
    <row r="41" spans="1:59" x14ac:dyDescent="0.55000000000000004">
      <c r="A41" t="s">
        <v>30</v>
      </c>
      <c r="B41"/>
      <c r="C41" t="s">
        <v>19</v>
      </c>
      <c r="D41" s="29"/>
      <c r="F41" s="5"/>
      <c r="I41" t="s">
        <v>483</v>
      </c>
      <c r="J41"/>
      <c r="K41" t="s">
        <v>484</v>
      </c>
      <c r="L41" s="29"/>
      <c r="X41" s="29"/>
      <c r="AB41" s="29"/>
      <c r="AJ41" s="26"/>
      <c r="AK41" s="26"/>
      <c r="AL41" s="26"/>
      <c r="AM41" s="26"/>
      <c r="AN41" s="26"/>
      <c r="AO41" s="26"/>
      <c r="AP41" s="26"/>
      <c r="AQ41" s="26"/>
      <c r="AR41" s="26"/>
      <c r="AS41" s="26"/>
      <c r="AT41" s="26"/>
      <c r="AU41" s="26"/>
      <c r="AV41" s="26"/>
      <c r="AW41" s="5" t="s">
        <v>742</v>
      </c>
      <c r="AY41" s="5" t="s">
        <v>742</v>
      </c>
      <c r="BE41" t="s">
        <v>309</v>
      </c>
      <c r="BG41" t="s">
        <v>326</v>
      </c>
    </row>
    <row r="42" spans="1:59" x14ac:dyDescent="0.55000000000000004">
      <c r="A42" t="s">
        <v>150</v>
      </c>
      <c r="B42"/>
      <c r="C42" t="s">
        <v>21</v>
      </c>
      <c r="D42" s="29"/>
      <c r="F42" s="5"/>
      <c r="I42" t="s">
        <v>192</v>
      </c>
      <c r="J42"/>
      <c r="K42" t="s">
        <v>192</v>
      </c>
      <c r="L42" s="29"/>
      <c r="X42" s="29"/>
      <c r="AB42" s="29"/>
      <c r="AJ42" s="26"/>
      <c r="AK42" s="26"/>
      <c r="AL42" s="26"/>
      <c r="AM42" s="26"/>
      <c r="AN42" s="26"/>
      <c r="AO42" s="26"/>
      <c r="AP42" s="26"/>
      <c r="AQ42" s="26"/>
      <c r="AR42" s="26"/>
      <c r="AS42" s="26"/>
      <c r="AT42" s="26"/>
      <c r="AU42" s="26"/>
      <c r="AV42" s="26"/>
      <c r="AW42" s="5" t="s">
        <v>705</v>
      </c>
      <c r="AY42" s="5" t="s">
        <v>705</v>
      </c>
      <c r="BE42" t="s">
        <v>310</v>
      </c>
      <c r="BG42" t="s">
        <v>326</v>
      </c>
    </row>
    <row r="43" spans="1:59" x14ac:dyDescent="0.55000000000000004">
      <c r="A43" t="s">
        <v>151</v>
      </c>
      <c r="B43"/>
      <c r="C43" t="s">
        <v>19</v>
      </c>
      <c r="D43" s="29"/>
      <c r="F43" s="5"/>
      <c r="I43" t="s">
        <v>484</v>
      </c>
      <c r="J43"/>
      <c r="K43" t="s">
        <v>484</v>
      </c>
      <c r="L43" s="29"/>
      <c r="X43" s="29"/>
      <c r="AB43" s="29"/>
      <c r="AJ43" s="26"/>
      <c r="AK43" s="26"/>
      <c r="AL43" s="26"/>
      <c r="AM43" s="26"/>
      <c r="AN43" s="26"/>
      <c r="AO43" s="26"/>
      <c r="AP43" s="26"/>
      <c r="AQ43" s="26"/>
      <c r="AR43" s="26"/>
      <c r="AS43" s="26"/>
      <c r="AT43" s="26"/>
      <c r="AU43" s="26"/>
      <c r="AV43" s="26"/>
      <c r="AW43" s="5" t="s">
        <v>739</v>
      </c>
      <c r="AY43" s="5" t="s">
        <v>739</v>
      </c>
      <c r="BE43" t="s">
        <v>311</v>
      </c>
      <c r="BG43" t="s">
        <v>326</v>
      </c>
    </row>
    <row r="44" spans="1:59" x14ac:dyDescent="0.55000000000000004">
      <c r="A44" t="s">
        <v>87</v>
      </c>
      <c r="B44"/>
      <c r="C44" t="s">
        <v>19</v>
      </c>
      <c r="D44" s="29"/>
      <c r="F44" s="5"/>
      <c r="I44" t="s">
        <v>278</v>
      </c>
      <c r="J44"/>
      <c r="K44" t="s">
        <v>192</v>
      </c>
      <c r="L44" s="29"/>
      <c r="X44" s="29"/>
      <c r="AB44" s="29"/>
      <c r="AJ44" s="26"/>
      <c r="AK44" s="26"/>
      <c r="AL44" s="26"/>
      <c r="AM44" s="26"/>
      <c r="AN44" s="26"/>
      <c r="AO44" s="26"/>
      <c r="AP44" s="26"/>
      <c r="AQ44" s="26"/>
      <c r="AR44" s="26"/>
      <c r="AS44" s="26"/>
      <c r="AT44" s="26"/>
      <c r="AU44" s="26"/>
      <c r="AV44" s="26"/>
      <c r="AW44" s="5" t="s">
        <v>741</v>
      </c>
      <c r="AY44" s="5" t="s">
        <v>741</v>
      </c>
      <c r="BE44" t="s">
        <v>312</v>
      </c>
      <c r="BG44" t="s">
        <v>326</v>
      </c>
    </row>
    <row r="45" spans="1:59" x14ac:dyDescent="0.55000000000000004">
      <c r="A45" t="s">
        <v>424</v>
      </c>
      <c r="B45"/>
      <c r="C45" t="s">
        <v>424</v>
      </c>
      <c r="D45" s="29"/>
      <c r="F45" s="5"/>
      <c r="I45" t="s">
        <v>193</v>
      </c>
      <c r="J45"/>
      <c r="K45" t="s">
        <v>193</v>
      </c>
      <c r="L45" s="29"/>
      <c r="X45" s="29"/>
      <c r="AB45" s="29"/>
      <c r="AJ45" s="26"/>
      <c r="AK45" s="26"/>
      <c r="AL45" s="26"/>
      <c r="AM45" s="26"/>
      <c r="AN45" s="26"/>
      <c r="AO45" s="26"/>
      <c r="AP45" s="26"/>
      <c r="AQ45" s="26"/>
      <c r="AR45" s="26"/>
      <c r="AS45" s="26"/>
      <c r="AT45" s="26"/>
      <c r="AU45" s="26"/>
      <c r="AV45" s="26"/>
      <c r="AW45" s="5" t="s">
        <v>746</v>
      </c>
      <c r="AY45" s="5" t="s">
        <v>746</v>
      </c>
      <c r="BE45" t="s">
        <v>313</v>
      </c>
      <c r="BG45" t="s">
        <v>326</v>
      </c>
    </row>
    <row r="46" spans="1:59" x14ac:dyDescent="0.55000000000000004">
      <c r="A46" t="s">
        <v>425</v>
      </c>
      <c r="B46"/>
      <c r="C46" t="s">
        <v>425</v>
      </c>
      <c r="D46" s="29"/>
      <c r="F46" s="5"/>
      <c r="I46" t="s">
        <v>194</v>
      </c>
      <c r="J46"/>
      <c r="K46" t="s">
        <v>193</v>
      </c>
      <c r="L46" s="29"/>
      <c r="X46" s="29"/>
      <c r="AB46" s="29"/>
      <c r="AJ46" s="26"/>
      <c r="AK46" s="26"/>
      <c r="AL46" s="26"/>
      <c r="AM46" s="26"/>
      <c r="AN46" s="26"/>
      <c r="AO46" s="26"/>
      <c r="AP46" s="26"/>
      <c r="AQ46" s="26"/>
      <c r="AR46" s="26"/>
      <c r="AS46" s="26"/>
      <c r="AT46" s="26"/>
      <c r="AU46" s="26"/>
      <c r="AV46" s="26"/>
      <c r="AW46" s="5" t="s">
        <v>703</v>
      </c>
      <c r="AY46" s="5" t="s">
        <v>703</v>
      </c>
      <c r="BE46" t="s">
        <v>314</v>
      </c>
      <c r="BG46" t="s">
        <v>326</v>
      </c>
    </row>
    <row r="47" spans="1:59" x14ac:dyDescent="0.55000000000000004">
      <c r="A47" t="s">
        <v>426</v>
      </c>
      <c r="B47"/>
      <c r="C47" t="s">
        <v>426</v>
      </c>
      <c r="D47" s="29"/>
      <c r="F47" s="5"/>
      <c r="I47" t="s">
        <v>223</v>
      </c>
      <c r="J47"/>
      <c r="K47" t="s">
        <v>223</v>
      </c>
      <c r="L47" s="29"/>
      <c r="X47" s="29"/>
      <c r="AB47" s="29"/>
      <c r="AJ47" s="26"/>
      <c r="AK47" s="26"/>
      <c r="AL47" s="26"/>
      <c r="AM47" s="26"/>
      <c r="AN47" s="26"/>
      <c r="AO47" s="26"/>
      <c r="AP47" s="26"/>
      <c r="AQ47" s="26"/>
      <c r="AR47" s="26"/>
      <c r="AS47" s="26"/>
      <c r="AT47" s="26"/>
      <c r="AU47" s="26"/>
      <c r="AV47" s="26"/>
      <c r="AW47" s="5" t="s">
        <v>661</v>
      </c>
      <c r="AY47" s="5" t="s">
        <v>661</v>
      </c>
      <c r="BE47" t="s">
        <v>315</v>
      </c>
      <c r="BG47" t="s">
        <v>326</v>
      </c>
    </row>
    <row r="48" spans="1:59" x14ac:dyDescent="0.55000000000000004">
      <c r="A48" t="s">
        <v>427</v>
      </c>
      <c r="B48"/>
      <c r="C48" t="s">
        <v>427</v>
      </c>
      <c r="D48" s="29"/>
      <c r="F48" s="5"/>
      <c r="I48" t="s">
        <v>64</v>
      </c>
      <c r="J48"/>
      <c r="K48" t="s">
        <v>223</v>
      </c>
      <c r="L48" s="29"/>
      <c r="X48" s="29"/>
      <c r="AB48" s="29"/>
      <c r="AJ48" s="26"/>
      <c r="AK48" s="26"/>
      <c r="AL48" s="26"/>
      <c r="AM48" s="26"/>
      <c r="AN48" s="26"/>
      <c r="AO48" s="26"/>
      <c r="AP48" s="26"/>
      <c r="AQ48" s="26"/>
      <c r="AR48" s="26"/>
      <c r="AS48" s="26"/>
      <c r="AT48" s="26"/>
      <c r="AU48" s="26"/>
      <c r="AV48" s="26"/>
      <c r="AW48" s="5" t="s">
        <v>696</v>
      </c>
      <c r="AY48" s="5" t="s">
        <v>696</v>
      </c>
      <c r="BE48" t="s">
        <v>316</v>
      </c>
      <c r="BG48" t="s">
        <v>326</v>
      </c>
    </row>
    <row r="49" spans="1:59" x14ac:dyDescent="0.55000000000000004">
      <c r="A49" t="s">
        <v>428</v>
      </c>
      <c r="B49"/>
      <c r="C49" t="s">
        <v>428</v>
      </c>
      <c r="D49" s="29"/>
      <c r="F49" s="5"/>
      <c r="I49" t="s">
        <v>195</v>
      </c>
      <c r="J49"/>
      <c r="K49" t="s">
        <v>195</v>
      </c>
      <c r="L49" s="29"/>
      <c r="X49" s="29"/>
      <c r="AB49" s="29"/>
      <c r="AJ49" s="26"/>
      <c r="AK49" s="26"/>
      <c r="AL49" s="26"/>
      <c r="AM49" s="26"/>
      <c r="AN49" s="26"/>
      <c r="AO49" s="26"/>
      <c r="AP49" s="26"/>
      <c r="AQ49" s="26"/>
      <c r="AR49" s="26"/>
      <c r="AS49" s="26"/>
      <c r="AT49" s="26"/>
      <c r="AU49" s="26"/>
      <c r="AV49" s="26"/>
      <c r="AW49" s="5" t="s">
        <v>693</v>
      </c>
      <c r="AY49" s="5" t="s">
        <v>693</v>
      </c>
      <c r="BE49" t="s">
        <v>317</v>
      </c>
      <c r="BG49" t="s">
        <v>326</v>
      </c>
    </row>
    <row r="50" spans="1:59" x14ac:dyDescent="0.55000000000000004">
      <c r="A50" t="s">
        <v>429</v>
      </c>
      <c r="B50"/>
      <c r="C50" t="s">
        <v>429</v>
      </c>
      <c r="D50" s="29"/>
      <c r="F50" s="5"/>
      <c r="I50" t="s">
        <v>196</v>
      </c>
      <c r="J50"/>
      <c r="K50" t="s">
        <v>195</v>
      </c>
      <c r="L50" s="29"/>
      <c r="X50" s="29"/>
      <c r="AB50" s="29"/>
      <c r="AJ50" s="26"/>
      <c r="AK50" s="26"/>
      <c r="AL50" s="26"/>
      <c r="AM50" s="26"/>
      <c r="AN50" s="26"/>
      <c r="AO50" s="26"/>
      <c r="AP50" s="26"/>
      <c r="AQ50" s="26"/>
      <c r="AR50" s="26"/>
      <c r="AS50" s="26"/>
      <c r="AT50" s="26"/>
      <c r="AU50" s="26"/>
      <c r="AV50" s="26"/>
      <c r="AW50" s="5" t="s">
        <v>697</v>
      </c>
      <c r="AY50" s="5" t="s">
        <v>697</v>
      </c>
      <c r="BE50" t="s">
        <v>318</v>
      </c>
      <c r="BG50" t="s">
        <v>326</v>
      </c>
    </row>
    <row r="51" spans="1:59" x14ac:dyDescent="0.55000000000000004">
      <c r="A51" t="s">
        <v>430</v>
      </c>
      <c r="B51"/>
      <c r="C51" t="s">
        <v>430</v>
      </c>
      <c r="D51" s="29"/>
      <c r="F51" s="5"/>
      <c r="I51" t="s">
        <v>270</v>
      </c>
      <c r="J51"/>
      <c r="K51" t="s">
        <v>270</v>
      </c>
      <c r="L51" s="29"/>
      <c r="X51" s="29"/>
      <c r="AB51" s="29"/>
      <c r="AJ51" s="26"/>
      <c r="AK51" s="26"/>
      <c r="AL51" s="26"/>
      <c r="AM51" s="26"/>
      <c r="AN51" s="26"/>
      <c r="AO51" s="26"/>
      <c r="AP51" s="26"/>
      <c r="AQ51" s="26"/>
      <c r="AR51" s="26"/>
      <c r="AS51" s="26"/>
      <c r="AT51" s="26"/>
      <c r="AU51" s="26"/>
      <c r="AV51" s="26"/>
      <c r="AW51" s="5" t="s">
        <v>730</v>
      </c>
      <c r="AY51" s="5" t="s">
        <v>730</v>
      </c>
      <c r="BE51" t="s">
        <v>388</v>
      </c>
      <c r="BG51" t="s">
        <v>330</v>
      </c>
    </row>
    <row r="52" spans="1:59" x14ac:dyDescent="0.55000000000000004">
      <c r="A52" t="s">
        <v>431</v>
      </c>
      <c r="B52"/>
      <c r="C52" t="s">
        <v>431</v>
      </c>
      <c r="D52" s="29"/>
      <c r="F52" s="5"/>
      <c r="I52" t="s">
        <v>279</v>
      </c>
      <c r="J52"/>
      <c r="K52" t="s">
        <v>270</v>
      </c>
      <c r="L52" s="29"/>
      <c r="X52" s="29"/>
      <c r="AB52" s="29"/>
      <c r="AJ52" s="26"/>
      <c r="AK52" s="26"/>
      <c r="AL52" s="26"/>
      <c r="AM52" s="26"/>
      <c r="AN52" s="26"/>
      <c r="AO52" s="26"/>
      <c r="AP52" s="26"/>
      <c r="AQ52" s="26"/>
      <c r="AR52" s="26"/>
      <c r="AS52" s="26"/>
      <c r="AT52" s="26"/>
      <c r="AU52" s="26"/>
      <c r="AV52" s="26"/>
      <c r="AW52" s="5" t="s">
        <v>699</v>
      </c>
      <c r="AY52" s="5" t="s">
        <v>699</v>
      </c>
      <c r="BE52" t="s">
        <v>319</v>
      </c>
      <c r="BG52" t="s">
        <v>326</v>
      </c>
    </row>
    <row r="53" spans="1:59" x14ac:dyDescent="0.55000000000000004">
      <c r="A53" t="s">
        <v>432</v>
      </c>
      <c r="B53"/>
      <c r="C53" t="s">
        <v>432</v>
      </c>
      <c r="D53" s="29"/>
      <c r="F53" s="5"/>
      <c r="I53" t="s">
        <v>224</v>
      </c>
      <c r="J53"/>
      <c r="K53" t="s">
        <v>224</v>
      </c>
      <c r="L53" s="29"/>
      <c r="X53" s="29"/>
      <c r="AB53" s="29"/>
      <c r="AJ53" s="26"/>
      <c r="AK53" s="26"/>
      <c r="AL53" s="26"/>
      <c r="AM53" s="26"/>
      <c r="AN53" s="26"/>
      <c r="AO53" s="26"/>
      <c r="AP53" s="26"/>
      <c r="AQ53" s="26"/>
      <c r="AR53" s="26"/>
      <c r="AS53" s="26"/>
      <c r="AT53" s="26"/>
      <c r="AU53" s="26"/>
      <c r="AV53" s="26"/>
      <c r="AW53" s="5" t="s">
        <v>702</v>
      </c>
      <c r="AY53" s="5" t="s">
        <v>702</v>
      </c>
      <c r="BE53" t="s">
        <v>320</v>
      </c>
      <c r="BG53" t="s">
        <v>326</v>
      </c>
    </row>
    <row r="54" spans="1:59" x14ac:dyDescent="0.55000000000000004">
      <c r="A54" t="s">
        <v>433</v>
      </c>
      <c r="B54"/>
      <c r="C54" t="s">
        <v>433</v>
      </c>
      <c r="D54" s="29"/>
      <c r="F54" s="5"/>
      <c r="I54" t="s">
        <v>65</v>
      </c>
      <c r="J54"/>
      <c r="K54" t="s">
        <v>224</v>
      </c>
      <c r="L54" s="29"/>
      <c r="X54" s="29"/>
      <c r="AB54" s="29"/>
      <c r="AJ54" s="26"/>
      <c r="AK54" s="26"/>
      <c r="AL54" s="26"/>
      <c r="AM54" s="26"/>
      <c r="AN54" s="26"/>
      <c r="AO54" s="26"/>
      <c r="AP54" s="26"/>
      <c r="AQ54" s="26"/>
      <c r="AR54" s="26"/>
      <c r="AS54" s="26"/>
      <c r="AT54" s="26"/>
      <c r="AU54" s="26"/>
      <c r="AV54" s="26"/>
      <c r="AW54" s="5" t="s">
        <v>712</v>
      </c>
      <c r="AY54" s="5" t="s">
        <v>712</v>
      </c>
      <c r="BE54" t="s">
        <v>281</v>
      </c>
      <c r="BG54" t="s">
        <v>331</v>
      </c>
    </row>
    <row r="55" spans="1:59" x14ac:dyDescent="0.55000000000000004">
      <c r="A55" t="s">
        <v>434</v>
      </c>
      <c r="B55"/>
      <c r="C55" t="s">
        <v>434</v>
      </c>
      <c r="D55" s="29"/>
      <c r="F55" s="5"/>
      <c r="I55" t="s">
        <v>271</v>
      </c>
      <c r="J55"/>
      <c r="K55" t="s">
        <v>271</v>
      </c>
      <c r="L55" s="29"/>
      <c r="X55" s="29"/>
      <c r="AB55" s="29"/>
      <c r="AJ55" s="26"/>
      <c r="AK55" s="26"/>
      <c r="AL55" s="26"/>
      <c r="AM55" s="26"/>
      <c r="AN55" s="26"/>
      <c r="AO55" s="26"/>
      <c r="AP55" s="26"/>
      <c r="AQ55" s="26"/>
      <c r="AR55" s="26"/>
      <c r="AS55" s="26"/>
      <c r="AT55" s="26"/>
      <c r="AU55" s="26"/>
      <c r="AV55" s="26"/>
      <c r="AW55" s="5" t="s">
        <v>729</v>
      </c>
      <c r="AY55" s="5" t="s">
        <v>729</v>
      </c>
      <c r="BE55" t="s">
        <v>282</v>
      </c>
      <c r="BG55" t="s">
        <v>331</v>
      </c>
    </row>
    <row r="56" spans="1:59" x14ac:dyDescent="0.55000000000000004">
      <c r="A56" t="s">
        <v>435</v>
      </c>
      <c r="B56"/>
      <c r="C56" t="s">
        <v>435</v>
      </c>
      <c r="D56" s="29"/>
      <c r="F56" s="5"/>
      <c r="I56" t="s">
        <v>280</v>
      </c>
      <c r="J56"/>
      <c r="K56" t="s">
        <v>271</v>
      </c>
      <c r="L56" s="29"/>
      <c r="X56" s="29"/>
      <c r="AB56" s="29"/>
      <c r="AJ56" s="26"/>
      <c r="AK56" s="26"/>
      <c r="AL56" s="26"/>
      <c r="AM56" s="26"/>
      <c r="AN56" s="26"/>
      <c r="AO56" s="26"/>
      <c r="AP56" s="26"/>
      <c r="AQ56" s="26"/>
      <c r="AR56" s="26"/>
      <c r="AS56" s="26"/>
      <c r="AT56" s="26"/>
      <c r="AU56" s="26"/>
      <c r="AV56" s="26"/>
      <c r="AW56" s="5" t="s">
        <v>734</v>
      </c>
      <c r="AY56" s="5" t="s">
        <v>734</v>
      </c>
      <c r="BE56" t="s">
        <v>283</v>
      </c>
      <c r="BG56" t="s">
        <v>331</v>
      </c>
    </row>
    <row r="57" spans="1:59" x14ac:dyDescent="0.55000000000000004">
      <c r="A57" t="s">
        <v>436</v>
      </c>
      <c r="B57"/>
      <c r="C57" t="s">
        <v>436</v>
      </c>
      <c r="D57" s="29"/>
      <c r="F57" s="5"/>
      <c r="I57" t="s">
        <v>485</v>
      </c>
      <c r="J57"/>
      <c r="K57" t="s">
        <v>267</v>
      </c>
      <c r="L57" s="29"/>
      <c r="X57" s="29"/>
      <c r="AB57" s="29"/>
      <c r="AJ57" s="26"/>
      <c r="AK57" s="26"/>
      <c r="AL57" s="26"/>
      <c r="AM57" s="26"/>
      <c r="AN57" s="26"/>
      <c r="AO57" s="26"/>
      <c r="AP57" s="26"/>
      <c r="AQ57" s="26"/>
      <c r="AR57" s="26"/>
      <c r="AS57" s="26"/>
      <c r="AT57" s="26"/>
      <c r="AU57" s="26"/>
      <c r="AV57" s="26"/>
      <c r="AW57" s="5" t="s">
        <v>714</v>
      </c>
      <c r="AY57" s="5" t="s">
        <v>714</v>
      </c>
      <c r="BE57" t="s">
        <v>284</v>
      </c>
      <c r="BG57" t="s">
        <v>331</v>
      </c>
    </row>
    <row r="58" spans="1:59" x14ac:dyDescent="0.55000000000000004">
      <c r="A58" t="s">
        <v>437</v>
      </c>
      <c r="B58"/>
      <c r="C58" t="s">
        <v>437</v>
      </c>
      <c r="D58" s="29"/>
      <c r="F58" s="5"/>
      <c r="I58" t="s">
        <v>553</v>
      </c>
      <c r="J58"/>
      <c r="K58" t="s">
        <v>267</v>
      </c>
      <c r="L58" s="29"/>
      <c r="X58" s="29"/>
      <c r="AB58" s="29"/>
      <c r="AJ58" s="26"/>
      <c r="AK58" s="26"/>
      <c r="AL58" s="26"/>
      <c r="AM58" s="26"/>
      <c r="AN58" s="26"/>
      <c r="AO58" s="26"/>
      <c r="AP58" s="26"/>
      <c r="AQ58" s="26"/>
      <c r="AR58" s="26"/>
      <c r="AS58" s="26"/>
      <c r="AT58" s="26"/>
      <c r="AU58" s="26"/>
      <c r="AV58" s="26"/>
      <c r="AW58" s="5" t="s">
        <v>725</v>
      </c>
      <c r="AY58" s="5" t="s">
        <v>725</v>
      </c>
      <c r="BE58" t="s">
        <v>285</v>
      </c>
      <c r="BG58" t="s">
        <v>331</v>
      </c>
    </row>
    <row r="59" spans="1:59" x14ac:dyDescent="0.55000000000000004">
      <c r="A59" t="s">
        <v>438</v>
      </c>
      <c r="B59"/>
      <c r="C59" t="s">
        <v>438</v>
      </c>
      <c r="D59" s="29"/>
      <c r="F59" s="5"/>
      <c r="I59" t="s">
        <v>554</v>
      </c>
      <c r="J59"/>
      <c r="K59" t="s">
        <v>267</v>
      </c>
      <c r="L59" s="29"/>
      <c r="X59" s="29"/>
      <c r="AB59" s="29"/>
      <c r="AJ59" s="26"/>
      <c r="AK59" s="26"/>
      <c r="AL59" s="26"/>
      <c r="AM59" s="26"/>
      <c r="AN59" s="26"/>
      <c r="AO59" s="26"/>
      <c r="AP59" s="26"/>
      <c r="AQ59" s="26"/>
      <c r="AR59" s="26"/>
      <c r="AS59" s="26"/>
      <c r="AT59" s="26"/>
      <c r="AU59" s="26"/>
      <c r="AV59" s="26"/>
      <c r="AW59" s="5" t="s">
        <v>694</v>
      </c>
      <c r="AY59" s="5" t="s">
        <v>694</v>
      </c>
      <c r="BE59" t="s">
        <v>286</v>
      </c>
      <c r="BG59" t="s">
        <v>331</v>
      </c>
    </row>
    <row r="60" spans="1:59" x14ac:dyDescent="0.55000000000000004">
      <c r="A60" t="s">
        <v>439</v>
      </c>
      <c r="B60"/>
      <c r="C60" t="s">
        <v>439</v>
      </c>
      <c r="D60" s="29"/>
      <c r="F60" s="5"/>
      <c r="I60" t="s">
        <v>555</v>
      </c>
      <c r="J60"/>
      <c r="K60" t="s">
        <v>267</v>
      </c>
      <c r="L60" s="29"/>
      <c r="X60" s="29"/>
      <c r="AB60" s="29"/>
      <c r="AJ60" s="26"/>
      <c r="AK60" s="26"/>
      <c r="AL60" s="26"/>
      <c r="AM60" s="26"/>
      <c r="AN60" s="26"/>
      <c r="AO60" s="26"/>
      <c r="AP60" s="26"/>
      <c r="AQ60" s="26"/>
      <c r="AR60" s="26"/>
      <c r="AS60" s="26"/>
      <c r="AT60" s="26"/>
      <c r="AU60" s="26"/>
      <c r="AV60" s="26"/>
      <c r="AW60" s="5" t="s">
        <v>736</v>
      </c>
      <c r="AY60" s="5" t="s">
        <v>736</v>
      </c>
      <c r="BE60" t="s">
        <v>287</v>
      </c>
      <c r="BG60" t="s">
        <v>331</v>
      </c>
    </row>
    <row r="61" spans="1:59" x14ac:dyDescent="0.55000000000000004">
      <c r="A61" t="s">
        <v>440</v>
      </c>
      <c r="B61"/>
      <c r="C61" t="s">
        <v>440</v>
      </c>
      <c r="D61" s="29"/>
      <c r="F61" s="5"/>
      <c r="I61" t="s">
        <v>556</v>
      </c>
      <c r="J61"/>
      <c r="K61" t="s">
        <v>268</v>
      </c>
      <c r="L61" s="29"/>
      <c r="X61" s="29"/>
      <c r="AB61" s="29"/>
      <c r="AJ61" s="26"/>
      <c r="AK61" s="26"/>
      <c r="AL61" s="26"/>
      <c r="AM61" s="26"/>
      <c r="AN61" s="26"/>
      <c r="AO61" s="26"/>
      <c r="AP61" s="26"/>
      <c r="AQ61" s="26"/>
      <c r="AR61" s="26"/>
      <c r="AS61" s="26"/>
      <c r="AT61" s="26"/>
      <c r="AU61" s="26"/>
      <c r="AV61" s="26"/>
      <c r="AW61" s="5" t="s">
        <v>695</v>
      </c>
      <c r="AY61" s="5" t="s">
        <v>695</v>
      </c>
      <c r="BE61" t="s">
        <v>288</v>
      </c>
      <c r="BG61" t="s">
        <v>331</v>
      </c>
    </row>
    <row r="62" spans="1:59" x14ac:dyDescent="0.55000000000000004">
      <c r="A62" t="s">
        <v>441</v>
      </c>
      <c r="B62"/>
      <c r="C62" t="s">
        <v>441</v>
      </c>
      <c r="D62" s="29"/>
      <c r="F62" s="5"/>
      <c r="I62" t="s">
        <v>557</v>
      </c>
      <c r="J62"/>
      <c r="K62" t="s">
        <v>265</v>
      </c>
      <c r="L62" s="29"/>
      <c r="X62" s="29"/>
      <c r="AB62" s="29"/>
      <c r="AJ62" s="26"/>
      <c r="AK62" s="26"/>
      <c r="AL62" s="26"/>
      <c r="AM62" s="26"/>
      <c r="AN62" s="26"/>
      <c r="AO62" s="26"/>
      <c r="AP62" s="26"/>
      <c r="AQ62" s="26"/>
      <c r="AR62" s="26"/>
      <c r="AS62" s="26"/>
      <c r="AT62" s="26"/>
      <c r="AU62" s="26"/>
      <c r="AV62" s="26"/>
      <c r="AW62" s="5" t="s">
        <v>732</v>
      </c>
      <c r="AY62" s="5" t="s">
        <v>732</v>
      </c>
      <c r="BE62" t="s">
        <v>393</v>
      </c>
      <c r="BG62" t="s">
        <v>326</v>
      </c>
    </row>
    <row r="63" spans="1:59" x14ac:dyDescent="0.55000000000000004">
      <c r="A63" t="s">
        <v>442</v>
      </c>
      <c r="B63"/>
      <c r="C63" t="s">
        <v>442</v>
      </c>
      <c r="D63" s="29"/>
      <c r="F63" s="5"/>
      <c r="I63" t="s">
        <v>395</v>
      </c>
      <c r="J63"/>
      <c r="K63" t="s">
        <v>268</v>
      </c>
      <c r="L63" s="29"/>
      <c r="X63" s="29"/>
      <c r="AB63" s="29"/>
      <c r="AJ63" s="26"/>
      <c r="AK63" s="26"/>
      <c r="AL63" s="26"/>
      <c r="AM63" s="26"/>
      <c r="AN63" s="26"/>
      <c r="AO63" s="26"/>
      <c r="AP63" s="26"/>
      <c r="AQ63" s="26"/>
      <c r="AR63" s="26"/>
      <c r="AS63" s="26"/>
      <c r="AT63" s="26"/>
      <c r="AU63" s="26"/>
      <c r="AV63" s="26"/>
      <c r="AW63" s="5" t="s">
        <v>698</v>
      </c>
      <c r="AY63" s="5" t="s">
        <v>698</v>
      </c>
      <c r="BE63" t="s">
        <v>289</v>
      </c>
      <c r="BG63" t="s">
        <v>331</v>
      </c>
    </row>
    <row r="64" spans="1:59" x14ac:dyDescent="0.55000000000000004">
      <c r="A64" t="s">
        <v>443</v>
      </c>
      <c r="B64"/>
      <c r="C64" t="s">
        <v>443</v>
      </c>
      <c r="D64" s="29"/>
      <c r="F64" s="5"/>
      <c r="I64" t="s">
        <v>391</v>
      </c>
      <c r="J64"/>
      <c r="K64" t="s">
        <v>267</v>
      </c>
      <c r="L64" s="29"/>
      <c r="X64" s="29"/>
      <c r="AB64" s="29"/>
      <c r="AJ64" s="26"/>
      <c r="AK64" s="26"/>
      <c r="AL64" s="26"/>
      <c r="AM64" s="26"/>
      <c r="AN64" s="26"/>
      <c r="AO64" s="26"/>
      <c r="AP64" s="26"/>
      <c r="AQ64" s="26"/>
      <c r="AR64" s="26"/>
      <c r="AS64" s="26"/>
      <c r="AT64" s="26"/>
      <c r="AU64" s="26"/>
      <c r="AV64" s="26"/>
      <c r="AW64" s="5" t="s">
        <v>700</v>
      </c>
      <c r="AY64" s="5" t="s">
        <v>700</v>
      </c>
      <c r="BE64" t="s">
        <v>290</v>
      </c>
      <c r="BG64" t="s">
        <v>331</v>
      </c>
    </row>
    <row r="65" spans="1:59" x14ac:dyDescent="0.55000000000000004">
      <c r="A65" t="s">
        <v>444</v>
      </c>
      <c r="B65"/>
      <c r="C65" t="s">
        <v>444</v>
      </c>
      <c r="D65" s="29"/>
      <c r="F65" s="5"/>
      <c r="I65" t="s">
        <v>264</v>
      </c>
      <c r="J65"/>
      <c r="K65" t="s">
        <v>267</v>
      </c>
      <c r="L65" s="29"/>
      <c r="X65" s="29"/>
      <c r="AB65" s="29"/>
      <c r="AJ65" s="26"/>
      <c r="AK65" s="26"/>
      <c r="AL65" s="26"/>
      <c r="AM65" s="26"/>
      <c r="AN65" s="26"/>
      <c r="AO65" s="26"/>
      <c r="AP65" s="26"/>
      <c r="AQ65" s="26"/>
      <c r="AR65" s="26"/>
      <c r="AS65" s="26"/>
      <c r="AT65" s="26"/>
      <c r="AU65" s="26"/>
      <c r="AV65" s="26"/>
      <c r="AW65" s="5" t="s">
        <v>728</v>
      </c>
      <c r="AY65" s="5" t="s">
        <v>728</v>
      </c>
      <c r="BE65" t="s">
        <v>291</v>
      </c>
      <c r="BG65" t="s">
        <v>331</v>
      </c>
    </row>
    <row r="66" spans="1:59" x14ac:dyDescent="0.55000000000000004">
      <c r="A66" t="s">
        <v>445</v>
      </c>
      <c r="B66"/>
      <c r="C66" t="s">
        <v>445</v>
      </c>
      <c r="D66" s="29"/>
      <c r="F66" s="5"/>
      <c r="I66" t="s">
        <v>300</v>
      </c>
      <c r="J66"/>
      <c r="K66" t="s">
        <v>267</v>
      </c>
      <c r="L66" s="29"/>
      <c r="X66" s="29"/>
      <c r="AB66" s="29"/>
      <c r="AJ66" s="26"/>
      <c r="AK66" s="26"/>
      <c r="AL66" s="26"/>
      <c r="AM66" s="26"/>
      <c r="AN66" s="26"/>
      <c r="AO66" s="26"/>
      <c r="AP66" s="26"/>
      <c r="AQ66" s="26"/>
      <c r="AR66" s="26"/>
      <c r="AS66" s="26"/>
      <c r="AT66" s="26"/>
      <c r="AU66" s="26"/>
      <c r="AV66" s="26"/>
      <c r="AW66" s="5" t="s">
        <v>747</v>
      </c>
      <c r="AY66" s="5" t="s">
        <v>747</v>
      </c>
      <c r="BE66" t="s">
        <v>292</v>
      </c>
      <c r="BG66" t="s">
        <v>331</v>
      </c>
    </row>
    <row r="67" spans="1:59" x14ac:dyDescent="0.55000000000000004">
      <c r="A67" t="s">
        <v>446</v>
      </c>
      <c r="B67"/>
      <c r="C67" t="s">
        <v>446</v>
      </c>
      <c r="D67" s="29"/>
      <c r="F67" s="5"/>
      <c r="I67" t="s">
        <v>301</v>
      </c>
      <c r="J67"/>
      <c r="K67" t="s">
        <v>267</v>
      </c>
      <c r="L67" s="29"/>
      <c r="X67" s="29"/>
      <c r="AB67" s="29"/>
      <c r="AJ67" s="26"/>
      <c r="AK67" s="26"/>
      <c r="AL67" s="26"/>
      <c r="AM67" s="26"/>
      <c r="AN67" s="26"/>
      <c r="AO67" s="26"/>
      <c r="AP67" s="26"/>
      <c r="AQ67" s="26"/>
      <c r="AR67" s="26"/>
      <c r="AS67" s="26"/>
      <c r="AT67" s="26"/>
      <c r="AU67" s="26"/>
      <c r="AV67" s="26"/>
      <c r="AW67" s="5" t="s">
        <v>753</v>
      </c>
      <c r="AY67" s="5" t="s">
        <v>753</v>
      </c>
      <c r="BE67" t="s">
        <v>293</v>
      </c>
      <c r="BG67" t="s">
        <v>331</v>
      </c>
    </row>
    <row r="68" spans="1:59" x14ac:dyDescent="0.55000000000000004">
      <c r="A68" t="s">
        <v>447</v>
      </c>
      <c r="B68"/>
      <c r="C68" t="s">
        <v>447</v>
      </c>
      <c r="D68" s="29"/>
      <c r="F68" s="5"/>
      <c r="I68" t="s">
        <v>302</v>
      </c>
      <c r="J68"/>
      <c r="K68" t="s">
        <v>182</v>
      </c>
      <c r="L68" s="29"/>
      <c r="X68" s="29"/>
      <c r="AB68" s="29"/>
      <c r="AJ68" s="26"/>
      <c r="AK68" s="26"/>
      <c r="AL68" s="26"/>
      <c r="AM68" s="26"/>
      <c r="AN68" s="26"/>
      <c r="AO68" s="26"/>
      <c r="AP68" s="26"/>
      <c r="AQ68" s="26"/>
      <c r="AR68" s="26"/>
      <c r="AS68" s="26"/>
      <c r="AT68" s="26"/>
      <c r="AU68" s="26"/>
      <c r="AV68" s="26"/>
      <c r="AW68" s="5" t="s">
        <v>721</v>
      </c>
      <c r="AY68" s="5" t="s">
        <v>721</v>
      </c>
      <c r="BE68" t="s">
        <v>296</v>
      </c>
      <c r="BG68" t="s">
        <v>331</v>
      </c>
    </row>
    <row r="69" spans="1:59" x14ac:dyDescent="0.55000000000000004">
      <c r="A69" t="s">
        <v>448</v>
      </c>
      <c r="B69"/>
      <c r="C69" t="s">
        <v>448</v>
      </c>
      <c r="D69" s="29"/>
      <c r="F69" s="5"/>
      <c r="I69" t="s">
        <v>303</v>
      </c>
      <c r="J69"/>
      <c r="K69" t="s">
        <v>191</v>
      </c>
      <c r="L69" s="29"/>
      <c r="X69" s="29"/>
      <c r="AB69" s="29"/>
      <c r="AJ69" s="26"/>
      <c r="AK69" s="26"/>
      <c r="AL69" s="26"/>
      <c r="AM69" s="26"/>
      <c r="AN69" s="26"/>
      <c r="AO69" s="26"/>
      <c r="AP69" s="26"/>
      <c r="AQ69" s="26"/>
      <c r="AR69" s="26"/>
      <c r="AS69" s="26"/>
      <c r="AT69" s="26"/>
      <c r="AU69" s="26"/>
      <c r="AV69" s="26"/>
      <c r="AW69" s="5" t="s">
        <v>751</v>
      </c>
      <c r="AY69" s="5" t="s">
        <v>751</v>
      </c>
      <c r="BE69" t="s">
        <v>297</v>
      </c>
      <c r="BG69" t="s">
        <v>331</v>
      </c>
    </row>
    <row r="70" spans="1:59" x14ac:dyDescent="0.55000000000000004">
      <c r="A70" t="s">
        <v>449</v>
      </c>
      <c r="B70"/>
      <c r="C70" t="s">
        <v>449</v>
      </c>
      <c r="D70" s="29"/>
      <c r="F70" s="5"/>
      <c r="I70" t="s">
        <v>304</v>
      </c>
      <c r="J70"/>
      <c r="K70" t="s">
        <v>228</v>
      </c>
      <c r="L70" s="29"/>
      <c r="X70" s="29"/>
      <c r="AB70" s="29"/>
      <c r="AJ70" s="26"/>
      <c r="AK70" s="26"/>
      <c r="AL70" s="26"/>
      <c r="AM70" s="26"/>
      <c r="AN70" s="26"/>
      <c r="AO70" s="26"/>
      <c r="AP70" s="26"/>
      <c r="AQ70" s="26"/>
      <c r="AR70" s="26"/>
      <c r="AS70" s="26"/>
      <c r="AT70" s="26"/>
      <c r="AU70" s="26"/>
      <c r="AV70" s="26"/>
      <c r="AW70" s="5" t="s">
        <v>719</v>
      </c>
      <c r="AY70" s="5" t="s">
        <v>719</v>
      </c>
      <c r="BE70" t="s">
        <v>298</v>
      </c>
      <c r="BG70" t="s">
        <v>331</v>
      </c>
    </row>
    <row r="71" spans="1:59" x14ac:dyDescent="0.55000000000000004">
      <c r="A71" t="s">
        <v>450</v>
      </c>
      <c r="B71"/>
      <c r="C71" t="s">
        <v>450</v>
      </c>
      <c r="D71" s="29"/>
      <c r="F71" s="5"/>
      <c r="I71" t="s">
        <v>305</v>
      </c>
      <c r="J71"/>
      <c r="K71" t="s">
        <v>268</v>
      </c>
      <c r="L71" s="29"/>
      <c r="X71" s="29"/>
      <c r="AB71" s="29"/>
      <c r="AJ71" s="26"/>
      <c r="AK71" s="26"/>
      <c r="AL71" s="26"/>
      <c r="AM71" s="26"/>
      <c r="AN71" s="26"/>
      <c r="AO71" s="26"/>
      <c r="AP71" s="26"/>
      <c r="AQ71" s="26"/>
      <c r="AR71" s="26"/>
      <c r="AS71" s="26"/>
      <c r="AT71" s="26"/>
      <c r="AU71" s="26"/>
      <c r="AV71" s="26"/>
      <c r="AW71" s="5" t="s">
        <v>720</v>
      </c>
      <c r="AY71" s="5" t="s">
        <v>720</v>
      </c>
      <c r="BE71" t="s">
        <v>299</v>
      </c>
      <c r="BG71" t="s">
        <v>331</v>
      </c>
    </row>
    <row r="72" spans="1:59" x14ac:dyDescent="0.55000000000000004">
      <c r="A72" t="s">
        <v>451</v>
      </c>
      <c r="B72"/>
      <c r="C72" t="s">
        <v>451</v>
      </c>
      <c r="D72" s="29"/>
      <c r="F72" s="5"/>
      <c r="I72" t="s">
        <v>306</v>
      </c>
      <c r="J72"/>
      <c r="K72" t="s">
        <v>269</v>
      </c>
      <c r="L72" s="29"/>
      <c r="X72" s="29"/>
      <c r="AB72" s="29"/>
      <c r="AJ72" s="26"/>
      <c r="AK72" s="26"/>
      <c r="AL72" s="26"/>
      <c r="AM72" s="26"/>
      <c r="AN72" s="26"/>
      <c r="AO72" s="26"/>
      <c r="AP72" s="26"/>
      <c r="AQ72" s="26"/>
      <c r="AR72" s="26"/>
      <c r="AS72" s="26"/>
      <c r="AT72" s="26"/>
      <c r="AU72" s="26"/>
      <c r="AV72" s="26"/>
      <c r="AW72" s="5" t="s">
        <v>722</v>
      </c>
      <c r="AY72" s="5" t="s">
        <v>722</v>
      </c>
      <c r="BE72" t="s">
        <v>294</v>
      </c>
      <c r="BG72" t="s">
        <v>331</v>
      </c>
    </row>
    <row r="73" spans="1:59" x14ac:dyDescent="0.55000000000000004">
      <c r="A73" t="s">
        <v>452</v>
      </c>
      <c r="B73"/>
      <c r="C73" t="s">
        <v>452</v>
      </c>
      <c r="D73" s="29"/>
      <c r="F73" s="5"/>
      <c r="I73" t="s">
        <v>307</v>
      </c>
      <c r="J73"/>
      <c r="K73" t="s">
        <v>270</v>
      </c>
      <c r="L73" s="29"/>
      <c r="X73" s="29"/>
      <c r="AB73" s="29"/>
      <c r="AJ73" s="26"/>
      <c r="AK73" s="26"/>
      <c r="AL73" s="26"/>
      <c r="AM73" s="26"/>
      <c r="AN73" s="26"/>
      <c r="AO73" s="26"/>
      <c r="AP73" s="26"/>
      <c r="AQ73" s="26"/>
      <c r="AR73" s="26"/>
      <c r="AS73" s="26"/>
      <c r="AT73" s="26"/>
      <c r="AU73" s="26"/>
      <c r="AV73" s="26"/>
      <c r="AW73" s="5" t="s">
        <v>718</v>
      </c>
      <c r="AY73" s="5" t="s">
        <v>718</v>
      </c>
      <c r="BE73" t="s">
        <v>558</v>
      </c>
      <c r="BG73" t="s">
        <v>326</v>
      </c>
    </row>
    <row r="74" spans="1:59" x14ac:dyDescent="0.55000000000000004">
      <c r="A74" t="s">
        <v>453</v>
      </c>
      <c r="B74"/>
      <c r="C74" t="s">
        <v>453</v>
      </c>
      <c r="D74" s="29"/>
      <c r="F74" s="5"/>
      <c r="I74" t="s">
        <v>308</v>
      </c>
      <c r="J74"/>
      <c r="K74" t="s">
        <v>179</v>
      </c>
      <c r="L74" s="29"/>
      <c r="X74" s="29"/>
      <c r="AB74" s="29"/>
      <c r="AJ74" s="26"/>
      <c r="AK74" s="26"/>
      <c r="AL74" s="26"/>
      <c r="AM74" s="26"/>
      <c r="AN74" s="26"/>
      <c r="AO74" s="26"/>
      <c r="AP74" s="26"/>
      <c r="AQ74" s="26"/>
      <c r="AR74" s="26"/>
      <c r="AS74" s="26"/>
      <c r="AT74" s="26"/>
      <c r="AU74" s="26"/>
      <c r="AV74" s="26"/>
      <c r="AW74" s="5" t="s">
        <v>752</v>
      </c>
      <c r="AY74" s="5" t="s">
        <v>752</v>
      </c>
      <c r="BE74" t="s">
        <v>295</v>
      </c>
      <c r="BG74" t="s">
        <v>331</v>
      </c>
    </row>
    <row r="75" spans="1:59" x14ac:dyDescent="0.55000000000000004">
      <c r="A75" t="s">
        <v>454</v>
      </c>
      <c r="B75"/>
      <c r="C75" t="s">
        <v>454</v>
      </c>
      <c r="D75" s="29"/>
      <c r="F75" s="5"/>
      <c r="I75" t="s">
        <v>392</v>
      </c>
      <c r="J75"/>
      <c r="K75" t="s">
        <v>267</v>
      </c>
      <c r="L75" s="29"/>
      <c r="X75" s="29"/>
      <c r="AB75" s="29"/>
      <c r="AJ75" s="26"/>
      <c r="AK75" s="26"/>
      <c r="AL75" s="26"/>
      <c r="AM75" s="26"/>
      <c r="AN75" s="26"/>
      <c r="AO75" s="26"/>
      <c r="AP75" s="26"/>
      <c r="AQ75" s="26"/>
      <c r="AR75" s="26"/>
      <c r="AS75" s="26"/>
      <c r="AT75" s="26"/>
      <c r="AU75" s="26"/>
      <c r="AV75" s="26"/>
      <c r="AW75" s="5" t="s">
        <v>683</v>
      </c>
      <c r="AY75" s="5" t="s">
        <v>683</v>
      </c>
      <c r="BE75" s="53"/>
      <c r="BF75" s="26"/>
      <c r="BG75" s="26"/>
    </row>
    <row r="76" spans="1:59" x14ac:dyDescent="0.55000000000000004">
      <c r="A76" t="s">
        <v>455</v>
      </c>
      <c r="B76"/>
      <c r="C76" t="s">
        <v>455</v>
      </c>
      <c r="D76" s="29"/>
      <c r="F76" s="5"/>
      <c r="I76" t="s">
        <v>309</v>
      </c>
      <c r="J76"/>
      <c r="K76" t="s">
        <v>184</v>
      </c>
      <c r="L76" s="29"/>
      <c r="X76" s="29"/>
      <c r="AB76" s="29"/>
      <c r="AJ76" s="26"/>
      <c r="AK76" s="26"/>
      <c r="AL76" s="26"/>
      <c r="AM76" s="26"/>
      <c r="AN76" s="26"/>
      <c r="AO76" s="26"/>
      <c r="AP76" s="26"/>
      <c r="AQ76" s="26"/>
      <c r="AR76" s="26"/>
      <c r="AS76" s="26"/>
      <c r="AT76" s="26"/>
      <c r="AU76" s="26"/>
      <c r="AV76" s="26"/>
      <c r="AW76" s="5" t="s">
        <v>690</v>
      </c>
      <c r="AY76" s="5" t="s">
        <v>690</v>
      </c>
      <c r="BE76" s="53"/>
      <c r="BF76" s="26"/>
      <c r="BG76" s="26"/>
    </row>
    <row r="77" spans="1:59" x14ac:dyDescent="0.55000000000000004">
      <c r="A77" t="s">
        <v>456</v>
      </c>
      <c r="B77"/>
      <c r="C77" t="s">
        <v>456</v>
      </c>
      <c r="D77" s="29"/>
      <c r="F77" s="5"/>
      <c r="I77" t="s">
        <v>310</v>
      </c>
      <c r="J77"/>
      <c r="K77" t="s">
        <v>200</v>
      </c>
      <c r="L77" s="29"/>
      <c r="X77" s="29"/>
      <c r="AB77" s="29"/>
      <c r="AJ77" s="26"/>
      <c r="AK77" s="26"/>
      <c r="AL77" s="26"/>
      <c r="AM77" s="26"/>
      <c r="AN77" s="26"/>
      <c r="AO77" s="26"/>
      <c r="AP77" s="26"/>
      <c r="AQ77" s="26"/>
      <c r="AR77" s="26"/>
      <c r="AS77" s="26"/>
      <c r="AT77" s="26"/>
      <c r="AU77" s="26"/>
      <c r="AV77" s="26"/>
      <c r="AW77" s="5" t="s">
        <v>687</v>
      </c>
      <c r="AY77" s="5" t="s">
        <v>687</v>
      </c>
      <c r="BE77" s="53"/>
      <c r="BF77" s="26"/>
      <c r="BG77" s="26"/>
    </row>
    <row r="78" spans="1:59" x14ac:dyDescent="0.55000000000000004">
      <c r="A78" t="s">
        <v>457</v>
      </c>
      <c r="B78"/>
      <c r="C78" t="s">
        <v>457</v>
      </c>
      <c r="D78" s="29"/>
      <c r="F78" s="5"/>
      <c r="I78" t="s">
        <v>311</v>
      </c>
      <c r="J78"/>
      <c r="K78" t="s">
        <v>175</v>
      </c>
      <c r="L78" s="29"/>
      <c r="X78" s="29"/>
      <c r="AB78" s="29"/>
      <c r="AJ78" s="26"/>
      <c r="AK78" s="26"/>
      <c r="AL78" s="26"/>
      <c r="AM78" s="26"/>
      <c r="AN78" s="26"/>
      <c r="AO78" s="26"/>
      <c r="AP78" s="26"/>
      <c r="AQ78" s="26"/>
      <c r="AR78" s="26"/>
      <c r="AS78" s="26"/>
      <c r="AT78" s="26"/>
      <c r="AU78" s="26"/>
      <c r="AV78" s="26"/>
      <c r="AW78" s="5" t="s">
        <v>685</v>
      </c>
      <c r="AY78" s="5" t="s">
        <v>685</v>
      </c>
      <c r="BE78" s="53"/>
      <c r="BF78" s="26"/>
      <c r="BG78" s="26"/>
    </row>
    <row r="79" spans="1:59" x14ac:dyDescent="0.55000000000000004">
      <c r="A79" t="s">
        <v>458</v>
      </c>
      <c r="B79"/>
      <c r="C79" t="s">
        <v>458</v>
      </c>
      <c r="D79" s="29"/>
      <c r="F79" s="5"/>
      <c r="I79" t="s">
        <v>312</v>
      </c>
      <c r="J79"/>
      <c r="K79" t="s">
        <v>193</v>
      </c>
      <c r="L79" s="29"/>
      <c r="X79" s="29"/>
      <c r="AB79" s="29"/>
      <c r="AJ79" s="26"/>
      <c r="AK79" s="26"/>
      <c r="AL79" s="26"/>
      <c r="AM79" s="26"/>
      <c r="AN79" s="26"/>
      <c r="AO79" s="26"/>
      <c r="AP79" s="26"/>
      <c r="AQ79" s="26"/>
      <c r="AR79" s="26"/>
      <c r="AS79" s="26"/>
      <c r="AT79" s="26"/>
      <c r="AU79" s="26"/>
      <c r="AV79" s="26"/>
      <c r="AW79" s="5" t="s">
        <v>682</v>
      </c>
      <c r="AY79" s="5" t="s">
        <v>682</v>
      </c>
      <c r="BE79" s="53"/>
      <c r="BF79" s="26"/>
      <c r="BG79" s="26"/>
    </row>
    <row r="80" spans="1:59" x14ac:dyDescent="0.55000000000000004">
      <c r="A80" t="s">
        <v>459</v>
      </c>
      <c r="B80"/>
      <c r="C80" t="s">
        <v>459</v>
      </c>
      <c r="D80" s="29"/>
      <c r="F80" s="5"/>
      <c r="I80" t="s">
        <v>313</v>
      </c>
      <c r="J80"/>
      <c r="K80" t="s">
        <v>195</v>
      </c>
      <c r="L80" s="29"/>
      <c r="X80" s="29"/>
      <c r="AB80" s="29"/>
      <c r="AJ80" s="26"/>
      <c r="AK80" s="26"/>
      <c r="AL80" s="26"/>
      <c r="AM80" s="26"/>
      <c r="AN80" s="26"/>
      <c r="AO80" s="26"/>
      <c r="AP80" s="26"/>
      <c r="AQ80" s="26"/>
      <c r="AR80" s="26"/>
      <c r="AS80" s="26"/>
      <c r="AT80" s="26"/>
      <c r="AU80" s="26"/>
      <c r="AV80" s="26"/>
      <c r="AW80" s="5" t="s">
        <v>686</v>
      </c>
      <c r="AY80" s="5" t="s">
        <v>686</v>
      </c>
      <c r="BE80" s="53"/>
      <c r="BF80" s="26"/>
      <c r="BG80" s="26"/>
    </row>
    <row r="81" spans="1:59" x14ac:dyDescent="0.55000000000000004">
      <c r="A81" t="s">
        <v>460</v>
      </c>
      <c r="B81"/>
      <c r="C81" t="s">
        <v>461</v>
      </c>
      <c r="I81" t="s">
        <v>314</v>
      </c>
      <c r="J81"/>
      <c r="K81" t="s">
        <v>221</v>
      </c>
      <c r="AW81" s="5" t="s">
        <v>684</v>
      </c>
      <c r="AY81" s="5" t="s">
        <v>684</v>
      </c>
      <c r="BE81" s="53"/>
      <c r="BF81" s="26"/>
      <c r="BG81" s="26"/>
    </row>
    <row r="82" spans="1:59" x14ac:dyDescent="0.55000000000000004">
      <c r="A82" t="s">
        <v>462</v>
      </c>
      <c r="B82"/>
      <c r="C82" t="s">
        <v>463</v>
      </c>
      <c r="I82" t="s">
        <v>315</v>
      </c>
      <c r="J82"/>
      <c r="K82" t="s">
        <v>266</v>
      </c>
      <c r="AW82" s="5" t="s">
        <v>691</v>
      </c>
      <c r="AY82" s="5" t="s">
        <v>691</v>
      </c>
      <c r="BE82" s="53"/>
      <c r="BF82" s="26"/>
      <c r="BG82" s="26"/>
    </row>
    <row r="83" spans="1:59" x14ac:dyDescent="0.55000000000000004">
      <c r="A83" t="s">
        <v>464</v>
      </c>
      <c r="B83"/>
      <c r="C83" t="s">
        <v>465</v>
      </c>
      <c r="I83" t="s">
        <v>316</v>
      </c>
      <c r="J83"/>
      <c r="K83" t="s">
        <v>271</v>
      </c>
      <c r="AW83" s="5" t="s">
        <v>688</v>
      </c>
      <c r="AY83" s="5" t="s">
        <v>688</v>
      </c>
      <c r="BE83" s="53"/>
      <c r="BF83" s="26"/>
      <c r="BG83" s="26"/>
    </row>
    <row r="84" spans="1:59" x14ac:dyDescent="0.55000000000000004">
      <c r="A84" t="s">
        <v>466</v>
      </c>
      <c r="B84"/>
      <c r="C84" t="s">
        <v>467</v>
      </c>
      <c r="I84" t="s">
        <v>317</v>
      </c>
      <c r="J84"/>
      <c r="K84" t="s">
        <v>164</v>
      </c>
      <c r="AW84" s="5" t="s">
        <v>673</v>
      </c>
      <c r="AY84" s="5" t="s">
        <v>673</v>
      </c>
      <c r="BE84" s="53"/>
      <c r="BF84" s="26"/>
      <c r="BG84" s="26"/>
    </row>
    <row r="85" spans="1:59" x14ac:dyDescent="0.55000000000000004">
      <c r="A85" t="s">
        <v>468</v>
      </c>
      <c r="B85"/>
      <c r="C85" t="s">
        <v>469</v>
      </c>
      <c r="I85" t="s">
        <v>318</v>
      </c>
      <c r="J85"/>
      <c r="K85" t="s">
        <v>188</v>
      </c>
      <c r="AW85" s="5" t="s">
        <v>692</v>
      </c>
      <c r="AY85" s="5" t="s">
        <v>692</v>
      </c>
      <c r="BE85" s="53"/>
      <c r="BF85" s="26"/>
      <c r="BG85" s="26"/>
    </row>
    <row r="86" spans="1:59" x14ac:dyDescent="0.55000000000000004">
      <c r="A86" t="s">
        <v>470</v>
      </c>
      <c r="B86"/>
      <c r="C86" t="s">
        <v>471</v>
      </c>
      <c r="I86" t="s">
        <v>388</v>
      </c>
      <c r="J86"/>
      <c r="K86" t="s">
        <v>267</v>
      </c>
      <c r="AW86" s="5" t="s">
        <v>689</v>
      </c>
      <c r="AY86" s="5" t="s">
        <v>689</v>
      </c>
      <c r="BE86" s="53"/>
      <c r="BF86" s="26"/>
      <c r="BG86" s="26"/>
    </row>
    <row r="87" spans="1:59" x14ac:dyDescent="0.55000000000000004">
      <c r="A87" t="s">
        <v>472</v>
      </c>
      <c r="B87"/>
      <c r="C87" t="s">
        <v>473</v>
      </c>
      <c r="I87" t="s">
        <v>319</v>
      </c>
      <c r="J87"/>
      <c r="K87" t="s">
        <v>192</v>
      </c>
      <c r="AW87" s="5" t="s">
        <v>671</v>
      </c>
      <c r="AY87" s="5" t="s">
        <v>671</v>
      </c>
      <c r="BE87" s="53"/>
      <c r="BF87" s="26"/>
      <c r="BG87" s="26"/>
    </row>
    <row r="88" spans="1:59" x14ac:dyDescent="0.55000000000000004">
      <c r="A88" t="s">
        <v>474</v>
      </c>
      <c r="B88"/>
      <c r="C88" t="s">
        <v>475</v>
      </c>
      <c r="I88" t="s">
        <v>320</v>
      </c>
      <c r="J88"/>
      <c r="K88" t="s">
        <v>218</v>
      </c>
      <c r="AW88" s="5" t="s">
        <v>666</v>
      </c>
      <c r="AY88" s="5" t="s">
        <v>666</v>
      </c>
      <c r="BE88" s="53"/>
      <c r="BF88" s="26"/>
      <c r="BG88" s="26"/>
    </row>
    <row r="89" spans="1:59" x14ac:dyDescent="0.55000000000000004">
      <c r="A89" t="s">
        <v>476</v>
      </c>
      <c r="B89"/>
      <c r="C89" t="s">
        <v>477</v>
      </c>
      <c r="I89" t="s">
        <v>281</v>
      </c>
      <c r="J89"/>
      <c r="K89" t="s">
        <v>182</v>
      </c>
      <c r="AW89" s="5" t="s">
        <v>670</v>
      </c>
      <c r="AY89" s="5" t="s">
        <v>670</v>
      </c>
      <c r="BE89" s="53"/>
      <c r="BF89" s="26"/>
      <c r="BG89" s="26"/>
    </row>
    <row r="90" spans="1:59" x14ac:dyDescent="0.55000000000000004">
      <c r="A90" t="s">
        <v>478</v>
      </c>
      <c r="B90"/>
      <c r="C90" t="s">
        <v>479</v>
      </c>
      <c r="I90" t="s">
        <v>282</v>
      </c>
      <c r="J90"/>
      <c r="K90" t="s">
        <v>191</v>
      </c>
      <c r="AW90" s="5" t="s">
        <v>667</v>
      </c>
      <c r="AY90" s="5" t="s">
        <v>667</v>
      </c>
      <c r="BE90" s="53"/>
      <c r="BF90" s="26"/>
      <c r="BG90" s="26"/>
    </row>
    <row r="91" spans="1:59" x14ac:dyDescent="0.55000000000000004">
      <c r="A91" t="s">
        <v>43</v>
      </c>
      <c r="B91"/>
      <c r="C91" t="s">
        <v>27</v>
      </c>
      <c r="I91" t="s">
        <v>283</v>
      </c>
      <c r="J91"/>
      <c r="K91" t="s">
        <v>228</v>
      </c>
      <c r="AW91" s="5" t="s">
        <v>663</v>
      </c>
      <c r="AY91" s="5" t="s">
        <v>663</v>
      </c>
      <c r="BE91" s="53"/>
      <c r="BF91" s="26"/>
      <c r="BG91" s="26"/>
    </row>
    <row r="92" spans="1:59" x14ac:dyDescent="0.55000000000000004">
      <c r="A92" t="s">
        <v>42</v>
      </c>
      <c r="B92"/>
      <c r="C92" t="s">
        <v>21</v>
      </c>
      <c r="I92" t="s">
        <v>284</v>
      </c>
      <c r="J92"/>
      <c r="K92" t="s">
        <v>268</v>
      </c>
      <c r="AW92" s="5" t="s">
        <v>665</v>
      </c>
      <c r="AY92" s="5" t="s">
        <v>665</v>
      </c>
      <c r="BE92" s="53"/>
      <c r="BF92" s="26"/>
      <c r="BG92" s="26"/>
    </row>
    <row r="93" spans="1:59" x14ac:dyDescent="0.55000000000000004">
      <c r="A93" t="s">
        <v>41</v>
      </c>
      <c r="B93"/>
      <c r="C93" t="s">
        <v>19</v>
      </c>
      <c r="I93" t="s">
        <v>285</v>
      </c>
      <c r="J93"/>
      <c r="K93" t="s">
        <v>269</v>
      </c>
      <c r="AW93" s="5" t="s">
        <v>672</v>
      </c>
      <c r="AY93" s="5" t="s">
        <v>672</v>
      </c>
      <c r="BE93" s="53"/>
      <c r="BF93" s="26"/>
      <c r="BG93" s="26"/>
    </row>
    <row r="94" spans="1:59" x14ac:dyDescent="0.55000000000000004">
      <c r="A94" t="s">
        <v>92</v>
      </c>
      <c r="B94"/>
      <c r="C94" t="s">
        <v>650</v>
      </c>
      <c r="I94" t="s">
        <v>286</v>
      </c>
      <c r="J94"/>
      <c r="K94" t="s">
        <v>270</v>
      </c>
      <c r="AW94" s="5" t="s">
        <v>674</v>
      </c>
      <c r="AY94" s="5" t="s">
        <v>674</v>
      </c>
    </row>
    <row r="95" spans="1:59" x14ac:dyDescent="0.55000000000000004">
      <c r="A95" t="s">
        <v>552</v>
      </c>
      <c r="B95"/>
      <c r="C95" t="s">
        <v>651</v>
      </c>
      <c r="I95" t="s">
        <v>287</v>
      </c>
      <c r="J95"/>
      <c r="K95" t="s">
        <v>179</v>
      </c>
      <c r="AW95" s="5" t="s">
        <v>668</v>
      </c>
      <c r="AY95" s="5" t="s">
        <v>668</v>
      </c>
    </row>
    <row r="96" spans="1:59" x14ac:dyDescent="0.55000000000000004">
      <c r="A96" t="s">
        <v>553</v>
      </c>
      <c r="B96"/>
      <c r="C96" t="s">
        <v>652</v>
      </c>
      <c r="I96" t="s">
        <v>288</v>
      </c>
      <c r="J96"/>
      <c r="K96" t="s">
        <v>184</v>
      </c>
      <c r="AW96" s="5" t="s">
        <v>662</v>
      </c>
      <c r="AY96" s="5" t="s">
        <v>662</v>
      </c>
    </row>
    <row r="97" spans="1:51" x14ac:dyDescent="0.55000000000000004">
      <c r="A97" t="s">
        <v>554</v>
      </c>
      <c r="B97"/>
      <c r="C97" t="s">
        <v>653</v>
      </c>
      <c r="I97" t="s">
        <v>393</v>
      </c>
      <c r="J97"/>
      <c r="K97" t="s">
        <v>268</v>
      </c>
      <c r="AW97" s="5" t="s">
        <v>669</v>
      </c>
      <c r="AY97" s="5" t="s">
        <v>669</v>
      </c>
    </row>
    <row r="98" spans="1:51" x14ac:dyDescent="0.55000000000000004">
      <c r="A98" t="s">
        <v>555</v>
      </c>
      <c r="B98"/>
      <c r="C98" t="s">
        <v>654</v>
      </c>
      <c r="I98" t="s">
        <v>289</v>
      </c>
      <c r="J98"/>
      <c r="K98" t="s">
        <v>200</v>
      </c>
      <c r="AW98" s="5" t="s">
        <v>664</v>
      </c>
      <c r="AY98" s="5" t="s">
        <v>664</v>
      </c>
    </row>
    <row r="99" spans="1:51" x14ac:dyDescent="0.55000000000000004">
      <c r="A99" t="s">
        <v>556</v>
      </c>
      <c r="B99"/>
      <c r="C99" t="s">
        <v>655</v>
      </c>
      <c r="I99" t="s">
        <v>290</v>
      </c>
      <c r="J99"/>
      <c r="K99" t="s">
        <v>175</v>
      </c>
    </row>
    <row r="100" spans="1:51" x14ac:dyDescent="0.55000000000000004">
      <c r="A100" t="s">
        <v>557</v>
      </c>
      <c r="B100"/>
      <c r="C100" t="s">
        <v>656</v>
      </c>
      <c r="I100" t="s">
        <v>291</v>
      </c>
      <c r="J100"/>
      <c r="K100" t="s">
        <v>193</v>
      </c>
    </row>
    <row r="101" spans="1:51" x14ac:dyDescent="0.55000000000000004">
      <c r="A101" t="s">
        <v>225</v>
      </c>
      <c r="B101"/>
      <c r="C101" t="s">
        <v>650</v>
      </c>
      <c r="I101" t="s">
        <v>292</v>
      </c>
      <c r="J101"/>
      <c r="K101" t="s">
        <v>195</v>
      </c>
    </row>
    <row r="102" spans="1:51" x14ac:dyDescent="0.55000000000000004">
      <c r="A102" t="s">
        <v>390</v>
      </c>
      <c r="B102"/>
      <c r="C102" t="s">
        <v>651</v>
      </c>
      <c r="I102" t="s">
        <v>293</v>
      </c>
      <c r="J102"/>
      <c r="K102" t="s">
        <v>221</v>
      </c>
    </row>
    <row r="103" spans="1:51" x14ac:dyDescent="0.55000000000000004">
      <c r="A103" t="s">
        <v>391</v>
      </c>
      <c r="B103"/>
      <c r="C103" t="s">
        <v>652</v>
      </c>
      <c r="I103" t="s">
        <v>296</v>
      </c>
      <c r="J103"/>
      <c r="K103" t="s">
        <v>164</v>
      </c>
    </row>
    <row r="104" spans="1:51" x14ac:dyDescent="0.55000000000000004">
      <c r="A104" t="s">
        <v>392</v>
      </c>
      <c r="B104"/>
      <c r="C104" t="s">
        <v>653</v>
      </c>
      <c r="I104" t="s">
        <v>297</v>
      </c>
      <c r="J104"/>
      <c r="K104" t="s">
        <v>188</v>
      </c>
    </row>
    <row r="105" spans="1:51" x14ac:dyDescent="0.55000000000000004">
      <c r="A105" t="s">
        <v>388</v>
      </c>
      <c r="B105"/>
      <c r="C105" t="s">
        <v>654</v>
      </c>
      <c r="I105" t="s">
        <v>298</v>
      </c>
      <c r="J105"/>
      <c r="K105" t="s">
        <v>192</v>
      </c>
    </row>
    <row r="106" spans="1:51" x14ac:dyDescent="0.55000000000000004">
      <c r="A106" t="s">
        <v>393</v>
      </c>
      <c r="B106"/>
      <c r="C106" t="s">
        <v>655</v>
      </c>
      <c r="I106" t="s">
        <v>299</v>
      </c>
      <c r="J106"/>
      <c r="K106" t="s">
        <v>218</v>
      </c>
    </row>
    <row r="107" spans="1:51" x14ac:dyDescent="0.55000000000000004">
      <c r="A107" t="s">
        <v>558</v>
      </c>
      <c r="B107"/>
      <c r="C107" t="s">
        <v>656</v>
      </c>
      <c r="I107" t="s">
        <v>294</v>
      </c>
      <c r="J107"/>
      <c r="K107" t="s">
        <v>266</v>
      </c>
    </row>
    <row r="108" spans="1:51" x14ac:dyDescent="0.55000000000000004">
      <c r="I108" t="s">
        <v>558</v>
      </c>
      <c r="J108"/>
      <c r="K108" t="s">
        <v>265</v>
      </c>
    </row>
    <row r="109" spans="1:51" x14ac:dyDescent="0.55000000000000004">
      <c r="I109" t="s">
        <v>295</v>
      </c>
      <c r="J109"/>
      <c r="K109" t="s">
        <v>271</v>
      </c>
    </row>
    <row r="110" spans="1:51" x14ac:dyDescent="0.55000000000000004">
      <c r="I110" s="53"/>
      <c r="K110" s="26"/>
    </row>
    <row r="111" spans="1:51" x14ac:dyDescent="0.55000000000000004">
      <c r="I111" s="53"/>
      <c r="K111" s="26"/>
    </row>
    <row r="112" spans="1:51" x14ac:dyDescent="0.55000000000000004">
      <c r="I112" s="53"/>
    </row>
    <row r="113" spans="9:11" x14ac:dyDescent="0.55000000000000004">
      <c r="I113" s="53"/>
    </row>
    <row r="114" spans="9:11" x14ac:dyDescent="0.55000000000000004">
      <c r="I114" s="53"/>
    </row>
    <row r="115" spans="9:11" x14ac:dyDescent="0.55000000000000004">
      <c r="I115" s="53"/>
    </row>
    <row r="116" spans="9:11" x14ac:dyDescent="0.55000000000000004">
      <c r="I116" s="53"/>
    </row>
    <row r="117" spans="9:11" x14ac:dyDescent="0.55000000000000004">
      <c r="I117" s="53"/>
    </row>
    <row r="118" spans="9:11" x14ac:dyDescent="0.55000000000000004">
      <c r="I118" s="53"/>
    </row>
    <row r="119" spans="9:11" x14ac:dyDescent="0.55000000000000004">
      <c r="I119" s="53"/>
    </row>
    <row r="120" spans="9:11" x14ac:dyDescent="0.55000000000000004">
      <c r="I120" s="53"/>
      <c r="K120" s="26"/>
    </row>
    <row r="121" spans="9:11" x14ac:dyDescent="0.55000000000000004">
      <c r="I121" s="53"/>
      <c r="K121" s="26"/>
    </row>
    <row r="122" spans="9:11" x14ac:dyDescent="0.55000000000000004">
      <c r="I122" s="53"/>
      <c r="K122" s="26"/>
    </row>
    <row r="123" spans="9:11" x14ac:dyDescent="0.55000000000000004">
      <c r="I123" s="53"/>
      <c r="K123" s="26"/>
    </row>
    <row r="124" spans="9:11" x14ac:dyDescent="0.55000000000000004">
      <c r="I124" s="53"/>
      <c r="K124" s="26"/>
    </row>
    <row r="125" spans="9:11" x14ac:dyDescent="0.55000000000000004">
      <c r="I125" s="53"/>
      <c r="K125" s="26"/>
    </row>
    <row r="126" spans="9:11" x14ac:dyDescent="0.55000000000000004">
      <c r="I126" s="53"/>
      <c r="K126" s="26"/>
    </row>
    <row r="127" spans="9:11" x14ac:dyDescent="0.55000000000000004">
      <c r="I127" s="53"/>
      <c r="K127" s="26"/>
    </row>
    <row r="128" spans="9:11" x14ac:dyDescent="0.55000000000000004">
      <c r="I128" s="53"/>
      <c r="K128" s="26"/>
    </row>
    <row r="129" spans="9:9" x14ac:dyDescent="0.55000000000000004">
      <c r="I129" s="53"/>
    </row>
  </sheetData>
  <sortState xmlns:xlrd2="http://schemas.microsoft.com/office/spreadsheetml/2017/richdata2" ref="AW4:AY99">
    <sortCondition ref="AW3"/>
  </sortState>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S97"/>
  <sheetViews>
    <sheetView topLeftCell="A61" workbookViewId="0">
      <selection activeCell="C81" sqref="C81"/>
    </sheetView>
  </sheetViews>
  <sheetFormatPr defaultRowHeight="14.4" x14ac:dyDescent="0.55000000000000004"/>
  <cols>
    <col min="1" max="1" width="9.20703125" style="5"/>
    <col min="2" max="2" width="16.3671875" style="5" customWidth="1"/>
    <col min="3" max="3" width="9.20703125" style="5"/>
    <col min="4" max="4" width="13.5234375" style="5" customWidth="1"/>
    <col min="5" max="5" width="15" customWidth="1"/>
    <col min="6" max="6" width="4.5234375" customWidth="1"/>
    <col min="16" max="16" width="10.68359375" bestFit="1" customWidth="1"/>
    <col min="18" max="18" width="10.68359375" bestFit="1" customWidth="1"/>
    <col min="19" max="19" width="10.68359375" style="26" customWidth="1"/>
    <col min="20" max="20" width="10.68359375" bestFit="1" customWidth="1"/>
  </cols>
  <sheetData>
    <row r="1" spans="1:10" ht="45.6" customHeight="1" x14ac:dyDescent="0.55000000000000004">
      <c r="A1" s="5" t="s">
        <v>256</v>
      </c>
      <c r="B1" s="5" t="s">
        <v>257</v>
      </c>
      <c r="C1" s="5" t="s">
        <v>258</v>
      </c>
      <c r="D1" s="5" t="s">
        <v>259</v>
      </c>
      <c r="E1" s="41" t="s">
        <v>370</v>
      </c>
      <c r="F1" s="33"/>
      <c r="G1" s="5"/>
      <c r="H1" s="5"/>
      <c r="I1" s="5"/>
      <c r="J1" s="5"/>
    </row>
    <row r="2" spans="1:10" x14ac:dyDescent="0.55000000000000004">
      <c r="A2" s="5" t="s">
        <v>260</v>
      </c>
      <c r="B2" s="5" t="s">
        <v>658</v>
      </c>
      <c r="C2" s="5" t="s">
        <v>261</v>
      </c>
      <c r="D2" s="5" t="s">
        <v>754</v>
      </c>
      <c r="E2" t="b">
        <f>IF(B2="", "",OR(COUNTIF(Validated!D:D,B2)&gt;0,COUNTIF(Validated!D:D,B2)&gt;0))</f>
        <v>1</v>
      </c>
    </row>
    <row r="3" spans="1:10" x14ac:dyDescent="0.55000000000000004">
      <c r="A3" s="5" t="s">
        <v>517</v>
      </c>
      <c r="B3" s="5" t="s">
        <v>659</v>
      </c>
      <c r="C3" s="5" t="s">
        <v>261</v>
      </c>
      <c r="D3" s="5" t="s">
        <v>754</v>
      </c>
      <c r="E3" t="b">
        <f>IF(B3="", "",OR(COUNTIF(Validated!D:D,B3)&gt;0,COUNTIF(Validated!D:D,B3)&gt;0))</f>
        <v>1</v>
      </c>
    </row>
    <row r="4" spans="1:10" x14ac:dyDescent="0.55000000000000004">
      <c r="A4" s="5" t="s">
        <v>518</v>
      </c>
      <c r="B4" s="5" t="s">
        <v>660</v>
      </c>
      <c r="C4" s="5" t="s">
        <v>261</v>
      </c>
      <c r="D4" s="5" t="s">
        <v>754</v>
      </c>
      <c r="E4" t="b">
        <f>IF(B4="", "",OR(COUNTIF(Validated!D:D,B4)&gt;0,COUNTIF(Validated!D:D,B4)&gt;0))</f>
        <v>1</v>
      </c>
    </row>
    <row r="5" spans="1:10" x14ac:dyDescent="0.55000000000000004">
      <c r="A5" s="5" t="s">
        <v>519</v>
      </c>
      <c r="B5" s="5" t="s">
        <v>661</v>
      </c>
      <c r="C5" s="5" t="s">
        <v>261</v>
      </c>
      <c r="D5" s="5" t="s">
        <v>754</v>
      </c>
      <c r="E5" t="b">
        <f>IF(B5="", "",OR(COUNTIF(Validated!D:D,B5)&gt;0,COUNTIF(Validated!D:D,B5)&gt;0))</f>
        <v>1</v>
      </c>
    </row>
    <row r="6" spans="1:10" x14ac:dyDescent="0.55000000000000004">
      <c r="A6" s="5" t="s">
        <v>520</v>
      </c>
      <c r="B6" s="5" t="s">
        <v>662</v>
      </c>
      <c r="C6" s="5" t="s">
        <v>261</v>
      </c>
      <c r="D6" s="5" t="s">
        <v>754</v>
      </c>
      <c r="E6" t="b">
        <f>IF(B6="", "",OR(COUNTIF(Validated!D:D,B6)&gt;0,COUNTIF(Validated!D:D,B6)&gt;0))</f>
        <v>1</v>
      </c>
    </row>
    <row r="7" spans="1:10" x14ac:dyDescent="0.55000000000000004">
      <c r="A7" s="5" t="s">
        <v>521</v>
      </c>
      <c r="B7" s="5" t="s">
        <v>663</v>
      </c>
      <c r="C7" s="5" t="s">
        <v>261</v>
      </c>
      <c r="D7" s="5" t="s">
        <v>754</v>
      </c>
      <c r="E7" t="b">
        <f>IF(B7="", "",OR(COUNTIF(Validated!D:D,B7)&gt;0,COUNTIF(Validated!D:D,B7)&gt;0))</f>
        <v>1</v>
      </c>
    </row>
    <row r="8" spans="1:10" x14ac:dyDescent="0.55000000000000004">
      <c r="A8" s="5" t="s">
        <v>522</v>
      </c>
      <c r="B8" s="5" t="s">
        <v>664</v>
      </c>
      <c r="C8" s="5" t="s">
        <v>261</v>
      </c>
      <c r="D8" s="5" t="s">
        <v>754</v>
      </c>
      <c r="E8" t="b">
        <f>IF(B8="", "",OR(COUNTIF(Validated!D:D,B8)&gt;0,COUNTIF(Validated!D:D,B8)&gt;0))</f>
        <v>1</v>
      </c>
    </row>
    <row r="9" spans="1:10" x14ac:dyDescent="0.55000000000000004">
      <c r="A9" s="5" t="s">
        <v>523</v>
      </c>
      <c r="B9" s="5" t="s">
        <v>665</v>
      </c>
      <c r="C9" s="5" t="s">
        <v>261</v>
      </c>
      <c r="D9" s="5" t="s">
        <v>754</v>
      </c>
      <c r="E9" t="b">
        <f>IF(B9="", "",OR(COUNTIF(Validated!D:D,B9)&gt;0,COUNTIF(Validated!D:D,B9)&gt;0))</f>
        <v>1</v>
      </c>
    </row>
    <row r="10" spans="1:10" x14ac:dyDescent="0.55000000000000004">
      <c r="A10" s="5" t="s">
        <v>355</v>
      </c>
      <c r="B10" s="5" t="s">
        <v>666</v>
      </c>
      <c r="C10" s="5" t="s">
        <v>261</v>
      </c>
      <c r="D10" s="5" t="s">
        <v>754</v>
      </c>
      <c r="E10" t="b">
        <f>IF(B10="", "",OR(COUNTIF(Validated!D:D,B10)&gt;0,COUNTIF(Validated!D:D,B10)&gt;0))</f>
        <v>1</v>
      </c>
    </row>
    <row r="11" spans="1:10" x14ac:dyDescent="0.55000000000000004">
      <c r="A11" s="5" t="s">
        <v>524</v>
      </c>
      <c r="B11" s="5" t="s">
        <v>667</v>
      </c>
      <c r="C11" s="5" t="s">
        <v>261</v>
      </c>
      <c r="D11" s="5" t="s">
        <v>754</v>
      </c>
      <c r="E11" t="b">
        <f>IF(B11="", "",OR(COUNTIF(Validated!D:D,B11)&gt;0,COUNTIF(Validated!D:D,B11)&gt;0))</f>
        <v>1</v>
      </c>
    </row>
    <row r="12" spans="1:10" x14ac:dyDescent="0.55000000000000004">
      <c r="A12" s="5" t="s">
        <v>525</v>
      </c>
      <c r="B12" s="5" t="s">
        <v>668</v>
      </c>
      <c r="C12" s="5" t="s">
        <v>261</v>
      </c>
      <c r="D12" s="5" t="s">
        <v>754</v>
      </c>
      <c r="E12" t="b">
        <f>IF(B12="", "",OR(COUNTIF(Validated!D:D,B12)&gt;0,COUNTIF(Validated!D:D,B12)&gt;0))</f>
        <v>1</v>
      </c>
    </row>
    <row r="13" spans="1:10" x14ac:dyDescent="0.55000000000000004">
      <c r="A13" s="5" t="s">
        <v>526</v>
      </c>
      <c r="B13" s="5" t="s">
        <v>669</v>
      </c>
      <c r="C13" s="5" t="s">
        <v>261</v>
      </c>
      <c r="D13" s="5" t="s">
        <v>754</v>
      </c>
      <c r="E13" t="b">
        <f>IF(B13="", "",OR(COUNTIF(Validated!D:D,B13)&gt;0,COUNTIF(Validated!D:D,B13)&gt;0))</f>
        <v>1</v>
      </c>
    </row>
    <row r="14" spans="1:10" x14ac:dyDescent="0.55000000000000004">
      <c r="A14" s="5" t="s">
        <v>527</v>
      </c>
      <c r="B14" s="5" t="s">
        <v>670</v>
      </c>
      <c r="C14" s="5" t="s">
        <v>261</v>
      </c>
      <c r="D14" s="5" t="s">
        <v>754</v>
      </c>
      <c r="E14" t="b">
        <f>IF(B14="", "",OR(COUNTIF(Validated!D:D,B14)&gt;0,COUNTIF(Validated!D:D,B14)&gt;0))</f>
        <v>1</v>
      </c>
    </row>
    <row r="15" spans="1:10" x14ac:dyDescent="0.55000000000000004">
      <c r="A15" s="5" t="s">
        <v>528</v>
      </c>
      <c r="B15" s="5" t="s">
        <v>671</v>
      </c>
      <c r="C15" s="5" t="s">
        <v>261</v>
      </c>
      <c r="D15" s="5" t="s">
        <v>754</v>
      </c>
      <c r="E15" t="b">
        <f>IF(B15="", "",OR(COUNTIF(Validated!D:D,B15)&gt;0,COUNTIF(Validated!D:D,B15)&gt;0))</f>
        <v>1</v>
      </c>
    </row>
    <row r="16" spans="1:10" x14ac:dyDescent="0.55000000000000004">
      <c r="A16" s="5" t="s">
        <v>529</v>
      </c>
      <c r="B16" s="5" t="s">
        <v>672</v>
      </c>
      <c r="C16" s="5" t="s">
        <v>261</v>
      </c>
      <c r="D16" s="5" t="s">
        <v>754</v>
      </c>
      <c r="E16" t="b">
        <f>IF(B16="", "",OR(COUNTIF(Validated!D:D,B16)&gt;0,COUNTIF(Validated!D:D,B16)&gt;0))</f>
        <v>1</v>
      </c>
    </row>
    <row r="17" spans="1:5" x14ac:dyDescent="0.55000000000000004">
      <c r="A17" s="5" t="s">
        <v>530</v>
      </c>
      <c r="B17" s="5" t="s">
        <v>673</v>
      </c>
      <c r="C17" s="5" t="s">
        <v>261</v>
      </c>
      <c r="D17" s="5" t="s">
        <v>754</v>
      </c>
      <c r="E17" t="b">
        <f>IF(B17="", "",OR(COUNTIF(Validated!D:D,B17)&gt;0,COUNTIF(Validated!D:D,B17)&gt;0))</f>
        <v>1</v>
      </c>
    </row>
    <row r="18" spans="1:5" x14ac:dyDescent="0.55000000000000004">
      <c r="A18" s="5" t="s">
        <v>356</v>
      </c>
      <c r="B18" s="5" t="s">
        <v>674</v>
      </c>
      <c r="C18" s="5" t="s">
        <v>261</v>
      </c>
      <c r="D18" s="5" t="s">
        <v>754</v>
      </c>
      <c r="E18" t="b">
        <f>IF(B18="", "",OR(COUNTIF(Validated!D:D,B18)&gt;0,COUNTIF(Validated!D:D,B18)&gt;0))</f>
        <v>1</v>
      </c>
    </row>
    <row r="19" spans="1:5" x14ac:dyDescent="0.55000000000000004">
      <c r="A19" s="5" t="s">
        <v>531</v>
      </c>
      <c r="B19" s="5" t="s">
        <v>675</v>
      </c>
      <c r="C19" s="5" t="s">
        <v>261</v>
      </c>
      <c r="D19" s="5" t="s">
        <v>754</v>
      </c>
      <c r="E19" t="b">
        <f>IF(B19="", "",OR(COUNTIF(Validated!D:D,B19)&gt;0,COUNTIF(Validated!D:D,B19)&gt;0))</f>
        <v>1</v>
      </c>
    </row>
    <row r="20" spans="1:5" x14ac:dyDescent="0.55000000000000004">
      <c r="A20" s="5" t="s">
        <v>532</v>
      </c>
      <c r="B20" s="5" t="s">
        <v>676</v>
      </c>
      <c r="C20" s="5" t="s">
        <v>261</v>
      </c>
      <c r="D20" s="5" t="s">
        <v>754</v>
      </c>
      <c r="E20" t="b">
        <f>IF(B20="", "",OR(COUNTIF(Validated!D:D,B20)&gt;0,COUNTIF(Validated!D:D,B20)&gt;0))</f>
        <v>1</v>
      </c>
    </row>
    <row r="21" spans="1:5" x14ac:dyDescent="0.55000000000000004">
      <c r="A21" s="5" t="s">
        <v>533</v>
      </c>
      <c r="B21" s="5" t="s">
        <v>677</v>
      </c>
      <c r="C21" s="5" t="s">
        <v>261</v>
      </c>
      <c r="D21" s="5" t="s">
        <v>754</v>
      </c>
      <c r="E21" t="b">
        <f>IF(B21="", "",OR(COUNTIF(Validated!D:D,B21)&gt;0,COUNTIF(Validated!D:D,B21)&gt;0))</f>
        <v>1</v>
      </c>
    </row>
    <row r="22" spans="1:5" x14ac:dyDescent="0.55000000000000004">
      <c r="A22" s="5" t="s">
        <v>534</v>
      </c>
      <c r="B22" s="5" t="s">
        <v>678</v>
      </c>
      <c r="C22" s="5" t="s">
        <v>261</v>
      </c>
      <c r="D22" s="5" t="s">
        <v>754</v>
      </c>
      <c r="E22" t="b">
        <f>IF(B22="", "",OR(COUNTIF(Validated!D:D,B22)&gt;0,COUNTIF(Validated!D:D,B22)&gt;0))</f>
        <v>1</v>
      </c>
    </row>
    <row r="23" spans="1:5" x14ac:dyDescent="0.55000000000000004">
      <c r="A23" s="5" t="s">
        <v>535</v>
      </c>
      <c r="B23" s="5" t="s">
        <v>679</v>
      </c>
      <c r="C23" s="5" t="s">
        <v>261</v>
      </c>
      <c r="D23" s="5" t="s">
        <v>754</v>
      </c>
      <c r="E23" t="b">
        <f>IF(B23="", "",OR(COUNTIF(Validated!D:D,B23)&gt;0,COUNTIF(Validated!D:D,B23)&gt;0))</f>
        <v>1</v>
      </c>
    </row>
    <row r="24" spans="1:5" x14ac:dyDescent="0.55000000000000004">
      <c r="A24" s="5" t="s">
        <v>536</v>
      </c>
      <c r="B24" s="5" t="s">
        <v>680</v>
      </c>
      <c r="C24" s="5" t="s">
        <v>261</v>
      </c>
      <c r="D24" s="5" t="s">
        <v>754</v>
      </c>
      <c r="E24" t="b">
        <f>IF(B24="", "",OR(COUNTIF(Validated!D:D,B24)&gt;0,COUNTIF(Validated!D:D,B24)&gt;0))</f>
        <v>1</v>
      </c>
    </row>
    <row r="25" spans="1:5" x14ac:dyDescent="0.55000000000000004">
      <c r="A25" s="5" t="s">
        <v>537</v>
      </c>
      <c r="B25" s="5" t="s">
        <v>681</v>
      </c>
      <c r="C25" s="5" t="s">
        <v>261</v>
      </c>
      <c r="D25" s="5" t="s">
        <v>754</v>
      </c>
      <c r="E25" t="b">
        <f>IF(B25="", "",OR(COUNTIF(Validated!D:D,B25)&gt;0,COUNTIF(Validated!D:D,B25)&gt;0))</f>
        <v>1</v>
      </c>
    </row>
    <row r="26" spans="1:5" x14ac:dyDescent="0.55000000000000004">
      <c r="A26" s="5" t="s">
        <v>357</v>
      </c>
      <c r="B26" s="5" t="s">
        <v>682</v>
      </c>
      <c r="C26" s="5" t="s">
        <v>261</v>
      </c>
      <c r="D26" s="5" t="s">
        <v>754</v>
      </c>
      <c r="E26" t="b">
        <f>IF(B26="", "",OR(COUNTIF(Validated!D:D,B26)&gt;0,COUNTIF(Validated!D:D,B26)&gt;0))</f>
        <v>1</v>
      </c>
    </row>
    <row r="27" spans="1:5" x14ac:dyDescent="0.55000000000000004">
      <c r="A27" s="5" t="s">
        <v>538</v>
      </c>
      <c r="B27" s="5" t="s">
        <v>683</v>
      </c>
      <c r="C27" s="5" t="s">
        <v>261</v>
      </c>
      <c r="D27" s="5" t="s">
        <v>754</v>
      </c>
      <c r="E27" t="b">
        <f>IF(B27="", "",OR(COUNTIF(Validated!D:D,B27)&gt;0,COUNTIF(Validated!D:D,B27)&gt;0))</f>
        <v>1</v>
      </c>
    </row>
    <row r="28" spans="1:5" x14ac:dyDescent="0.55000000000000004">
      <c r="A28" s="5" t="s">
        <v>539</v>
      </c>
      <c r="B28" s="5" t="s">
        <v>684</v>
      </c>
      <c r="C28" s="5" t="s">
        <v>261</v>
      </c>
      <c r="D28" s="5" t="s">
        <v>754</v>
      </c>
      <c r="E28" t="b">
        <f>IF(B28="", "",OR(COUNTIF(Validated!D:D,B28)&gt;0,COUNTIF(Validated!D:D,B28)&gt;0))</f>
        <v>1</v>
      </c>
    </row>
    <row r="29" spans="1:5" x14ac:dyDescent="0.55000000000000004">
      <c r="A29" s="5" t="s">
        <v>540</v>
      </c>
      <c r="B29" s="5" t="s">
        <v>685</v>
      </c>
      <c r="C29" s="5" t="s">
        <v>261</v>
      </c>
      <c r="D29" s="5" t="s">
        <v>754</v>
      </c>
      <c r="E29" t="b">
        <f>IF(B29="", "",OR(COUNTIF(Validated!D:D,B29)&gt;0,COUNTIF(Validated!D:D,B29)&gt;0))</f>
        <v>1</v>
      </c>
    </row>
    <row r="30" spans="1:5" x14ac:dyDescent="0.55000000000000004">
      <c r="A30" s="5" t="s">
        <v>541</v>
      </c>
      <c r="B30" s="5" t="s">
        <v>686</v>
      </c>
      <c r="C30" s="5" t="s">
        <v>261</v>
      </c>
      <c r="D30" s="5" t="s">
        <v>754</v>
      </c>
      <c r="E30" t="b">
        <f>IF(B30="", "",OR(COUNTIF(Validated!D:D,B30)&gt;0,COUNTIF(Validated!D:D,B30)&gt;0))</f>
        <v>1</v>
      </c>
    </row>
    <row r="31" spans="1:5" x14ac:dyDescent="0.55000000000000004">
      <c r="A31" s="5" t="s">
        <v>542</v>
      </c>
      <c r="B31" s="5" t="s">
        <v>687</v>
      </c>
      <c r="C31" s="5" t="s">
        <v>261</v>
      </c>
      <c r="D31" s="5" t="s">
        <v>754</v>
      </c>
      <c r="E31" t="b">
        <f>IF(B31="", "",OR(COUNTIF(Validated!D:D,B31)&gt;0,COUNTIF(Validated!D:D,B31)&gt;0))</f>
        <v>1</v>
      </c>
    </row>
    <row r="32" spans="1:5" x14ac:dyDescent="0.55000000000000004">
      <c r="A32" s="5" t="s">
        <v>563</v>
      </c>
      <c r="B32" s="5" t="s">
        <v>688</v>
      </c>
      <c r="C32" s="5" t="s">
        <v>261</v>
      </c>
      <c r="D32" s="5" t="s">
        <v>754</v>
      </c>
      <c r="E32" t="b">
        <f>IF(B32="", "",OR(COUNTIF(Validated!D:D,B32)&gt;0,COUNTIF(Validated!D:D,B32)&gt;0))</f>
        <v>1</v>
      </c>
    </row>
    <row r="33" spans="1:5" x14ac:dyDescent="0.55000000000000004">
      <c r="A33" s="5" t="s">
        <v>564</v>
      </c>
      <c r="B33" s="5" t="s">
        <v>689</v>
      </c>
      <c r="C33" s="5" t="s">
        <v>261</v>
      </c>
      <c r="D33" s="5" t="s">
        <v>754</v>
      </c>
      <c r="E33" t="b">
        <f>IF(B33="", "",OR(COUNTIF(Validated!D:D,B33)&gt;0,COUNTIF(Validated!D:D,B33)&gt;0))</f>
        <v>1</v>
      </c>
    </row>
    <row r="34" spans="1:5" x14ac:dyDescent="0.55000000000000004">
      <c r="A34" s="5" t="s">
        <v>565</v>
      </c>
      <c r="B34" s="5" t="s">
        <v>690</v>
      </c>
      <c r="C34" s="5" t="s">
        <v>261</v>
      </c>
      <c r="D34" s="5" t="s">
        <v>754</v>
      </c>
      <c r="E34" t="b">
        <f>IF(B34="", "",OR(COUNTIF(Validated!D:D,B34)&gt;0,COUNTIF(Validated!D:D,B34)&gt;0))</f>
        <v>1</v>
      </c>
    </row>
    <row r="35" spans="1:5" x14ac:dyDescent="0.55000000000000004">
      <c r="A35" s="5" t="s">
        <v>566</v>
      </c>
      <c r="B35" s="5" t="s">
        <v>691</v>
      </c>
      <c r="C35" s="5" t="s">
        <v>261</v>
      </c>
      <c r="D35" s="5" t="s">
        <v>754</v>
      </c>
      <c r="E35" t="b">
        <f>IF(B35="", "",OR(COUNTIF(Validated!D:D,B35)&gt;0,COUNTIF(Validated!D:D,B35)&gt;0))</f>
        <v>1</v>
      </c>
    </row>
    <row r="36" spans="1:5" x14ac:dyDescent="0.55000000000000004">
      <c r="A36" s="5" t="s">
        <v>567</v>
      </c>
      <c r="B36" s="5" t="s">
        <v>692</v>
      </c>
      <c r="C36" s="5" t="s">
        <v>261</v>
      </c>
      <c r="D36" s="5" t="s">
        <v>754</v>
      </c>
      <c r="E36" t="b">
        <f>IF(B36="", "",OR(COUNTIF(Validated!D:D,B36)&gt;0,COUNTIF(Validated!D:D,B36)&gt;0))</f>
        <v>1</v>
      </c>
    </row>
    <row r="37" spans="1:5" x14ac:dyDescent="0.55000000000000004">
      <c r="A37" s="5" t="s">
        <v>568</v>
      </c>
      <c r="B37" s="5" t="s">
        <v>693</v>
      </c>
      <c r="C37" s="5" t="s">
        <v>261</v>
      </c>
      <c r="D37" s="5" t="s">
        <v>754</v>
      </c>
      <c r="E37" t="b">
        <f>IF(B37="", "",OR(COUNTIF(Validated!D:D,B37)&gt;0,COUNTIF(Validated!D:D,B37)&gt;0))</f>
        <v>1</v>
      </c>
    </row>
    <row r="38" spans="1:5" x14ac:dyDescent="0.55000000000000004">
      <c r="A38" s="5" t="s">
        <v>569</v>
      </c>
      <c r="B38" s="5" t="s">
        <v>694</v>
      </c>
      <c r="C38" s="5" t="s">
        <v>261</v>
      </c>
      <c r="D38" s="5" t="s">
        <v>754</v>
      </c>
      <c r="E38" t="b">
        <f>IF(B38="", "",OR(COUNTIF(Validated!D:D,B38)&gt;0,COUNTIF(Validated!D:D,B38)&gt;0))</f>
        <v>1</v>
      </c>
    </row>
    <row r="39" spans="1:5" x14ac:dyDescent="0.55000000000000004">
      <c r="A39" s="5" t="s">
        <v>570</v>
      </c>
      <c r="B39" s="5" t="s">
        <v>695</v>
      </c>
      <c r="C39" s="5" t="s">
        <v>261</v>
      </c>
      <c r="D39" s="5" t="s">
        <v>754</v>
      </c>
      <c r="E39" t="b">
        <f>IF(B39="", "",OR(COUNTIF(Validated!D:D,B39)&gt;0,COUNTIF(Validated!D:D,B39)&gt;0))</f>
        <v>1</v>
      </c>
    </row>
    <row r="40" spans="1:5" x14ac:dyDescent="0.55000000000000004">
      <c r="A40" s="5" t="s">
        <v>571</v>
      </c>
      <c r="B40" s="5" t="s">
        <v>696</v>
      </c>
      <c r="C40" s="5" t="s">
        <v>261</v>
      </c>
      <c r="D40" s="5" t="s">
        <v>754</v>
      </c>
      <c r="E40" t="b">
        <f>IF(B40="", "",OR(COUNTIF(Validated!D:D,B40)&gt;0,COUNTIF(Validated!D:D,B40)&gt;0))</f>
        <v>1</v>
      </c>
    </row>
    <row r="41" spans="1:5" x14ac:dyDescent="0.55000000000000004">
      <c r="A41" s="5" t="s">
        <v>572</v>
      </c>
      <c r="B41" s="5" t="s">
        <v>697</v>
      </c>
      <c r="C41" s="5" t="s">
        <v>261</v>
      </c>
      <c r="D41" s="5" t="s">
        <v>754</v>
      </c>
      <c r="E41" t="b">
        <f>IF(B41="", "",OR(COUNTIF(Validated!D:D,B41)&gt;0,COUNTIF(Validated!D:D,B41)&gt;0))</f>
        <v>1</v>
      </c>
    </row>
    <row r="42" spans="1:5" x14ac:dyDescent="0.55000000000000004">
      <c r="A42" s="5" t="s">
        <v>573</v>
      </c>
      <c r="B42" s="5" t="s">
        <v>698</v>
      </c>
      <c r="C42" s="5" t="s">
        <v>261</v>
      </c>
      <c r="D42" s="5" t="s">
        <v>754</v>
      </c>
      <c r="E42" t="b">
        <f>IF(B42="", "",OR(COUNTIF(Validated!D:D,B42)&gt;0,COUNTIF(Validated!D:D,B42)&gt;0))</f>
        <v>1</v>
      </c>
    </row>
    <row r="43" spans="1:5" x14ac:dyDescent="0.55000000000000004">
      <c r="A43" s="5" t="s">
        <v>574</v>
      </c>
      <c r="B43" s="5" t="s">
        <v>699</v>
      </c>
      <c r="C43" s="5" t="s">
        <v>261</v>
      </c>
      <c r="D43" s="5" t="s">
        <v>754</v>
      </c>
      <c r="E43" t="b">
        <f>IF(B43="", "",OR(COUNTIF(Validated!D:D,B43)&gt;0,COUNTIF(Validated!D:D,B43)&gt;0))</f>
        <v>1</v>
      </c>
    </row>
    <row r="44" spans="1:5" x14ac:dyDescent="0.55000000000000004">
      <c r="A44" s="5" t="s">
        <v>575</v>
      </c>
      <c r="B44" s="5" t="s">
        <v>700</v>
      </c>
      <c r="C44" s="5" t="s">
        <v>261</v>
      </c>
      <c r="D44" s="5" t="s">
        <v>754</v>
      </c>
      <c r="E44" t="b">
        <f>IF(B44="", "",OR(COUNTIF(Validated!D:D,B44)&gt;0,COUNTIF(Validated!D:D,B44)&gt;0))</f>
        <v>1</v>
      </c>
    </row>
    <row r="45" spans="1:5" x14ac:dyDescent="0.55000000000000004">
      <c r="A45" s="5" t="s">
        <v>576</v>
      </c>
      <c r="B45" s="5" t="s">
        <v>701</v>
      </c>
      <c r="C45" s="5" t="s">
        <v>261</v>
      </c>
      <c r="D45" s="5" t="s">
        <v>754</v>
      </c>
      <c r="E45" t="b">
        <f>IF(B45="", "",OR(COUNTIF(Validated!D:D,B45)&gt;0,COUNTIF(Validated!D:D,B45)&gt;0))</f>
        <v>1</v>
      </c>
    </row>
    <row r="46" spans="1:5" x14ac:dyDescent="0.55000000000000004">
      <c r="A46" s="5" t="s">
        <v>577</v>
      </c>
      <c r="B46" s="5" t="s">
        <v>702</v>
      </c>
      <c r="C46" s="5" t="s">
        <v>261</v>
      </c>
      <c r="D46" s="5" t="s">
        <v>754</v>
      </c>
      <c r="E46" t="b">
        <f>IF(B46="", "",OR(COUNTIF(Validated!D:D,B46)&gt;0,COUNTIF(Validated!D:D,B46)&gt;0))</f>
        <v>1</v>
      </c>
    </row>
    <row r="47" spans="1:5" x14ac:dyDescent="0.55000000000000004">
      <c r="A47" s="5" t="s">
        <v>578</v>
      </c>
      <c r="B47" s="5" t="s">
        <v>703</v>
      </c>
      <c r="C47" s="5" t="s">
        <v>261</v>
      </c>
      <c r="D47" s="5" t="s">
        <v>754</v>
      </c>
      <c r="E47" t="b">
        <f>IF(B47="", "",OR(COUNTIF(Validated!D:D,B47)&gt;0,COUNTIF(Validated!D:D,B47)&gt;0))</f>
        <v>1</v>
      </c>
    </row>
    <row r="48" spans="1:5" x14ac:dyDescent="0.55000000000000004">
      <c r="A48" s="5" t="s">
        <v>579</v>
      </c>
      <c r="B48" s="5" t="s">
        <v>704</v>
      </c>
      <c r="C48" s="5" t="s">
        <v>261</v>
      </c>
      <c r="D48" s="5" t="s">
        <v>754</v>
      </c>
      <c r="E48" t="b">
        <f>IF(B48="", "",OR(COUNTIF(Validated!D:D,B48)&gt;0,COUNTIF(Validated!D:D,B48)&gt;0))</f>
        <v>1</v>
      </c>
    </row>
    <row r="49" spans="1:5" x14ac:dyDescent="0.55000000000000004">
      <c r="A49" s="5" t="s">
        <v>580</v>
      </c>
      <c r="B49" s="5" t="s">
        <v>705</v>
      </c>
      <c r="C49" s="5" t="s">
        <v>261</v>
      </c>
      <c r="D49" s="5" t="s">
        <v>754</v>
      </c>
      <c r="E49" t="b">
        <f>IF(B49="", "",OR(COUNTIF(Validated!D:D,B49)&gt;0,COUNTIF(Validated!D:D,B49)&gt;0))</f>
        <v>1</v>
      </c>
    </row>
    <row r="50" spans="1:5" x14ac:dyDescent="0.55000000000000004">
      <c r="A50" s="5" t="s">
        <v>581</v>
      </c>
      <c r="B50" s="5" t="s">
        <v>706</v>
      </c>
      <c r="C50" s="5" t="s">
        <v>261</v>
      </c>
      <c r="D50" s="5" t="s">
        <v>754</v>
      </c>
      <c r="E50" t="b">
        <f>IF(B50="", "",OR(COUNTIF(Validated!D:D,B50)&gt;0,COUNTIF(Validated!D:D,B50)&gt;0))</f>
        <v>1</v>
      </c>
    </row>
    <row r="51" spans="1:5" x14ac:dyDescent="0.55000000000000004">
      <c r="A51" s="5" t="s">
        <v>582</v>
      </c>
      <c r="B51" s="5" t="s">
        <v>707</v>
      </c>
      <c r="C51" s="5" t="s">
        <v>261</v>
      </c>
      <c r="D51" s="5" t="s">
        <v>754</v>
      </c>
      <c r="E51" t="b">
        <f>IF(B51="", "",OR(COUNTIF(Validated!D:D,B51)&gt;0,COUNTIF(Validated!D:D,B51)&gt;0))</f>
        <v>1</v>
      </c>
    </row>
    <row r="52" spans="1:5" x14ac:dyDescent="0.55000000000000004">
      <c r="A52" s="5" t="s">
        <v>583</v>
      </c>
      <c r="B52" s="5" t="s">
        <v>708</v>
      </c>
      <c r="C52" s="5" t="s">
        <v>261</v>
      </c>
      <c r="D52" s="5" t="s">
        <v>754</v>
      </c>
      <c r="E52" t="b">
        <f>IF(B52="", "",OR(COUNTIF(Validated!D:D,B52)&gt;0,COUNTIF(Validated!D:D,B52)&gt;0))</f>
        <v>1</v>
      </c>
    </row>
    <row r="53" spans="1:5" x14ac:dyDescent="0.55000000000000004">
      <c r="A53" s="5" t="s">
        <v>584</v>
      </c>
      <c r="B53" s="5" t="s">
        <v>709</v>
      </c>
      <c r="C53" s="5" t="s">
        <v>261</v>
      </c>
      <c r="D53" s="5" t="s">
        <v>754</v>
      </c>
      <c r="E53" t="b">
        <f>IF(B53="", "",OR(COUNTIF(Validated!D:D,B53)&gt;0,COUNTIF(Validated!D:D,B53)&gt;0))</f>
        <v>1</v>
      </c>
    </row>
    <row r="54" spans="1:5" x14ac:dyDescent="0.55000000000000004">
      <c r="A54" s="5" t="s">
        <v>585</v>
      </c>
      <c r="B54" s="5" t="s">
        <v>710</v>
      </c>
      <c r="C54" s="5" t="s">
        <v>261</v>
      </c>
      <c r="D54" s="5" t="s">
        <v>754</v>
      </c>
      <c r="E54" t="b">
        <f>IF(B54="", "",OR(COUNTIF(Validated!D:D,B54)&gt;0,COUNTIF(Validated!D:D,B54)&gt;0))</f>
        <v>1</v>
      </c>
    </row>
    <row r="55" spans="1:5" x14ac:dyDescent="0.55000000000000004">
      <c r="A55" s="5" t="s">
        <v>586</v>
      </c>
      <c r="B55" s="5" t="s">
        <v>711</v>
      </c>
      <c r="C55" s="5" t="s">
        <v>261</v>
      </c>
      <c r="D55" s="5" t="s">
        <v>754</v>
      </c>
      <c r="E55" t="b">
        <f>IF(B55="", "",OR(COUNTIF(Validated!D:D,B55)&gt;0,COUNTIF(Validated!D:D,B55)&gt;0))</f>
        <v>1</v>
      </c>
    </row>
    <row r="56" spans="1:5" x14ac:dyDescent="0.55000000000000004">
      <c r="A56" s="5" t="s">
        <v>587</v>
      </c>
      <c r="B56" s="5" t="s">
        <v>712</v>
      </c>
      <c r="C56" s="5" t="s">
        <v>261</v>
      </c>
      <c r="D56" s="5" t="s">
        <v>754</v>
      </c>
      <c r="E56" t="b">
        <f>IF(B56="", "",OR(COUNTIF(Validated!D:D,B56)&gt;0,COUNTIF(Validated!D:D,B56)&gt;0))</f>
        <v>1</v>
      </c>
    </row>
    <row r="57" spans="1:5" x14ac:dyDescent="0.55000000000000004">
      <c r="A57" s="5" t="s">
        <v>588</v>
      </c>
      <c r="B57" s="5" t="s">
        <v>713</v>
      </c>
      <c r="C57" s="5" t="s">
        <v>261</v>
      </c>
      <c r="D57" s="5" t="s">
        <v>754</v>
      </c>
      <c r="E57" t="b">
        <f>IF(B57="", "",OR(COUNTIF(Validated!D:D,B57)&gt;0,COUNTIF(Validated!D:D,B57)&gt;0))</f>
        <v>1</v>
      </c>
    </row>
    <row r="58" spans="1:5" x14ac:dyDescent="0.55000000000000004">
      <c r="A58" s="5" t="s">
        <v>589</v>
      </c>
      <c r="B58" s="5" t="s">
        <v>714</v>
      </c>
      <c r="C58" s="5" t="s">
        <v>261</v>
      </c>
      <c r="D58" s="5" t="s">
        <v>754</v>
      </c>
      <c r="E58" t="b">
        <f>IF(B58="", "",OR(COUNTIF(Validated!D:D,B58)&gt;0,COUNTIF(Validated!D:D,B58)&gt;0))</f>
        <v>1</v>
      </c>
    </row>
    <row r="59" spans="1:5" x14ac:dyDescent="0.55000000000000004">
      <c r="A59" s="5" t="s">
        <v>590</v>
      </c>
      <c r="B59" s="5" t="s">
        <v>715</v>
      </c>
      <c r="C59" s="5" t="s">
        <v>261</v>
      </c>
      <c r="D59" s="5" t="s">
        <v>754</v>
      </c>
      <c r="E59" t="b">
        <f>IF(B59="", "",OR(COUNTIF(Validated!D:D,B59)&gt;0,COUNTIF(Validated!D:D,B59)&gt;0))</f>
        <v>1</v>
      </c>
    </row>
    <row r="60" spans="1:5" x14ac:dyDescent="0.55000000000000004">
      <c r="A60" s="5" t="s">
        <v>591</v>
      </c>
      <c r="B60" s="5" t="s">
        <v>716</v>
      </c>
      <c r="C60" s="5" t="s">
        <v>261</v>
      </c>
      <c r="D60" s="5" t="s">
        <v>754</v>
      </c>
      <c r="E60" t="b">
        <f>IF(B60="", "",OR(COUNTIF(Validated!D:D,B60)&gt;0,COUNTIF(Validated!D:D,B60)&gt;0))</f>
        <v>1</v>
      </c>
    </row>
    <row r="61" spans="1:5" x14ac:dyDescent="0.55000000000000004">
      <c r="A61" s="5" t="s">
        <v>592</v>
      </c>
      <c r="B61" s="5" t="s">
        <v>717</v>
      </c>
      <c r="C61" s="5" t="s">
        <v>261</v>
      </c>
      <c r="D61" s="5" t="s">
        <v>754</v>
      </c>
      <c r="E61" t="b">
        <f>IF(B61="", "",OR(COUNTIF(Validated!D:D,B61)&gt;0,COUNTIF(Validated!D:D,B61)&gt;0))</f>
        <v>1</v>
      </c>
    </row>
    <row r="62" spans="1:5" x14ac:dyDescent="0.55000000000000004">
      <c r="A62" s="5" t="s">
        <v>593</v>
      </c>
      <c r="B62" s="5" t="s">
        <v>718</v>
      </c>
      <c r="C62" s="5" t="s">
        <v>261</v>
      </c>
      <c r="D62" s="5" t="s">
        <v>754</v>
      </c>
      <c r="E62" t="b">
        <f>IF(B62="", "",OR(COUNTIF(Validated!D:D,B62)&gt;0,COUNTIF(Validated!D:D,B62)&gt;0))</f>
        <v>1</v>
      </c>
    </row>
    <row r="63" spans="1:5" x14ac:dyDescent="0.55000000000000004">
      <c r="A63" s="5" t="s">
        <v>594</v>
      </c>
      <c r="B63" s="5" t="s">
        <v>719</v>
      </c>
      <c r="C63" s="5" t="s">
        <v>261</v>
      </c>
      <c r="D63" s="5" t="s">
        <v>754</v>
      </c>
      <c r="E63" t="b">
        <f>IF(B63="", "",OR(COUNTIF(Validated!D:D,B63)&gt;0,COUNTIF(Validated!D:D,B63)&gt;0))</f>
        <v>1</v>
      </c>
    </row>
    <row r="64" spans="1:5" x14ac:dyDescent="0.55000000000000004">
      <c r="A64" s="5" t="s">
        <v>595</v>
      </c>
      <c r="B64" s="5" t="s">
        <v>720</v>
      </c>
      <c r="C64" s="5" t="s">
        <v>261</v>
      </c>
      <c r="D64" s="5" t="s">
        <v>754</v>
      </c>
      <c r="E64" t="b">
        <f>IF(B64="", "",OR(COUNTIF(Validated!D:D,B64)&gt;0,COUNTIF(Validated!D:D,B64)&gt;0))</f>
        <v>1</v>
      </c>
    </row>
    <row r="65" spans="1:5" x14ac:dyDescent="0.55000000000000004">
      <c r="A65" s="5" t="s">
        <v>596</v>
      </c>
      <c r="B65" s="5" t="s">
        <v>721</v>
      </c>
      <c r="C65" s="5" t="s">
        <v>261</v>
      </c>
      <c r="D65" s="5" t="s">
        <v>754</v>
      </c>
      <c r="E65" t="b">
        <f>IF(B65="", "",OR(COUNTIF(Validated!D:D,B65)&gt;0,COUNTIF(Validated!D:D,B65)&gt;0))</f>
        <v>1</v>
      </c>
    </row>
    <row r="66" spans="1:5" x14ac:dyDescent="0.55000000000000004">
      <c r="A66" s="5" t="s">
        <v>597</v>
      </c>
      <c r="B66" s="5" t="s">
        <v>722</v>
      </c>
      <c r="C66" s="5" t="s">
        <v>261</v>
      </c>
      <c r="D66" s="5" t="s">
        <v>754</v>
      </c>
      <c r="E66" t="b">
        <f>IF(B66="", "",OR(COUNTIF(Validated!D:D,B66)&gt;0,COUNTIF(Validated!D:D,B66)&gt;0))</f>
        <v>1</v>
      </c>
    </row>
    <row r="67" spans="1:5" x14ac:dyDescent="0.55000000000000004">
      <c r="A67" s="5" t="s">
        <v>598</v>
      </c>
      <c r="B67" s="5" t="s">
        <v>723</v>
      </c>
      <c r="C67" s="5" t="s">
        <v>261</v>
      </c>
      <c r="D67" s="5" t="s">
        <v>754</v>
      </c>
      <c r="E67" t="b">
        <f>IF(B67="", "",OR(COUNTIF(Validated!D:D,B67)&gt;0,COUNTIF(Validated!D:D,B67)&gt;0))</f>
        <v>1</v>
      </c>
    </row>
    <row r="68" spans="1:5" x14ac:dyDescent="0.55000000000000004">
      <c r="A68" s="5" t="s">
        <v>599</v>
      </c>
      <c r="B68" s="5" t="s">
        <v>724</v>
      </c>
      <c r="C68" s="5" t="s">
        <v>261</v>
      </c>
      <c r="D68" s="5" t="s">
        <v>754</v>
      </c>
      <c r="E68" t="b">
        <f>IF(B68="", "",OR(COUNTIF(Validated!D:D,B68)&gt;0,COUNTIF(Validated!D:D,B68)&gt;0))</f>
        <v>1</v>
      </c>
    </row>
    <row r="69" spans="1:5" x14ac:dyDescent="0.55000000000000004">
      <c r="A69" s="5" t="s">
        <v>600</v>
      </c>
      <c r="B69" s="5" t="s">
        <v>725</v>
      </c>
      <c r="C69" s="5" t="s">
        <v>261</v>
      </c>
      <c r="D69" s="5" t="s">
        <v>754</v>
      </c>
      <c r="E69" t="b">
        <f>IF(B69="", "",OR(COUNTIF(Validated!D:D,B69)&gt;0,COUNTIF(Validated!D:D,B69)&gt;0))</f>
        <v>1</v>
      </c>
    </row>
    <row r="70" spans="1:5" x14ac:dyDescent="0.55000000000000004">
      <c r="A70" s="5" t="s">
        <v>601</v>
      </c>
      <c r="B70" s="5" t="s">
        <v>726</v>
      </c>
      <c r="C70" s="5" t="s">
        <v>261</v>
      </c>
      <c r="D70" s="5" t="s">
        <v>754</v>
      </c>
      <c r="E70" t="b">
        <f>IF(B70="", "",OR(COUNTIF(Validated!D:D,B70)&gt;0,COUNTIF(Validated!D:D,B70)&gt;0))</f>
        <v>1</v>
      </c>
    </row>
    <row r="71" spans="1:5" x14ac:dyDescent="0.55000000000000004">
      <c r="A71" s="5" t="s">
        <v>602</v>
      </c>
      <c r="B71" s="5" t="s">
        <v>727</v>
      </c>
      <c r="C71" s="5" t="s">
        <v>261</v>
      </c>
      <c r="D71" s="5" t="s">
        <v>754</v>
      </c>
      <c r="E71" t="b">
        <f>IF(B71="", "",OR(COUNTIF(Validated!D:D,B71)&gt;0,COUNTIF(Validated!D:D,B71)&gt;0))</f>
        <v>1</v>
      </c>
    </row>
    <row r="72" spans="1:5" x14ac:dyDescent="0.55000000000000004">
      <c r="A72" s="5" t="s">
        <v>603</v>
      </c>
      <c r="B72" s="5" t="s">
        <v>728</v>
      </c>
      <c r="C72" s="5" t="s">
        <v>261</v>
      </c>
      <c r="D72" s="5" t="s">
        <v>754</v>
      </c>
      <c r="E72" t="b">
        <f>IF(B72="", "",OR(COUNTIF(Validated!D:D,B72)&gt;0,COUNTIF(Validated!D:D,B72)&gt;0))</f>
        <v>1</v>
      </c>
    </row>
    <row r="73" spans="1:5" x14ac:dyDescent="0.55000000000000004">
      <c r="A73" s="5" t="s">
        <v>604</v>
      </c>
      <c r="B73" s="5" t="s">
        <v>729</v>
      </c>
      <c r="C73" s="5" t="s">
        <v>261</v>
      </c>
      <c r="D73" s="5" t="s">
        <v>754</v>
      </c>
      <c r="E73" t="b">
        <f>IF(B73="", "",OR(COUNTIF(Validated!D:D,B73)&gt;0,COUNTIF(Validated!D:D,B73)&gt;0))</f>
        <v>1</v>
      </c>
    </row>
    <row r="74" spans="1:5" x14ac:dyDescent="0.55000000000000004">
      <c r="A74" s="5" t="s">
        <v>605</v>
      </c>
      <c r="B74" s="5" t="s">
        <v>730</v>
      </c>
      <c r="C74" s="5" t="s">
        <v>261</v>
      </c>
      <c r="D74" s="5" t="s">
        <v>754</v>
      </c>
      <c r="E74" t="b">
        <f>IF(B74="", "",OR(COUNTIF(Validated!D:D,B74)&gt;0,COUNTIF(Validated!D:D,B74)&gt;0))</f>
        <v>1</v>
      </c>
    </row>
    <row r="75" spans="1:5" x14ac:dyDescent="0.55000000000000004">
      <c r="A75" s="5" t="s">
        <v>606</v>
      </c>
      <c r="B75" s="5" t="s">
        <v>731</v>
      </c>
      <c r="C75" s="5" t="s">
        <v>261</v>
      </c>
      <c r="D75" s="5" t="s">
        <v>754</v>
      </c>
      <c r="E75" t="b">
        <f>IF(B75="", "",OR(COUNTIF(Validated!D:D,B75)&gt;0,COUNTIF(Validated!D:D,B75)&gt;0))</f>
        <v>1</v>
      </c>
    </row>
    <row r="76" spans="1:5" x14ac:dyDescent="0.55000000000000004">
      <c r="A76" s="5" t="s">
        <v>607</v>
      </c>
      <c r="B76" s="5" t="s">
        <v>732</v>
      </c>
      <c r="C76" s="5" t="s">
        <v>261</v>
      </c>
      <c r="D76" s="5" t="s">
        <v>754</v>
      </c>
      <c r="E76" t="b">
        <f>IF(B76="", "",OR(COUNTIF(Validated!D:D,B76)&gt;0,COUNTIF(Validated!D:D,B76)&gt;0))</f>
        <v>1</v>
      </c>
    </row>
    <row r="77" spans="1:5" x14ac:dyDescent="0.55000000000000004">
      <c r="A77" s="5" t="s">
        <v>608</v>
      </c>
      <c r="B77" s="5" t="s">
        <v>733</v>
      </c>
      <c r="C77" s="5" t="s">
        <v>261</v>
      </c>
      <c r="D77" s="5" t="s">
        <v>754</v>
      </c>
      <c r="E77" t="b">
        <f>IF(B77="", "",OR(COUNTIF(Validated!D:D,B77)&gt;0,COUNTIF(Validated!D:D,B77)&gt;0))</f>
        <v>1</v>
      </c>
    </row>
    <row r="78" spans="1:5" x14ac:dyDescent="0.55000000000000004">
      <c r="A78" s="5" t="s">
        <v>609</v>
      </c>
      <c r="B78" s="5" t="s">
        <v>734</v>
      </c>
      <c r="C78" s="5" t="s">
        <v>261</v>
      </c>
      <c r="D78" s="5" t="s">
        <v>754</v>
      </c>
      <c r="E78" t="b">
        <f>IF(B78="", "",OR(COUNTIF(Validated!D:D,B78)&gt;0,COUNTIF(Validated!D:D,B78)&gt;0))</f>
        <v>1</v>
      </c>
    </row>
    <row r="79" spans="1:5" x14ac:dyDescent="0.55000000000000004">
      <c r="A79" s="5" t="s">
        <v>610</v>
      </c>
      <c r="B79" s="5" t="s">
        <v>735</v>
      </c>
      <c r="C79" s="5" t="s">
        <v>261</v>
      </c>
      <c r="D79" s="5" t="s">
        <v>754</v>
      </c>
      <c r="E79" t="b">
        <f>IF(B79="", "",OR(COUNTIF(Validated!D:D,B79)&gt;0,COUNTIF(Validated!D:D,B79)&gt;0))</f>
        <v>1</v>
      </c>
    </row>
    <row r="80" spans="1:5" x14ac:dyDescent="0.55000000000000004">
      <c r="A80" s="5" t="s">
        <v>611</v>
      </c>
      <c r="B80" s="5" t="s">
        <v>736</v>
      </c>
      <c r="C80" s="5" t="s">
        <v>261</v>
      </c>
      <c r="D80" s="5" t="s">
        <v>754</v>
      </c>
      <c r="E80" t="b">
        <f>IF(B80="", "",OR(COUNTIF(Validated!D:D,B80)&gt;0,COUNTIF(Validated!D:D,B80)&gt;0))</f>
        <v>1</v>
      </c>
    </row>
    <row r="81" spans="1:5" x14ac:dyDescent="0.55000000000000004">
      <c r="A81" s="5" t="s">
        <v>612</v>
      </c>
      <c r="B81" s="5" t="s">
        <v>737</v>
      </c>
      <c r="C81" s="5" t="s">
        <v>261</v>
      </c>
      <c r="D81" s="5" t="s">
        <v>754</v>
      </c>
      <c r="E81" t="b">
        <f>IF(B81="", "",OR(COUNTIF(Validated!D:D,B81)&gt;0,COUNTIF(Validated!D:D,B81)&gt;0))</f>
        <v>1</v>
      </c>
    </row>
    <row r="82" spans="1:5" x14ac:dyDescent="0.55000000000000004">
      <c r="A82" s="5" t="s">
        <v>613</v>
      </c>
      <c r="B82" s="5" t="s">
        <v>738</v>
      </c>
      <c r="C82" s="5" t="s">
        <v>261</v>
      </c>
      <c r="D82" s="5" t="s">
        <v>754</v>
      </c>
      <c r="E82" t="b">
        <f>IF(B82="", "",OR(COUNTIF(Validated!D:D,B82)&gt;0,COUNTIF(Validated!D:D,B82)&gt;0))</f>
        <v>1</v>
      </c>
    </row>
    <row r="83" spans="1:5" x14ac:dyDescent="0.55000000000000004">
      <c r="A83" s="5" t="s">
        <v>614</v>
      </c>
      <c r="B83" s="5" t="s">
        <v>739</v>
      </c>
      <c r="C83" s="5" t="s">
        <v>261</v>
      </c>
      <c r="D83" s="5" t="s">
        <v>754</v>
      </c>
      <c r="E83" t="b">
        <f>IF(B83="", "",OR(COUNTIF(Validated!D:D,B83)&gt;0,COUNTIF(Validated!D:D,B83)&gt;0))</f>
        <v>1</v>
      </c>
    </row>
    <row r="84" spans="1:5" x14ac:dyDescent="0.55000000000000004">
      <c r="A84" s="5" t="s">
        <v>615</v>
      </c>
      <c r="B84" s="5" t="s">
        <v>740</v>
      </c>
      <c r="C84" s="5" t="s">
        <v>261</v>
      </c>
      <c r="D84" s="5" t="s">
        <v>754</v>
      </c>
      <c r="E84" t="b">
        <f>IF(B84="", "",OR(COUNTIF(Validated!D:D,B84)&gt;0,COUNTIF(Validated!D:D,B84)&gt;0))</f>
        <v>1</v>
      </c>
    </row>
    <row r="85" spans="1:5" x14ac:dyDescent="0.55000000000000004">
      <c r="A85" s="5" t="s">
        <v>616</v>
      </c>
      <c r="B85" s="5" t="s">
        <v>741</v>
      </c>
      <c r="C85" s="5" t="s">
        <v>261</v>
      </c>
      <c r="D85" s="5" t="s">
        <v>754</v>
      </c>
      <c r="E85" t="b">
        <f>IF(B85="", "",OR(COUNTIF(Validated!D:D,B85)&gt;0,COUNTIF(Validated!D:D,B85)&gt;0))</f>
        <v>1</v>
      </c>
    </row>
    <row r="86" spans="1:5" x14ac:dyDescent="0.55000000000000004">
      <c r="A86" s="5" t="s">
        <v>617</v>
      </c>
      <c r="B86" s="5" t="s">
        <v>742</v>
      </c>
      <c r="C86" s="5" t="s">
        <v>261</v>
      </c>
      <c r="D86" s="5" t="s">
        <v>754</v>
      </c>
      <c r="E86" t="b">
        <f>IF(B86="", "",OR(COUNTIF(Validated!D:D,B86)&gt;0,COUNTIF(Validated!D:D,B86)&gt;0))</f>
        <v>1</v>
      </c>
    </row>
    <row r="87" spans="1:5" x14ac:dyDescent="0.55000000000000004">
      <c r="A87" s="5" t="s">
        <v>618</v>
      </c>
      <c r="B87" s="5" t="s">
        <v>743</v>
      </c>
      <c r="C87" s="5" t="s">
        <v>261</v>
      </c>
      <c r="D87" s="5" t="s">
        <v>754</v>
      </c>
      <c r="E87" t="b">
        <f>IF(B87="", "",OR(COUNTIF(Validated!D:D,B87)&gt;0,COUNTIF(Validated!D:D,B87)&gt;0))</f>
        <v>1</v>
      </c>
    </row>
    <row r="88" spans="1:5" x14ac:dyDescent="0.55000000000000004">
      <c r="A88" s="5" t="s">
        <v>619</v>
      </c>
      <c r="B88" s="5" t="s">
        <v>744</v>
      </c>
      <c r="C88" s="5" t="s">
        <v>261</v>
      </c>
      <c r="D88" s="5" t="s">
        <v>754</v>
      </c>
      <c r="E88" t="b">
        <f>IF(B88="", "",OR(COUNTIF(Validated!D:D,B88)&gt;0,COUNTIF(Validated!D:D,B88)&gt;0))</f>
        <v>1</v>
      </c>
    </row>
    <row r="89" spans="1:5" x14ac:dyDescent="0.55000000000000004">
      <c r="A89" s="5" t="s">
        <v>620</v>
      </c>
      <c r="B89" s="5" t="s">
        <v>745</v>
      </c>
      <c r="C89" s="5" t="s">
        <v>261</v>
      </c>
      <c r="D89" s="5" t="s">
        <v>754</v>
      </c>
      <c r="E89" t="b">
        <f>IF(B89="", "",OR(COUNTIF(Validated!D:D,B89)&gt;0,COUNTIF(Validated!D:D,B89)&gt;0))</f>
        <v>1</v>
      </c>
    </row>
    <row r="90" spans="1:5" x14ac:dyDescent="0.55000000000000004">
      <c r="A90" s="5" t="s">
        <v>621</v>
      </c>
      <c r="B90" s="5" t="s">
        <v>746</v>
      </c>
      <c r="C90" s="5" t="s">
        <v>261</v>
      </c>
      <c r="D90" s="5" t="s">
        <v>754</v>
      </c>
      <c r="E90" t="b">
        <f>IF(B90="", "",OR(COUNTIF(Validated!D:D,B90)&gt;0,COUNTIF(Validated!D:D,B90)&gt;0))</f>
        <v>1</v>
      </c>
    </row>
    <row r="91" spans="1:5" x14ac:dyDescent="0.55000000000000004">
      <c r="A91" s="5" t="s">
        <v>622</v>
      </c>
      <c r="B91" s="5" t="s">
        <v>747</v>
      </c>
      <c r="C91" s="5" t="s">
        <v>261</v>
      </c>
      <c r="D91" s="5" t="s">
        <v>754</v>
      </c>
      <c r="E91" t="b">
        <f>IF(B91="", "",OR(COUNTIF(Validated!D:D,B91)&gt;0,COUNTIF(Validated!D:D,B91)&gt;0))</f>
        <v>1</v>
      </c>
    </row>
    <row r="92" spans="1:5" x14ac:dyDescent="0.55000000000000004">
      <c r="A92" s="5" t="s">
        <v>623</v>
      </c>
      <c r="B92" s="5" t="s">
        <v>748</v>
      </c>
      <c r="C92" s="5" t="s">
        <v>261</v>
      </c>
      <c r="D92" s="5" t="s">
        <v>754</v>
      </c>
      <c r="E92" t="b">
        <f>IF(B92="", "",OR(COUNTIF(Validated!D:D,B92)&gt;0,COUNTIF(Validated!D:D,B92)&gt;0))</f>
        <v>1</v>
      </c>
    </row>
    <row r="93" spans="1:5" x14ac:dyDescent="0.55000000000000004">
      <c r="A93" s="5" t="s">
        <v>624</v>
      </c>
      <c r="B93" s="5" t="s">
        <v>749</v>
      </c>
      <c r="C93" s="5" t="s">
        <v>261</v>
      </c>
      <c r="D93" s="5" t="s">
        <v>754</v>
      </c>
      <c r="E93" t="b">
        <f>IF(B93="", "",OR(COUNTIF(Validated!D:D,B93)&gt;0,COUNTIF(Validated!D:D,B93)&gt;0))</f>
        <v>1</v>
      </c>
    </row>
    <row r="94" spans="1:5" x14ac:dyDescent="0.55000000000000004">
      <c r="A94" s="5" t="s">
        <v>625</v>
      </c>
      <c r="B94" s="5" t="s">
        <v>750</v>
      </c>
      <c r="C94" s="5" t="s">
        <v>261</v>
      </c>
      <c r="D94" s="5" t="s">
        <v>754</v>
      </c>
      <c r="E94" t="b">
        <f>IF(B94="", "",OR(COUNTIF(Validated!D:D,B94)&gt;0,COUNTIF(Validated!D:D,B94)&gt;0))</f>
        <v>1</v>
      </c>
    </row>
    <row r="95" spans="1:5" x14ac:dyDescent="0.55000000000000004">
      <c r="A95" s="5" t="s">
        <v>626</v>
      </c>
      <c r="B95" s="5" t="s">
        <v>751</v>
      </c>
      <c r="C95" s="5" t="s">
        <v>261</v>
      </c>
      <c r="D95" s="5" t="s">
        <v>754</v>
      </c>
      <c r="E95" t="b">
        <f>IF(B95="", "",OR(COUNTIF(Validated!D:D,B95)&gt;0,COUNTIF(Validated!D:D,B95)&gt;0))</f>
        <v>1</v>
      </c>
    </row>
    <row r="96" spans="1:5" x14ac:dyDescent="0.55000000000000004">
      <c r="A96" s="5" t="s">
        <v>627</v>
      </c>
      <c r="B96" s="5" t="s">
        <v>752</v>
      </c>
      <c r="C96" s="5" t="s">
        <v>261</v>
      </c>
      <c r="D96" s="5" t="s">
        <v>754</v>
      </c>
      <c r="E96" t="b">
        <f>IF(B96="", "",OR(COUNTIF(Validated!D:D,B96)&gt;0,COUNTIF(Validated!D:D,B96)&gt;0))</f>
        <v>1</v>
      </c>
    </row>
    <row r="97" spans="1:5" x14ac:dyDescent="0.55000000000000004">
      <c r="A97" s="5" t="s">
        <v>628</v>
      </c>
      <c r="B97" s="5" t="s">
        <v>753</v>
      </c>
      <c r="C97" s="5" t="s">
        <v>261</v>
      </c>
      <c r="D97" s="5" t="s">
        <v>754</v>
      </c>
      <c r="E97" t="b">
        <f>IF(B97="", "",OR(COUNTIF(Validated!D:D,B97)&gt;0,COUNTIF(Validated!D:D,B97)&gt;0))</f>
        <v>1</v>
      </c>
    </row>
  </sheetData>
  <conditionalFormatting sqref="E2:E97">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55000000000000004"/>
  <cols>
    <col min="1" max="1" width="18" style="5" customWidth="1"/>
    <col min="2" max="2" width="11.41796875" style="43" customWidth="1"/>
    <col min="3" max="3" width="11.7890625" style="43" customWidth="1"/>
    <col min="4" max="4" width="15" customWidth="1"/>
  </cols>
  <sheetData>
    <row r="1" spans="1:4" ht="43.2" x14ac:dyDescent="0.55000000000000004">
      <c r="A1" s="47" t="s">
        <v>364</v>
      </c>
      <c r="B1" s="42" t="s">
        <v>366</v>
      </c>
      <c r="C1" s="42" t="s">
        <v>367</v>
      </c>
      <c r="D1" s="41" t="s">
        <v>369</v>
      </c>
    </row>
    <row r="2" spans="1:4" x14ac:dyDescent="0.55000000000000004">
      <c r="A2" s="28" t="s">
        <v>371</v>
      </c>
      <c r="B2" s="43" t="str">
        <f t="shared" ref="B2:B7" si="0">IF(LEN(TRIM(A2))&gt;0, IF(MOD(ROW()-1, 8) = 0, CHAR(72), CHAR(72 - 8 + MOD(ROW()-1, 8))), "")</f>
        <v>A</v>
      </c>
      <c r="C2" s="43" t="str">
        <f>IF(LEN(TRIM(A2))&gt;0, GetWellColumn_For96Well(ROW()-1), "")</f>
        <v>1</v>
      </c>
      <c r="D2" s="45" t="b">
        <f>IF(A2="", "",OR(COUNTIF(Validated!D:D,A2)&gt;0,COUNTIF(Validated!D:D,A2)&gt;0))</f>
        <v>0</v>
      </c>
    </row>
    <row r="3" spans="1:4" x14ac:dyDescent="0.55000000000000004">
      <c r="A3" s="28" t="s">
        <v>372</v>
      </c>
      <c r="B3" s="43" t="str">
        <f t="shared" si="0"/>
        <v>B</v>
      </c>
      <c r="C3" s="43" t="str">
        <f>IF(LEN(TRIM(A3))&gt;0, GetWellColumn_For96Well(ROW()-1), "")</f>
        <v>1</v>
      </c>
      <c r="D3" s="45" t="b">
        <f>IF(A3="", "",OR(COUNTIF(Validated!D:D,A3)&gt;0,COUNTIF(Validated!D:D,A3)&gt;0))</f>
        <v>0</v>
      </c>
    </row>
    <row r="4" spans="1:4" x14ac:dyDescent="0.55000000000000004">
      <c r="A4" s="28" t="s">
        <v>373</v>
      </c>
      <c r="B4" s="43" t="str">
        <f t="shared" si="0"/>
        <v>C</v>
      </c>
      <c r="C4" s="43" t="str">
        <f>IF(LEN(TRIM(A4))&gt;0, GetWellColumn_For96Well(ROW()-1), "")</f>
        <v>1</v>
      </c>
      <c r="D4" s="45" t="b">
        <f>IF(A4="", "",OR(COUNTIF(Validated!D:D,A4)&gt;0,COUNTIF(Validated!D:D,A4)&gt;0))</f>
        <v>0</v>
      </c>
    </row>
    <row r="5" spans="1:4" x14ac:dyDescent="0.55000000000000004">
      <c r="B5" s="43" t="str">
        <f t="shared" si="0"/>
        <v/>
      </c>
      <c r="C5" s="43" t="str">
        <f>IF(LEN(TRIM(A5))&gt;0, GetWellColumn_For96Well(ROW()-1), "")</f>
        <v/>
      </c>
      <c r="D5" s="46" t="str">
        <f>IF(A5="", "",OR(COUNTIF(Validated!D:D,A5)&gt;0,COUNTIF(Validated!D:D,A5)&gt;0))</f>
        <v/>
      </c>
    </row>
    <row r="6" spans="1:4" x14ac:dyDescent="0.55000000000000004">
      <c r="B6" s="43" t="str">
        <f t="shared" si="0"/>
        <v/>
      </c>
      <c r="C6" s="43" t="str">
        <f>IF(LEN(TRIM(A6))&gt;0, GetWellColumn_For96Well(ROW()-1), "")</f>
        <v/>
      </c>
      <c r="D6" s="46" t="str">
        <f>IF(A6="", "",OR(COUNTIF(Validated!D:D,A6)&gt;0,COUNTIF(Validated!D:D,A6)&gt;0))</f>
        <v/>
      </c>
    </row>
    <row r="7" spans="1:4" x14ac:dyDescent="0.55000000000000004">
      <c r="B7" s="43" t="str">
        <f t="shared" si="0"/>
        <v/>
      </c>
      <c r="C7" s="43" t="str">
        <f>IF(LEN(TRIM(A7))&gt;0, GetWellColumn_For96Well(ROW()-1), "")</f>
        <v/>
      </c>
      <c r="D7" s="46"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G6" sqref="G6"/>
    </sheetView>
  </sheetViews>
  <sheetFormatPr defaultRowHeight="14.4" x14ac:dyDescent="0.55000000000000004"/>
  <cols>
    <col min="1" max="1" width="28.7890625" bestFit="1" customWidth="1"/>
    <col min="2" max="2" width="19.5234375" customWidth="1"/>
    <col min="3" max="3" width="41.41796875" customWidth="1"/>
    <col min="4" max="4" width="8.7890625" bestFit="1" customWidth="1"/>
    <col min="5" max="6" width="15.7890625" customWidth="1"/>
    <col min="7" max="7" width="13.41796875" customWidth="1"/>
    <col min="8" max="8" width="13.7890625" style="26" customWidth="1"/>
    <col min="9" max="9" width="9.7890625" bestFit="1" customWidth="1"/>
    <col min="11" max="11" width="14.5234375" customWidth="1"/>
  </cols>
  <sheetData>
    <row r="1" spans="1:13" ht="43.2" x14ac:dyDescent="0.55000000000000004">
      <c r="A1" s="1" t="s">
        <v>11</v>
      </c>
      <c r="B1" s="1" t="s">
        <v>17</v>
      </c>
      <c r="C1" s="1" t="s">
        <v>13</v>
      </c>
      <c r="D1" s="1" t="s">
        <v>12</v>
      </c>
      <c r="E1" s="3" t="s">
        <v>18</v>
      </c>
      <c r="F1" s="3" t="s">
        <v>197</v>
      </c>
      <c r="G1" s="4" t="s">
        <v>91</v>
      </c>
      <c r="H1" s="6" t="s">
        <v>155</v>
      </c>
      <c r="I1" s="2" t="s">
        <v>88</v>
      </c>
      <c r="J1" s="6" t="s">
        <v>100</v>
      </c>
      <c r="K1" s="6" t="s">
        <v>379</v>
      </c>
      <c r="L1" s="6" t="s">
        <v>345</v>
      </c>
      <c r="M1" s="6" t="s">
        <v>348</v>
      </c>
    </row>
    <row r="2" spans="1:13" x14ac:dyDescent="0.55000000000000004">
      <c r="A2" s="26" t="s">
        <v>504</v>
      </c>
      <c r="B2" s="26"/>
      <c r="C2" s="26"/>
      <c r="D2" s="26"/>
      <c r="E2" s="26"/>
      <c r="F2" s="26"/>
      <c r="G2" s="26"/>
      <c r="I2" s="26"/>
      <c r="J2" s="26"/>
      <c r="K2" s="26" t="s">
        <v>378</v>
      </c>
    </row>
    <row r="3" spans="1:13" s="26" customFormat="1" x14ac:dyDescent="0.55000000000000004">
      <c r="A3" s="26" t="s">
        <v>505</v>
      </c>
      <c r="K3" s="26" t="s">
        <v>378</v>
      </c>
    </row>
    <row r="4" spans="1:13" x14ac:dyDescent="0.55000000000000004">
      <c r="A4" s="26" t="s">
        <v>398</v>
      </c>
      <c r="B4" s="26"/>
      <c r="C4" s="26"/>
      <c r="D4" s="26" t="s">
        <v>225</v>
      </c>
      <c r="E4" s="26"/>
      <c r="F4" s="26"/>
      <c r="G4" s="26" t="s">
        <v>225</v>
      </c>
      <c r="H4" s="26" t="s">
        <v>225</v>
      </c>
      <c r="I4" s="26"/>
      <c r="J4" s="26"/>
      <c r="K4" s="26"/>
    </row>
    <row r="5" spans="1:13" x14ac:dyDescent="0.55000000000000004">
      <c r="A5" s="26" t="s">
        <v>138</v>
      </c>
      <c r="B5" s="26"/>
      <c r="C5" s="26"/>
      <c r="D5" s="26" t="s">
        <v>225</v>
      </c>
      <c r="E5" s="26" t="s">
        <v>225</v>
      </c>
      <c r="F5" s="26" t="s">
        <v>506</v>
      </c>
      <c r="G5" s="26" t="s">
        <v>225</v>
      </c>
      <c r="H5" s="26" t="s">
        <v>225</v>
      </c>
      <c r="I5" s="26"/>
      <c r="J5" s="26"/>
      <c r="K5" s="26"/>
      <c r="M5" t="s">
        <v>507</v>
      </c>
    </row>
    <row r="6" spans="1:13" x14ac:dyDescent="0.55000000000000004">
      <c r="A6" s="26" t="s">
        <v>631</v>
      </c>
      <c r="B6" s="26"/>
      <c r="C6" s="26"/>
      <c r="D6" s="26"/>
      <c r="E6" s="26"/>
      <c r="F6" s="26"/>
      <c r="G6" s="26"/>
      <c r="I6" s="26"/>
      <c r="J6" s="26"/>
      <c r="K6" s="26" t="s">
        <v>378</v>
      </c>
    </row>
    <row r="7" spans="1:13" x14ac:dyDescent="0.55000000000000004">
      <c r="A7" s="26" t="s">
        <v>508</v>
      </c>
      <c r="B7" s="26"/>
      <c r="C7" s="26"/>
      <c r="D7" s="26"/>
      <c r="E7" s="26"/>
      <c r="F7" s="26"/>
      <c r="G7" s="26"/>
      <c r="I7" s="26"/>
      <c r="J7" s="26"/>
      <c r="K7" s="26" t="s">
        <v>378</v>
      </c>
    </row>
    <row r="8" spans="1:13" x14ac:dyDescent="0.55000000000000004">
      <c r="A8" s="26" t="s">
        <v>399</v>
      </c>
      <c r="B8" s="26"/>
      <c r="C8" s="26"/>
      <c r="D8" s="26" t="s">
        <v>225</v>
      </c>
      <c r="E8" s="26"/>
      <c r="F8" s="26"/>
      <c r="G8" s="26"/>
      <c r="I8" s="26" t="s">
        <v>225</v>
      </c>
      <c r="J8" s="26"/>
      <c r="K8" s="26"/>
    </row>
    <row r="9" spans="1:13" s="26" customFormat="1" x14ac:dyDescent="0.55000000000000004">
      <c r="A9" s="26" t="s">
        <v>509</v>
      </c>
      <c r="G9" s="26" t="s">
        <v>225</v>
      </c>
      <c r="H9" s="26" t="s">
        <v>225</v>
      </c>
      <c r="K9" s="26" t="s">
        <v>378</v>
      </c>
    </row>
    <row r="10" spans="1:13" x14ac:dyDescent="0.55000000000000004">
      <c r="A10" s="26" t="s">
        <v>510</v>
      </c>
      <c r="B10" s="26"/>
      <c r="C10" s="26"/>
      <c r="D10" s="26"/>
      <c r="E10" s="26"/>
      <c r="F10" s="26"/>
      <c r="G10" s="26" t="s">
        <v>225</v>
      </c>
      <c r="H10" s="26" t="s">
        <v>225</v>
      </c>
      <c r="I10" s="26"/>
      <c r="J10" s="26"/>
      <c r="K10" s="26" t="s">
        <v>378</v>
      </c>
    </row>
    <row r="11" spans="1:13" s="26" customFormat="1" x14ac:dyDescent="0.55000000000000004">
      <c r="A11" s="26" t="s">
        <v>400</v>
      </c>
      <c r="C11" s="26" t="s">
        <v>632</v>
      </c>
    </row>
    <row r="12" spans="1:13" s="26" customFormat="1" x14ac:dyDescent="0.55000000000000004">
      <c r="A12" s="26" t="s">
        <v>6</v>
      </c>
      <c r="C12" s="26" t="s">
        <v>632</v>
      </c>
      <c r="D12" s="26" t="s">
        <v>225</v>
      </c>
      <c r="E12" s="26" t="s">
        <v>225</v>
      </c>
      <c r="F12" s="26" t="s">
        <v>156</v>
      </c>
    </row>
    <row r="13" spans="1:13" s="26" customFormat="1" x14ac:dyDescent="0.55000000000000004">
      <c r="A13" s="26" t="s">
        <v>401</v>
      </c>
      <c r="D13" s="26" t="s">
        <v>225</v>
      </c>
      <c r="I13" s="26" t="s">
        <v>225</v>
      </c>
      <c r="L13" s="26" t="s">
        <v>225</v>
      </c>
    </row>
    <row r="14" spans="1:13" x14ac:dyDescent="0.55000000000000004">
      <c r="A14" s="26" t="s">
        <v>402</v>
      </c>
      <c r="B14" s="26"/>
      <c r="C14" s="26"/>
      <c r="D14" s="26" t="s">
        <v>225</v>
      </c>
      <c r="E14" s="26"/>
      <c r="F14" s="26"/>
      <c r="G14" s="26"/>
      <c r="I14" s="26" t="s">
        <v>225</v>
      </c>
      <c r="J14" s="26"/>
      <c r="K14" s="26"/>
      <c r="L14" t="s">
        <v>225</v>
      </c>
    </row>
    <row r="15" spans="1:13" s="26" customFormat="1" x14ac:dyDescent="0.55000000000000004">
      <c r="A15" s="26" t="s">
        <v>9</v>
      </c>
      <c r="D15" s="26" t="s">
        <v>225</v>
      </c>
      <c r="E15" s="26" t="s">
        <v>225</v>
      </c>
      <c r="F15" s="26" t="s">
        <v>403</v>
      </c>
    </row>
    <row r="16" spans="1:13" x14ac:dyDescent="0.55000000000000004">
      <c r="A16" s="26" t="s">
        <v>4</v>
      </c>
      <c r="B16" s="26"/>
      <c r="C16" s="26" t="s">
        <v>0</v>
      </c>
      <c r="D16" s="26" t="s">
        <v>225</v>
      </c>
      <c r="E16" s="26" t="s">
        <v>225</v>
      </c>
      <c r="F16" s="26" t="s">
        <v>368</v>
      </c>
      <c r="G16" s="26"/>
      <c r="I16" s="26"/>
      <c r="J16" s="26"/>
      <c r="K16" s="26"/>
    </row>
    <row r="17" spans="1:13" x14ac:dyDescent="0.55000000000000004">
      <c r="A17" s="26" t="s">
        <v>404</v>
      </c>
      <c r="B17" s="26"/>
      <c r="C17" s="26"/>
      <c r="D17" s="26" t="s">
        <v>225</v>
      </c>
      <c r="E17" s="26"/>
      <c r="F17" s="26"/>
      <c r="G17" s="26"/>
      <c r="I17" s="26"/>
      <c r="J17" s="26"/>
      <c r="K17" s="26"/>
      <c r="M17" s="26" t="s">
        <v>561</v>
      </c>
    </row>
    <row r="18" spans="1:13" x14ac:dyDescent="0.55000000000000004">
      <c r="A18" s="50" t="s">
        <v>198</v>
      </c>
      <c r="B18" s="26"/>
      <c r="C18" s="26"/>
      <c r="D18" s="26" t="s">
        <v>225</v>
      </c>
      <c r="E18" s="26" t="s">
        <v>225</v>
      </c>
      <c r="F18" s="26" t="s">
        <v>511</v>
      </c>
      <c r="G18" s="26"/>
      <c r="I18" s="26"/>
      <c r="J18" s="26"/>
      <c r="K18" s="26"/>
      <c r="M18" s="26" t="s">
        <v>507</v>
      </c>
    </row>
    <row r="19" spans="1:13" x14ac:dyDescent="0.55000000000000004">
      <c r="A19" s="26" t="s">
        <v>405</v>
      </c>
      <c r="B19" s="26"/>
      <c r="C19" s="26"/>
      <c r="D19" s="26" t="s">
        <v>225</v>
      </c>
      <c r="E19" s="26"/>
      <c r="F19" s="26"/>
      <c r="G19" s="26"/>
      <c r="I19" s="26" t="s">
        <v>225</v>
      </c>
      <c r="J19" s="26"/>
      <c r="K19" s="26"/>
    </row>
    <row r="20" spans="1:13" x14ac:dyDescent="0.55000000000000004">
      <c r="A20" s="26" t="s">
        <v>5</v>
      </c>
      <c r="B20" s="26"/>
      <c r="C20" s="26" t="s">
        <v>63</v>
      </c>
      <c r="D20" s="26" t="s">
        <v>225</v>
      </c>
      <c r="E20" s="26" t="s">
        <v>225</v>
      </c>
      <c r="F20" s="26" t="s">
        <v>363</v>
      </c>
      <c r="G20" s="26"/>
      <c r="I20" s="26"/>
      <c r="J20" s="26"/>
      <c r="K20" s="26"/>
    </row>
    <row r="21" spans="1:13" x14ac:dyDescent="0.55000000000000004">
      <c r="A21" s="26" t="s">
        <v>512</v>
      </c>
      <c r="B21" s="26"/>
      <c r="C21" s="26" t="s">
        <v>630</v>
      </c>
      <c r="D21" s="26" t="s">
        <v>225</v>
      </c>
      <c r="E21" s="26"/>
      <c r="F21" s="26"/>
      <c r="G21" s="26"/>
      <c r="I21" s="26"/>
      <c r="J21" s="26"/>
      <c r="K21" s="26"/>
    </row>
    <row r="22" spans="1:13" x14ac:dyDescent="0.55000000000000004">
      <c r="A22" s="26" t="s">
        <v>133</v>
      </c>
      <c r="B22" s="26"/>
      <c r="C22" s="26"/>
      <c r="D22" s="26" t="s">
        <v>225</v>
      </c>
      <c r="E22" s="26" t="s">
        <v>225</v>
      </c>
      <c r="F22" s="26" t="s">
        <v>406</v>
      </c>
      <c r="G22" s="26" t="s">
        <v>225</v>
      </c>
      <c r="I22" s="26" t="s">
        <v>225</v>
      </c>
      <c r="J22" s="26"/>
      <c r="K22" s="26"/>
    </row>
    <row r="23" spans="1:13" x14ac:dyDescent="0.55000000000000004">
      <c r="A23" t="s">
        <v>262</v>
      </c>
      <c r="D23" t="s">
        <v>225</v>
      </c>
      <c r="E23" t="s">
        <v>225</v>
      </c>
      <c r="F23" t="s">
        <v>263</v>
      </c>
      <c r="I23" t="s">
        <v>225</v>
      </c>
    </row>
    <row r="24" spans="1:13" x14ac:dyDescent="0.55000000000000004">
      <c r="A24" t="s">
        <v>7</v>
      </c>
      <c r="C24" s="26"/>
      <c r="D24" t="s">
        <v>225</v>
      </c>
      <c r="E24" t="s">
        <v>225</v>
      </c>
      <c r="F24" t="s">
        <v>407</v>
      </c>
      <c r="I24" t="s">
        <v>225</v>
      </c>
    </row>
    <row r="25" spans="1:13" x14ac:dyDescent="0.55000000000000004">
      <c r="A25" t="s">
        <v>408</v>
      </c>
      <c r="C25" t="s">
        <v>54</v>
      </c>
      <c r="D25" t="s">
        <v>225</v>
      </c>
      <c r="E25" t="s">
        <v>225</v>
      </c>
      <c r="F25" t="s">
        <v>409</v>
      </c>
    </row>
    <row r="26" spans="1:13" x14ac:dyDescent="0.55000000000000004">
      <c r="A26" t="s">
        <v>513</v>
      </c>
    </row>
    <row r="27" spans="1:13" x14ac:dyDescent="0.55000000000000004">
      <c r="A27" t="s">
        <v>93</v>
      </c>
      <c r="D27" t="s">
        <v>225</v>
      </c>
      <c r="E27" t="s">
        <v>225</v>
      </c>
      <c r="F27" t="s">
        <v>514</v>
      </c>
    </row>
    <row r="28" spans="1:13" x14ac:dyDescent="0.55000000000000004">
      <c r="A28" t="s">
        <v>8</v>
      </c>
      <c r="D28" t="s">
        <v>225</v>
      </c>
      <c r="E28" t="s">
        <v>225</v>
      </c>
      <c r="F28" t="s">
        <v>410</v>
      </c>
    </row>
    <row r="29" spans="1:13" x14ac:dyDescent="0.55000000000000004">
      <c r="A29" t="s">
        <v>139</v>
      </c>
      <c r="D29" t="s">
        <v>225</v>
      </c>
      <c r="E29" t="s">
        <v>225</v>
      </c>
      <c r="F29" t="s">
        <v>411</v>
      </c>
    </row>
    <row r="30" spans="1:13" x14ac:dyDescent="0.55000000000000004">
      <c r="A30" t="s">
        <v>412</v>
      </c>
      <c r="D30" t="s">
        <v>225</v>
      </c>
    </row>
    <row r="31" spans="1:13" x14ac:dyDescent="0.55000000000000004">
      <c r="A31" t="s">
        <v>413</v>
      </c>
      <c r="D31" t="s">
        <v>225</v>
      </c>
    </row>
    <row r="32" spans="1:13" x14ac:dyDescent="0.55000000000000004">
      <c r="A32" t="s">
        <v>414</v>
      </c>
      <c r="D32" t="s">
        <v>225</v>
      </c>
    </row>
    <row r="33" spans="1:9" x14ac:dyDescent="0.55000000000000004">
      <c r="A33" t="s">
        <v>415</v>
      </c>
      <c r="D33" t="s">
        <v>225</v>
      </c>
      <c r="I33" t="s">
        <v>225</v>
      </c>
    </row>
    <row r="34" spans="1:9" x14ac:dyDescent="0.55000000000000004">
      <c r="A34" t="s">
        <v>416</v>
      </c>
      <c r="D34" t="s">
        <v>225</v>
      </c>
      <c r="I34"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33"/>
  <sheetViews>
    <sheetView workbookViewId="0">
      <selection activeCell="C14" sqref="C14"/>
    </sheetView>
  </sheetViews>
  <sheetFormatPr defaultRowHeight="14.4" x14ac:dyDescent="0.55000000000000004"/>
  <cols>
    <col min="1" max="1" width="36" customWidth="1"/>
    <col min="2" max="2" width="95.3671875" customWidth="1"/>
    <col min="3" max="3" width="10.5234375" bestFit="1" customWidth="1"/>
  </cols>
  <sheetData>
    <row r="1" spans="1:3" x14ac:dyDescent="0.55000000000000004">
      <c r="A1" t="s">
        <v>232</v>
      </c>
      <c r="B1" t="s">
        <v>233</v>
      </c>
      <c r="C1" t="s">
        <v>346</v>
      </c>
    </row>
    <row r="2" spans="1:3" x14ac:dyDescent="0.55000000000000004">
      <c r="A2" t="s">
        <v>236</v>
      </c>
      <c r="B2" s="26" t="s">
        <v>234</v>
      </c>
      <c r="C2" s="52" t="s">
        <v>419</v>
      </c>
    </row>
    <row r="3" spans="1:3" x14ac:dyDescent="0.55000000000000004">
      <c r="A3" t="s">
        <v>234</v>
      </c>
      <c r="B3" s="26" t="s">
        <v>503</v>
      </c>
    </row>
    <row r="4" spans="1:3" x14ac:dyDescent="0.55000000000000004">
      <c r="A4" s="26" t="s">
        <v>235</v>
      </c>
      <c r="B4" s="26" t="s">
        <v>417</v>
      </c>
      <c r="C4" t="s">
        <v>347</v>
      </c>
    </row>
    <row r="5" spans="1:3" s="26" customFormat="1" x14ac:dyDescent="0.55000000000000004">
      <c r="A5" s="26" t="s">
        <v>340</v>
      </c>
      <c r="B5" s="26" t="s">
        <v>418</v>
      </c>
    </row>
    <row r="6" spans="1:3" s="26" customFormat="1" x14ac:dyDescent="0.55000000000000004">
      <c r="A6" s="26" t="s">
        <v>396</v>
      </c>
      <c r="B6" s="26" t="s">
        <v>502</v>
      </c>
      <c r="C6" s="26" t="s">
        <v>397</v>
      </c>
    </row>
    <row r="7" spans="1:3" x14ac:dyDescent="0.55000000000000004">
      <c r="A7" t="s">
        <v>237</v>
      </c>
      <c r="B7" t="s">
        <v>238</v>
      </c>
    </row>
    <row r="8" spans="1:3" x14ac:dyDescent="0.55000000000000004">
      <c r="A8" t="s">
        <v>239</v>
      </c>
      <c r="B8" t="s">
        <v>240</v>
      </c>
    </row>
    <row r="9" spans="1:3" x14ac:dyDescent="0.55000000000000004">
      <c r="A9" t="s">
        <v>241</v>
      </c>
      <c r="B9" s="26" t="s">
        <v>246</v>
      </c>
    </row>
    <row r="10" spans="1:3" x14ac:dyDescent="0.55000000000000004">
      <c r="A10" s="26" t="s">
        <v>242</v>
      </c>
      <c r="B10" s="38" t="s">
        <v>657</v>
      </c>
    </row>
    <row r="11" spans="1:3" x14ac:dyDescent="0.55000000000000004">
      <c r="A11" t="s">
        <v>243</v>
      </c>
      <c r="B11" t="s">
        <v>238</v>
      </c>
    </row>
    <row r="12" spans="1:3" x14ac:dyDescent="0.55000000000000004">
      <c r="A12" t="s">
        <v>244</v>
      </c>
      <c r="B12" s="26" t="s">
        <v>245</v>
      </c>
    </row>
    <row r="13" spans="1:3" x14ac:dyDescent="0.55000000000000004">
      <c r="A13" t="s">
        <v>247</v>
      </c>
      <c r="B13" t="s">
        <v>560</v>
      </c>
      <c r="C13" t="s">
        <v>870</v>
      </c>
    </row>
    <row r="14" spans="1:3" x14ac:dyDescent="0.55000000000000004">
      <c r="A14" t="s">
        <v>248</v>
      </c>
      <c r="B14" s="5">
        <v>2500</v>
      </c>
    </row>
    <row r="15" spans="1:3" s="26" customFormat="1" x14ac:dyDescent="0.55000000000000004">
      <c r="A15" s="26" t="s">
        <v>249</v>
      </c>
      <c r="B15" s="5" t="s">
        <v>255</v>
      </c>
    </row>
    <row r="16" spans="1:3" x14ac:dyDescent="0.55000000000000004">
      <c r="A16" t="s">
        <v>250</v>
      </c>
      <c r="B16" s="5">
        <v>5000</v>
      </c>
    </row>
    <row r="17" spans="1:3" x14ac:dyDescent="0.55000000000000004">
      <c r="A17" t="s">
        <v>251</v>
      </c>
      <c r="B17" t="s">
        <v>238</v>
      </c>
    </row>
    <row r="18" spans="1:3" x14ac:dyDescent="0.55000000000000004">
      <c r="A18" t="s">
        <v>252</v>
      </c>
      <c r="B18" s="5">
        <v>4</v>
      </c>
    </row>
    <row r="19" spans="1:3" x14ac:dyDescent="0.55000000000000004">
      <c r="A19" t="s">
        <v>253</v>
      </c>
      <c r="B19" t="s">
        <v>254</v>
      </c>
    </row>
    <row r="20" spans="1:3" s="26" customFormat="1" x14ac:dyDescent="0.55000000000000004">
      <c r="A20" s="26" t="s">
        <v>633</v>
      </c>
      <c r="B20" s="5" t="s">
        <v>634</v>
      </c>
      <c r="C20" s="26" t="s">
        <v>641</v>
      </c>
    </row>
    <row r="21" spans="1:3" s="26" customFormat="1" x14ac:dyDescent="0.55000000000000004">
      <c r="A21" s="26" t="s">
        <v>635</v>
      </c>
      <c r="B21" s="26" t="s">
        <v>636</v>
      </c>
      <c r="C21" s="26" t="s">
        <v>642</v>
      </c>
    </row>
    <row r="22" spans="1:3" s="26" customFormat="1" x14ac:dyDescent="0.55000000000000004">
      <c r="A22" s="26" t="s">
        <v>637</v>
      </c>
      <c r="B22" s="5" t="s">
        <v>638</v>
      </c>
      <c r="C22" s="26" t="s">
        <v>643</v>
      </c>
    </row>
    <row r="23" spans="1:3" s="26" customFormat="1" x14ac:dyDescent="0.55000000000000004">
      <c r="A23" s="26" t="s">
        <v>640</v>
      </c>
      <c r="B23" s="26" t="s">
        <v>639</v>
      </c>
      <c r="C23" s="26" t="s">
        <v>644</v>
      </c>
    </row>
    <row r="24" spans="1:3" s="26" customFormat="1" x14ac:dyDescent="0.55000000000000004">
      <c r="A24" s="26" t="s">
        <v>647</v>
      </c>
      <c r="B24" s="5" t="s">
        <v>648</v>
      </c>
      <c r="C24" s="26" t="s">
        <v>649</v>
      </c>
    </row>
    <row r="25" spans="1:3" s="26" customFormat="1" x14ac:dyDescent="0.55000000000000004">
      <c r="A25" s="26" t="s">
        <v>354</v>
      </c>
      <c r="B25" s="26" t="b">
        <v>1</v>
      </c>
    </row>
    <row r="26" spans="1:3" x14ac:dyDescent="0.55000000000000004">
      <c r="A26" t="s">
        <v>349</v>
      </c>
      <c r="B26" t="s">
        <v>350</v>
      </c>
      <c r="C26" t="s">
        <v>353</v>
      </c>
    </row>
    <row r="27" spans="1:3" x14ac:dyDescent="0.55000000000000004">
      <c r="A27" t="s">
        <v>351</v>
      </c>
      <c r="B27" t="b">
        <v>1</v>
      </c>
      <c r="C27" t="s">
        <v>352</v>
      </c>
    </row>
    <row r="33" spans="1:4" x14ac:dyDescent="0.55000000000000004">
      <c r="A33" s="26"/>
      <c r="B33" s="26"/>
      <c r="C33" s="26"/>
      <c r="D33" s="26"/>
    </row>
  </sheetData>
  <hyperlinks>
    <hyperlink ref="C2" r:id="rId1" display="https://www.microsoft.com/en-us/download/confirmation.aspx?id=50402" xr:uid="{71ACACB8-47AE-417A-B89A-657ED53FFBF0}"/>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4"/>
  <sheetViews>
    <sheetView workbookViewId="0"/>
  </sheetViews>
  <sheetFormatPr defaultRowHeight="14.4" x14ac:dyDescent="0.55000000000000004"/>
  <cols>
    <col min="3" max="3" width="27.20703125" customWidth="1"/>
    <col min="15" max="15" width="9.20703125" style="26"/>
  </cols>
  <sheetData>
    <row r="1" spans="1:18" x14ac:dyDescent="0.55000000000000004">
      <c r="A1" s="26" t="s">
        <v>394</v>
      </c>
      <c r="B1" s="26" t="str">
        <f>CONCATENATE("116,'")</f>
        <v>116,'</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(116,'Box_Code_Reported', '', '', '', '', '', '', '', '', '', 'Exclude', '', '', 1)</v>
      </c>
    </row>
    <row r="2" spans="1:18" x14ac:dyDescent="0.55000000000000004">
      <c r="A2" s="26"/>
      <c r="B2" s="26"/>
      <c r="C2" s="26"/>
      <c r="D2" s="26"/>
      <c r="E2" s="26"/>
      <c r="F2" s="26"/>
      <c r="G2" s="26"/>
      <c r="H2" s="26"/>
      <c r="I2" s="26"/>
      <c r="J2" s="26"/>
      <c r="K2" s="26"/>
      <c r="L2" s="26"/>
      <c r="M2" s="26"/>
      <c r="N2" s="26"/>
      <c r="P2" s="36"/>
      <c r="Q2" s="36"/>
      <c r="R2" s="26"/>
    </row>
    <row r="3" spans="1:18" x14ac:dyDescent="0.55000000000000004">
      <c r="A3" s="26"/>
      <c r="B3" s="26"/>
      <c r="C3" s="26"/>
      <c r="D3" s="26"/>
      <c r="E3" s="26"/>
      <c r="F3" s="26"/>
      <c r="G3" s="26"/>
      <c r="H3" s="26"/>
      <c r="I3" s="26"/>
      <c r="J3" s="26"/>
      <c r="K3" s="26"/>
      <c r="L3" s="26"/>
      <c r="M3" s="26"/>
      <c r="N3" s="26"/>
      <c r="P3" s="36"/>
      <c r="Q3" s="36"/>
      <c r="R3" s="26"/>
    </row>
    <row r="4" spans="1:18" x14ac:dyDescent="0.55000000000000004">
      <c r="A4" s="26"/>
      <c r="B4" s="26"/>
      <c r="C4" s="26"/>
      <c r="D4" s="26"/>
      <c r="E4" s="26"/>
      <c r="F4" s="26"/>
      <c r="G4" s="26"/>
      <c r="H4" s="26"/>
      <c r="I4" s="26"/>
      <c r="J4" s="26"/>
      <c r="K4" s="26"/>
      <c r="L4" s="26"/>
      <c r="M4" s="26"/>
      <c r="N4" s="26"/>
      <c r="P4" s="36"/>
      <c r="Q4" s="36"/>
      <c r="R4"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5B02-8F42-4FBB-B605-8D766F6DF933}">
  <sheetPr codeName="Sheet10"/>
  <dimension ref="A1:E97"/>
  <sheetViews>
    <sheetView workbookViewId="0">
      <selection sqref="A1:XFD1048576"/>
    </sheetView>
  </sheetViews>
  <sheetFormatPr defaultRowHeight="14.4" x14ac:dyDescent="0.55000000000000004"/>
  <cols>
    <col min="1" max="16384" width="8.83984375" style="26"/>
  </cols>
  <sheetData>
    <row r="1" spans="1:5" x14ac:dyDescent="0.55000000000000004">
      <c r="A1" s="26" t="s">
        <v>256</v>
      </c>
      <c r="B1" s="26" t="s">
        <v>257</v>
      </c>
      <c r="C1" s="26" t="s">
        <v>258</v>
      </c>
      <c r="D1" s="26" t="s">
        <v>259</v>
      </c>
      <c r="E1" s="26" t="s">
        <v>645</v>
      </c>
    </row>
    <row r="2" spans="1:5" x14ac:dyDescent="0.55000000000000004">
      <c r="A2" s="5" t="s">
        <v>260</v>
      </c>
      <c r="B2" s="35" t="s">
        <v>658</v>
      </c>
      <c r="C2" s="5" t="s">
        <v>261</v>
      </c>
      <c r="D2" s="35" t="s">
        <v>754</v>
      </c>
      <c r="E2" s="26" t="s">
        <v>646</v>
      </c>
    </row>
    <row r="3" spans="1:5" x14ac:dyDescent="0.55000000000000004">
      <c r="A3" s="5" t="s">
        <v>517</v>
      </c>
      <c r="B3" s="35" t="s">
        <v>659</v>
      </c>
      <c r="C3" s="5" t="s">
        <v>261</v>
      </c>
      <c r="D3" s="35" t="s">
        <v>754</v>
      </c>
      <c r="E3" s="26" t="s">
        <v>646</v>
      </c>
    </row>
    <row r="4" spans="1:5" x14ac:dyDescent="0.55000000000000004">
      <c r="A4" s="5" t="s">
        <v>518</v>
      </c>
      <c r="B4" s="35" t="s">
        <v>660</v>
      </c>
      <c r="C4" s="5" t="s">
        <v>261</v>
      </c>
      <c r="D4" s="35" t="s">
        <v>754</v>
      </c>
      <c r="E4" s="26" t="s">
        <v>646</v>
      </c>
    </row>
    <row r="5" spans="1:5" x14ac:dyDescent="0.55000000000000004">
      <c r="A5" s="5" t="s">
        <v>519</v>
      </c>
      <c r="B5" s="35" t="s">
        <v>661</v>
      </c>
      <c r="C5" s="5" t="s">
        <v>261</v>
      </c>
      <c r="D5" s="35" t="s">
        <v>754</v>
      </c>
      <c r="E5" s="26" t="s">
        <v>646</v>
      </c>
    </row>
    <row r="6" spans="1:5" x14ac:dyDescent="0.55000000000000004">
      <c r="A6" s="5" t="s">
        <v>520</v>
      </c>
      <c r="B6" s="35" t="s">
        <v>662</v>
      </c>
      <c r="C6" s="5" t="s">
        <v>261</v>
      </c>
      <c r="D6" s="35" t="s">
        <v>754</v>
      </c>
      <c r="E6" s="26" t="s">
        <v>646</v>
      </c>
    </row>
    <row r="7" spans="1:5" x14ac:dyDescent="0.55000000000000004">
      <c r="A7" s="5" t="s">
        <v>521</v>
      </c>
      <c r="B7" s="35" t="s">
        <v>663</v>
      </c>
      <c r="C7" s="5" t="s">
        <v>261</v>
      </c>
      <c r="D7" s="35" t="s">
        <v>754</v>
      </c>
      <c r="E7" s="26" t="s">
        <v>646</v>
      </c>
    </row>
    <row r="8" spans="1:5" x14ac:dyDescent="0.55000000000000004">
      <c r="A8" s="5" t="s">
        <v>522</v>
      </c>
      <c r="B8" s="35" t="s">
        <v>664</v>
      </c>
      <c r="C8" s="5" t="s">
        <v>261</v>
      </c>
      <c r="D8" s="35" t="s">
        <v>754</v>
      </c>
      <c r="E8" s="26" t="s">
        <v>646</v>
      </c>
    </row>
    <row r="9" spans="1:5" x14ac:dyDescent="0.55000000000000004">
      <c r="A9" s="5" t="s">
        <v>523</v>
      </c>
      <c r="B9" s="35" t="s">
        <v>665</v>
      </c>
      <c r="C9" s="5" t="s">
        <v>261</v>
      </c>
      <c r="D9" s="35" t="s">
        <v>754</v>
      </c>
      <c r="E9" s="26" t="s">
        <v>646</v>
      </c>
    </row>
    <row r="10" spans="1:5" x14ac:dyDescent="0.55000000000000004">
      <c r="A10" s="5" t="s">
        <v>355</v>
      </c>
      <c r="B10" s="35" t="s">
        <v>666</v>
      </c>
      <c r="C10" s="5" t="s">
        <v>261</v>
      </c>
      <c r="D10" s="35" t="s">
        <v>754</v>
      </c>
      <c r="E10" s="26" t="s">
        <v>646</v>
      </c>
    </row>
    <row r="11" spans="1:5" x14ac:dyDescent="0.55000000000000004">
      <c r="A11" s="5" t="s">
        <v>524</v>
      </c>
      <c r="B11" s="35" t="s">
        <v>667</v>
      </c>
      <c r="C11" s="5" t="s">
        <v>261</v>
      </c>
      <c r="D11" s="35" t="s">
        <v>754</v>
      </c>
      <c r="E11" s="26" t="s">
        <v>646</v>
      </c>
    </row>
    <row r="12" spans="1:5" x14ac:dyDescent="0.55000000000000004">
      <c r="A12" s="5" t="s">
        <v>525</v>
      </c>
      <c r="B12" s="35" t="s">
        <v>668</v>
      </c>
      <c r="C12" s="5" t="s">
        <v>261</v>
      </c>
      <c r="D12" s="35" t="s">
        <v>754</v>
      </c>
      <c r="E12" s="26" t="s">
        <v>646</v>
      </c>
    </row>
    <row r="13" spans="1:5" x14ac:dyDescent="0.55000000000000004">
      <c r="A13" s="5" t="s">
        <v>526</v>
      </c>
      <c r="B13" s="35" t="s">
        <v>669</v>
      </c>
      <c r="C13" s="5" t="s">
        <v>261</v>
      </c>
      <c r="D13" s="35" t="s">
        <v>754</v>
      </c>
      <c r="E13" s="26" t="s">
        <v>646</v>
      </c>
    </row>
    <row r="14" spans="1:5" x14ac:dyDescent="0.55000000000000004">
      <c r="A14" s="5" t="s">
        <v>527</v>
      </c>
      <c r="B14" s="35" t="s">
        <v>670</v>
      </c>
      <c r="C14" s="5" t="s">
        <v>261</v>
      </c>
      <c r="D14" s="35" t="s">
        <v>754</v>
      </c>
      <c r="E14" s="26" t="s">
        <v>646</v>
      </c>
    </row>
    <row r="15" spans="1:5" x14ac:dyDescent="0.55000000000000004">
      <c r="A15" s="5" t="s">
        <v>528</v>
      </c>
      <c r="B15" s="35" t="s">
        <v>671</v>
      </c>
      <c r="C15" s="5" t="s">
        <v>261</v>
      </c>
      <c r="D15" s="35" t="s">
        <v>754</v>
      </c>
      <c r="E15" s="26" t="s">
        <v>646</v>
      </c>
    </row>
    <row r="16" spans="1:5" x14ac:dyDescent="0.55000000000000004">
      <c r="A16" s="5" t="s">
        <v>529</v>
      </c>
      <c r="B16" s="35" t="s">
        <v>672</v>
      </c>
      <c r="C16" s="5" t="s">
        <v>261</v>
      </c>
      <c r="D16" s="35" t="s">
        <v>754</v>
      </c>
      <c r="E16" s="26" t="s">
        <v>646</v>
      </c>
    </row>
    <row r="17" spans="1:5" x14ac:dyDescent="0.55000000000000004">
      <c r="A17" s="5" t="s">
        <v>530</v>
      </c>
      <c r="B17" s="35" t="s">
        <v>673</v>
      </c>
      <c r="C17" s="5" t="s">
        <v>261</v>
      </c>
      <c r="D17" s="35" t="s">
        <v>754</v>
      </c>
      <c r="E17" s="26" t="s">
        <v>646</v>
      </c>
    </row>
    <row r="18" spans="1:5" x14ac:dyDescent="0.55000000000000004">
      <c r="A18" s="5" t="s">
        <v>356</v>
      </c>
      <c r="B18" s="35" t="s">
        <v>674</v>
      </c>
      <c r="C18" s="5" t="s">
        <v>261</v>
      </c>
      <c r="D18" s="35" t="s">
        <v>754</v>
      </c>
      <c r="E18" s="26" t="s">
        <v>646</v>
      </c>
    </row>
    <row r="19" spans="1:5" x14ac:dyDescent="0.55000000000000004">
      <c r="A19" s="5" t="s">
        <v>531</v>
      </c>
      <c r="B19" s="35" t="s">
        <v>675</v>
      </c>
      <c r="C19" s="5" t="s">
        <v>261</v>
      </c>
      <c r="D19" s="35" t="s">
        <v>754</v>
      </c>
      <c r="E19" s="26" t="s">
        <v>646</v>
      </c>
    </row>
    <row r="20" spans="1:5" x14ac:dyDescent="0.55000000000000004">
      <c r="A20" s="5" t="s">
        <v>532</v>
      </c>
      <c r="B20" s="35" t="s">
        <v>676</v>
      </c>
      <c r="C20" s="5" t="s">
        <v>261</v>
      </c>
      <c r="D20" s="35" t="s">
        <v>754</v>
      </c>
      <c r="E20" s="26" t="s">
        <v>646</v>
      </c>
    </row>
    <row r="21" spans="1:5" x14ac:dyDescent="0.55000000000000004">
      <c r="A21" s="5" t="s">
        <v>533</v>
      </c>
      <c r="B21" s="35" t="s">
        <v>677</v>
      </c>
      <c r="C21" s="5" t="s">
        <v>261</v>
      </c>
      <c r="D21" s="35" t="s">
        <v>754</v>
      </c>
      <c r="E21" s="26" t="s">
        <v>646</v>
      </c>
    </row>
    <row r="22" spans="1:5" x14ac:dyDescent="0.55000000000000004">
      <c r="A22" s="5" t="s">
        <v>534</v>
      </c>
      <c r="B22" s="35" t="s">
        <v>678</v>
      </c>
      <c r="C22" s="5" t="s">
        <v>261</v>
      </c>
      <c r="D22" s="35" t="s">
        <v>754</v>
      </c>
      <c r="E22" s="26" t="s">
        <v>646</v>
      </c>
    </row>
    <row r="23" spans="1:5" x14ac:dyDescent="0.55000000000000004">
      <c r="A23" s="5" t="s">
        <v>535</v>
      </c>
      <c r="B23" s="35" t="s">
        <v>679</v>
      </c>
      <c r="C23" s="5" t="s">
        <v>261</v>
      </c>
      <c r="D23" s="35" t="s">
        <v>754</v>
      </c>
      <c r="E23" s="26" t="s">
        <v>646</v>
      </c>
    </row>
    <row r="24" spans="1:5" x14ac:dyDescent="0.55000000000000004">
      <c r="A24" s="5" t="s">
        <v>536</v>
      </c>
      <c r="B24" s="35" t="s">
        <v>680</v>
      </c>
      <c r="C24" s="5" t="s">
        <v>562</v>
      </c>
      <c r="D24" s="35" t="s">
        <v>754</v>
      </c>
      <c r="E24" s="26" t="s">
        <v>646</v>
      </c>
    </row>
    <row r="25" spans="1:5" x14ac:dyDescent="0.55000000000000004">
      <c r="A25" s="5" t="s">
        <v>537</v>
      </c>
      <c r="B25" s="35" t="s">
        <v>681</v>
      </c>
      <c r="C25" s="5" t="s">
        <v>261</v>
      </c>
      <c r="D25" s="35" t="s">
        <v>754</v>
      </c>
      <c r="E25" s="26" t="s">
        <v>646</v>
      </c>
    </row>
    <row r="26" spans="1:5" x14ac:dyDescent="0.55000000000000004">
      <c r="A26" s="5" t="s">
        <v>357</v>
      </c>
      <c r="B26" s="35" t="s">
        <v>682</v>
      </c>
      <c r="C26" s="5" t="s">
        <v>261</v>
      </c>
      <c r="D26" s="35" t="s">
        <v>754</v>
      </c>
      <c r="E26" s="26" t="s">
        <v>646</v>
      </c>
    </row>
    <row r="27" spans="1:5" x14ac:dyDescent="0.55000000000000004">
      <c r="A27" s="5" t="s">
        <v>538</v>
      </c>
      <c r="B27" s="35" t="s">
        <v>683</v>
      </c>
      <c r="C27" s="5" t="s">
        <v>261</v>
      </c>
      <c r="D27" s="35" t="s">
        <v>754</v>
      </c>
      <c r="E27" s="26" t="s">
        <v>646</v>
      </c>
    </row>
    <row r="28" spans="1:5" x14ac:dyDescent="0.55000000000000004">
      <c r="A28" s="5" t="s">
        <v>539</v>
      </c>
      <c r="B28" s="35" t="s">
        <v>684</v>
      </c>
      <c r="C28" s="5" t="s">
        <v>261</v>
      </c>
      <c r="D28" s="35" t="s">
        <v>754</v>
      </c>
      <c r="E28" s="26" t="s">
        <v>646</v>
      </c>
    </row>
    <row r="29" spans="1:5" x14ac:dyDescent="0.55000000000000004">
      <c r="A29" s="5" t="s">
        <v>540</v>
      </c>
      <c r="B29" s="35" t="s">
        <v>685</v>
      </c>
      <c r="C29" s="5" t="s">
        <v>261</v>
      </c>
      <c r="D29" s="35" t="s">
        <v>754</v>
      </c>
      <c r="E29" s="26" t="s">
        <v>646</v>
      </c>
    </row>
    <row r="30" spans="1:5" x14ac:dyDescent="0.55000000000000004">
      <c r="A30" s="5" t="s">
        <v>541</v>
      </c>
      <c r="B30" s="35" t="s">
        <v>686</v>
      </c>
      <c r="C30" s="5" t="s">
        <v>261</v>
      </c>
      <c r="D30" s="35" t="s">
        <v>754</v>
      </c>
      <c r="E30" s="26" t="s">
        <v>646</v>
      </c>
    </row>
    <row r="31" spans="1:5" x14ac:dyDescent="0.55000000000000004">
      <c r="A31" s="5" t="s">
        <v>542</v>
      </c>
      <c r="B31" s="35" t="s">
        <v>687</v>
      </c>
      <c r="C31" s="5" t="s">
        <v>261</v>
      </c>
      <c r="D31" s="35" t="s">
        <v>754</v>
      </c>
      <c r="E31" s="26" t="s">
        <v>646</v>
      </c>
    </row>
    <row r="32" spans="1:5" x14ac:dyDescent="0.55000000000000004">
      <c r="A32" s="5" t="s">
        <v>563</v>
      </c>
      <c r="B32" s="35" t="s">
        <v>688</v>
      </c>
      <c r="C32" s="5" t="s">
        <v>261</v>
      </c>
      <c r="D32" s="35" t="s">
        <v>754</v>
      </c>
      <c r="E32" s="26" t="s">
        <v>646</v>
      </c>
    </row>
    <row r="33" spans="1:5" x14ac:dyDescent="0.55000000000000004">
      <c r="A33" s="5" t="s">
        <v>564</v>
      </c>
      <c r="B33" s="35" t="s">
        <v>689</v>
      </c>
      <c r="C33" s="5" t="s">
        <v>261</v>
      </c>
      <c r="D33" s="35" t="s">
        <v>754</v>
      </c>
      <c r="E33" s="26" t="s">
        <v>646</v>
      </c>
    </row>
    <row r="34" spans="1:5" x14ac:dyDescent="0.55000000000000004">
      <c r="A34" s="5" t="s">
        <v>565</v>
      </c>
      <c r="B34" s="35" t="s">
        <v>690</v>
      </c>
      <c r="C34" s="5" t="s">
        <v>261</v>
      </c>
      <c r="D34" s="35" t="s">
        <v>754</v>
      </c>
      <c r="E34" s="26" t="s">
        <v>646</v>
      </c>
    </row>
    <row r="35" spans="1:5" x14ac:dyDescent="0.55000000000000004">
      <c r="A35" s="5" t="s">
        <v>566</v>
      </c>
      <c r="B35" s="35" t="s">
        <v>691</v>
      </c>
      <c r="C35" s="5" t="s">
        <v>261</v>
      </c>
      <c r="D35" s="35" t="s">
        <v>754</v>
      </c>
      <c r="E35" s="26" t="s">
        <v>646</v>
      </c>
    </row>
    <row r="36" spans="1:5" x14ac:dyDescent="0.55000000000000004">
      <c r="A36" s="5" t="s">
        <v>567</v>
      </c>
      <c r="B36" s="35" t="s">
        <v>692</v>
      </c>
      <c r="C36" s="5" t="s">
        <v>261</v>
      </c>
      <c r="D36" s="35" t="s">
        <v>754</v>
      </c>
      <c r="E36" s="26" t="s">
        <v>646</v>
      </c>
    </row>
    <row r="37" spans="1:5" x14ac:dyDescent="0.55000000000000004">
      <c r="A37" s="5" t="s">
        <v>568</v>
      </c>
      <c r="B37" s="35" t="s">
        <v>693</v>
      </c>
      <c r="C37" s="5" t="s">
        <v>261</v>
      </c>
      <c r="D37" s="35" t="s">
        <v>754</v>
      </c>
      <c r="E37" s="26" t="s">
        <v>646</v>
      </c>
    </row>
    <row r="38" spans="1:5" x14ac:dyDescent="0.55000000000000004">
      <c r="A38" s="5" t="s">
        <v>569</v>
      </c>
      <c r="B38" s="35" t="s">
        <v>694</v>
      </c>
      <c r="C38" s="5" t="s">
        <v>261</v>
      </c>
      <c r="D38" s="35" t="s">
        <v>754</v>
      </c>
      <c r="E38" s="26" t="s">
        <v>646</v>
      </c>
    </row>
    <row r="39" spans="1:5" x14ac:dyDescent="0.55000000000000004">
      <c r="A39" s="5" t="s">
        <v>570</v>
      </c>
      <c r="B39" s="35" t="s">
        <v>695</v>
      </c>
      <c r="C39" s="5" t="s">
        <v>261</v>
      </c>
      <c r="D39" s="35" t="s">
        <v>754</v>
      </c>
      <c r="E39" s="26" t="s">
        <v>646</v>
      </c>
    </row>
    <row r="40" spans="1:5" x14ac:dyDescent="0.55000000000000004">
      <c r="A40" s="5" t="s">
        <v>571</v>
      </c>
      <c r="B40" s="35" t="s">
        <v>696</v>
      </c>
      <c r="C40" s="5" t="s">
        <v>261</v>
      </c>
      <c r="D40" s="35" t="s">
        <v>754</v>
      </c>
      <c r="E40" s="26" t="s">
        <v>646</v>
      </c>
    </row>
    <row r="41" spans="1:5" x14ac:dyDescent="0.55000000000000004">
      <c r="A41" s="5" t="s">
        <v>572</v>
      </c>
      <c r="B41" s="35" t="s">
        <v>697</v>
      </c>
      <c r="C41" s="5" t="s">
        <v>261</v>
      </c>
      <c r="D41" s="35" t="s">
        <v>754</v>
      </c>
      <c r="E41" s="26" t="s">
        <v>646</v>
      </c>
    </row>
    <row r="42" spans="1:5" x14ac:dyDescent="0.55000000000000004">
      <c r="A42" s="5" t="s">
        <v>573</v>
      </c>
      <c r="B42" s="35" t="s">
        <v>698</v>
      </c>
      <c r="C42" s="5" t="s">
        <v>261</v>
      </c>
      <c r="D42" s="35" t="s">
        <v>754</v>
      </c>
      <c r="E42" s="26" t="s">
        <v>646</v>
      </c>
    </row>
    <row r="43" spans="1:5" x14ac:dyDescent="0.55000000000000004">
      <c r="A43" s="5" t="s">
        <v>574</v>
      </c>
      <c r="B43" s="35" t="s">
        <v>699</v>
      </c>
      <c r="C43" s="5" t="s">
        <v>261</v>
      </c>
      <c r="D43" s="35" t="s">
        <v>754</v>
      </c>
      <c r="E43" s="26" t="s">
        <v>646</v>
      </c>
    </row>
    <row r="44" spans="1:5" x14ac:dyDescent="0.55000000000000004">
      <c r="A44" s="5" t="s">
        <v>575</v>
      </c>
      <c r="B44" s="35" t="s">
        <v>700</v>
      </c>
      <c r="C44" s="5" t="s">
        <v>261</v>
      </c>
      <c r="D44" s="35" t="s">
        <v>754</v>
      </c>
      <c r="E44" s="26" t="s">
        <v>646</v>
      </c>
    </row>
    <row r="45" spans="1:5" x14ac:dyDescent="0.55000000000000004">
      <c r="A45" s="5" t="s">
        <v>576</v>
      </c>
      <c r="B45" s="35" t="s">
        <v>701</v>
      </c>
      <c r="C45" s="5" t="s">
        <v>261</v>
      </c>
      <c r="D45" s="35" t="s">
        <v>754</v>
      </c>
      <c r="E45" s="26" t="s">
        <v>646</v>
      </c>
    </row>
    <row r="46" spans="1:5" x14ac:dyDescent="0.55000000000000004">
      <c r="A46" s="5" t="s">
        <v>577</v>
      </c>
      <c r="B46" s="35" t="s">
        <v>702</v>
      </c>
      <c r="C46" s="5" t="s">
        <v>261</v>
      </c>
      <c r="D46" s="35" t="s">
        <v>754</v>
      </c>
      <c r="E46" s="26" t="s">
        <v>646</v>
      </c>
    </row>
    <row r="47" spans="1:5" x14ac:dyDescent="0.55000000000000004">
      <c r="A47" s="5" t="s">
        <v>578</v>
      </c>
      <c r="B47" s="35" t="s">
        <v>703</v>
      </c>
      <c r="C47" s="5" t="s">
        <v>261</v>
      </c>
      <c r="D47" s="35" t="s">
        <v>754</v>
      </c>
      <c r="E47" s="26" t="s">
        <v>646</v>
      </c>
    </row>
    <row r="48" spans="1:5" x14ac:dyDescent="0.55000000000000004">
      <c r="A48" s="5" t="s">
        <v>579</v>
      </c>
      <c r="B48" s="35" t="s">
        <v>704</v>
      </c>
      <c r="C48" s="5" t="s">
        <v>261</v>
      </c>
      <c r="D48" s="35" t="s">
        <v>754</v>
      </c>
      <c r="E48" s="26" t="s">
        <v>646</v>
      </c>
    </row>
    <row r="49" spans="1:5" x14ac:dyDescent="0.55000000000000004">
      <c r="A49" s="5" t="s">
        <v>580</v>
      </c>
      <c r="B49" s="35" t="s">
        <v>705</v>
      </c>
      <c r="C49" s="5" t="s">
        <v>261</v>
      </c>
      <c r="D49" s="35" t="s">
        <v>754</v>
      </c>
      <c r="E49" s="26" t="s">
        <v>646</v>
      </c>
    </row>
    <row r="50" spans="1:5" x14ac:dyDescent="0.55000000000000004">
      <c r="A50" s="5" t="s">
        <v>581</v>
      </c>
      <c r="B50" s="35" t="s">
        <v>706</v>
      </c>
      <c r="C50" s="5" t="s">
        <v>261</v>
      </c>
      <c r="D50" s="35" t="s">
        <v>754</v>
      </c>
      <c r="E50" s="26" t="s">
        <v>646</v>
      </c>
    </row>
    <row r="51" spans="1:5" x14ac:dyDescent="0.55000000000000004">
      <c r="A51" s="5" t="s">
        <v>582</v>
      </c>
      <c r="B51" s="35" t="s">
        <v>707</v>
      </c>
      <c r="C51" s="5" t="s">
        <v>261</v>
      </c>
      <c r="D51" s="35" t="s">
        <v>754</v>
      </c>
      <c r="E51" s="26" t="s">
        <v>646</v>
      </c>
    </row>
    <row r="52" spans="1:5" x14ac:dyDescent="0.55000000000000004">
      <c r="A52" s="5" t="s">
        <v>583</v>
      </c>
      <c r="B52" s="35" t="s">
        <v>708</v>
      </c>
      <c r="C52" s="5" t="s">
        <v>261</v>
      </c>
      <c r="D52" s="35" t="s">
        <v>754</v>
      </c>
      <c r="E52" s="26" t="s">
        <v>646</v>
      </c>
    </row>
    <row r="53" spans="1:5" x14ac:dyDescent="0.55000000000000004">
      <c r="A53" s="5" t="s">
        <v>584</v>
      </c>
      <c r="B53" s="35" t="s">
        <v>709</v>
      </c>
      <c r="C53" s="5" t="s">
        <v>261</v>
      </c>
      <c r="D53" s="35" t="s">
        <v>754</v>
      </c>
      <c r="E53" s="26" t="s">
        <v>646</v>
      </c>
    </row>
    <row r="54" spans="1:5" x14ac:dyDescent="0.55000000000000004">
      <c r="A54" s="5" t="s">
        <v>585</v>
      </c>
      <c r="B54" s="35" t="s">
        <v>710</v>
      </c>
      <c r="C54" s="5" t="s">
        <v>261</v>
      </c>
      <c r="D54" s="35" t="s">
        <v>754</v>
      </c>
      <c r="E54" s="26" t="s">
        <v>646</v>
      </c>
    </row>
    <row r="55" spans="1:5" x14ac:dyDescent="0.55000000000000004">
      <c r="A55" s="5" t="s">
        <v>586</v>
      </c>
      <c r="B55" s="35" t="s">
        <v>711</v>
      </c>
      <c r="C55" s="5" t="s">
        <v>261</v>
      </c>
      <c r="D55" s="35" t="s">
        <v>754</v>
      </c>
      <c r="E55" s="26" t="s">
        <v>646</v>
      </c>
    </row>
    <row r="56" spans="1:5" x14ac:dyDescent="0.55000000000000004">
      <c r="A56" s="5" t="s">
        <v>587</v>
      </c>
      <c r="B56" s="35" t="s">
        <v>712</v>
      </c>
      <c r="C56" s="5" t="s">
        <v>261</v>
      </c>
      <c r="D56" s="35" t="s">
        <v>754</v>
      </c>
      <c r="E56" s="26" t="s">
        <v>646</v>
      </c>
    </row>
    <row r="57" spans="1:5" x14ac:dyDescent="0.55000000000000004">
      <c r="A57" s="5" t="s">
        <v>588</v>
      </c>
      <c r="B57" s="35" t="s">
        <v>713</v>
      </c>
      <c r="C57" s="5" t="s">
        <v>261</v>
      </c>
      <c r="D57" s="35" t="s">
        <v>754</v>
      </c>
      <c r="E57" s="26" t="s">
        <v>646</v>
      </c>
    </row>
    <row r="58" spans="1:5" x14ac:dyDescent="0.55000000000000004">
      <c r="A58" s="5" t="s">
        <v>589</v>
      </c>
      <c r="B58" s="35" t="s">
        <v>714</v>
      </c>
      <c r="C58" s="5" t="s">
        <v>261</v>
      </c>
      <c r="D58" s="35" t="s">
        <v>754</v>
      </c>
      <c r="E58" s="26" t="s">
        <v>646</v>
      </c>
    </row>
    <row r="59" spans="1:5" x14ac:dyDescent="0.55000000000000004">
      <c r="A59" s="5" t="s">
        <v>590</v>
      </c>
      <c r="B59" s="35" t="s">
        <v>715</v>
      </c>
      <c r="C59" s="5" t="s">
        <v>261</v>
      </c>
      <c r="D59" s="35" t="s">
        <v>754</v>
      </c>
      <c r="E59" s="26" t="s">
        <v>646</v>
      </c>
    </row>
    <row r="60" spans="1:5" x14ac:dyDescent="0.55000000000000004">
      <c r="A60" s="5" t="s">
        <v>591</v>
      </c>
      <c r="B60" s="35" t="s">
        <v>716</v>
      </c>
      <c r="C60" s="5" t="s">
        <v>261</v>
      </c>
      <c r="D60" s="35" t="s">
        <v>754</v>
      </c>
      <c r="E60" s="26" t="s">
        <v>646</v>
      </c>
    </row>
    <row r="61" spans="1:5" x14ac:dyDescent="0.55000000000000004">
      <c r="A61" s="5" t="s">
        <v>592</v>
      </c>
      <c r="B61" s="35" t="s">
        <v>717</v>
      </c>
      <c r="C61" s="5" t="s">
        <v>261</v>
      </c>
      <c r="D61" s="35" t="s">
        <v>754</v>
      </c>
      <c r="E61" s="26" t="s">
        <v>646</v>
      </c>
    </row>
    <row r="62" spans="1:5" x14ac:dyDescent="0.55000000000000004">
      <c r="A62" s="5" t="s">
        <v>593</v>
      </c>
      <c r="B62" s="35" t="s">
        <v>718</v>
      </c>
      <c r="C62" s="5" t="s">
        <v>261</v>
      </c>
      <c r="D62" s="35" t="s">
        <v>754</v>
      </c>
      <c r="E62" s="26" t="s">
        <v>646</v>
      </c>
    </row>
    <row r="63" spans="1:5" x14ac:dyDescent="0.55000000000000004">
      <c r="A63" s="5" t="s">
        <v>594</v>
      </c>
      <c r="B63" s="35" t="s">
        <v>719</v>
      </c>
      <c r="C63" s="5" t="s">
        <v>261</v>
      </c>
      <c r="D63" s="35" t="s">
        <v>754</v>
      </c>
      <c r="E63" s="26" t="s">
        <v>646</v>
      </c>
    </row>
    <row r="64" spans="1:5" x14ac:dyDescent="0.55000000000000004">
      <c r="A64" s="5" t="s">
        <v>595</v>
      </c>
      <c r="B64" s="35" t="s">
        <v>720</v>
      </c>
      <c r="C64" s="5" t="s">
        <v>261</v>
      </c>
      <c r="D64" s="35" t="s">
        <v>754</v>
      </c>
      <c r="E64" s="26" t="s">
        <v>646</v>
      </c>
    </row>
    <row r="65" spans="1:5" x14ac:dyDescent="0.55000000000000004">
      <c r="A65" s="5" t="s">
        <v>596</v>
      </c>
      <c r="B65" s="35" t="s">
        <v>721</v>
      </c>
      <c r="C65" s="5" t="s">
        <v>261</v>
      </c>
      <c r="D65" s="35" t="s">
        <v>754</v>
      </c>
      <c r="E65" s="26" t="s">
        <v>646</v>
      </c>
    </row>
    <row r="66" spans="1:5" x14ac:dyDescent="0.55000000000000004">
      <c r="A66" s="5" t="s">
        <v>597</v>
      </c>
      <c r="B66" s="35" t="s">
        <v>722</v>
      </c>
      <c r="C66" s="5" t="s">
        <v>261</v>
      </c>
      <c r="D66" s="35" t="s">
        <v>754</v>
      </c>
      <c r="E66" s="26" t="s">
        <v>646</v>
      </c>
    </row>
    <row r="67" spans="1:5" x14ac:dyDescent="0.55000000000000004">
      <c r="A67" s="5" t="s">
        <v>598</v>
      </c>
      <c r="B67" s="35" t="s">
        <v>723</v>
      </c>
      <c r="C67" s="5" t="s">
        <v>261</v>
      </c>
      <c r="D67" s="35" t="s">
        <v>754</v>
      </c>
      <c r="E67" s="26" t="s">
        <v>646</v>
      </c>
    </row>
    <row r="68" spans="1:5" x14ac:dyDescent="0.55000000000000004">
      <c r="A68" s="5" t="s">
        <v>599</v>
      </c>
      <c r="B68" s="35" t="s">
        <v>724</v>
      </c>
      <c r="C68" s="5" t="s">
        <v>261</v>
      </c>
      <c r="D68" s="35" t="s">
        <v>754</v>
      </c>
      <c r="E68" s="26" t="s">
        <v>646</v>
      </c>
    </row>
    <row r="69" spans="1:5" x14ac:dyDescent="0.55000000000000004">
      <c r="A69" s="5" t="s">
        <v>600</v>
      </c>
      <c r="B69" s="35" t="s">
        <v>725</v>
      </c>
      <c r="C69" s="5" t="s">
        <v>261</v>
      </c>
      <c r="D69" s="35" t="s">
        <v>754</v>
      </c>
      <c r="E69" s="26" t="s">
        <v>646</v>
      </c>
    </row>
    <row r="70" spans="1:5" x14ac:dyDescent="0.55000000000000004">
      <c r="A70" s="5" t="s">
        <v>601</v>
      </c>
      <c r="B70" s="35" t="s">
        <v>726</v>
      </c>
      <c r="C70" s="5" t="s">
        <v>261</v>
      </c>
      <c r="D70" s="35" t="s">
        <v>754</v>
      </c>
      <c r="E70" s="26" t="s">
        <v>646</v>
      </c>
    </row>
    <row r="71" spans="1:5" x14ac:dyDescent="0.55000000000000004">
      <c r="A71" s="5" t="s">
        <v>602</v>
      </c>
      <c r="B71" s="35" t="s">
        <v>727</v>
      </c>
      <c r="C71" s="5" t="s">
        <v>261</v>
      </c>
      <c r="D71" s="35" t="s">
        <v>754</v>
      </c>
      <c r="E71" s="26" t="s">
        <v>646</v>
      </c>
    </row>
    <row r="72" spans="1:5" x14ac:dyDescent="0.55000000000000004">
      <c r="A72" s="5" t="s">
        <v>603</v>
      </c>
      <c r="B72" s="35" t="s">
        <v>728</v>
      </c>
      <c r="C72" s="5" t="s">
        <v>562</v>
      </c>
      <c r="D72" s="35" t="s">
        <v>754</v>
      </c>
      <c r="E72" s="26" t="s">
        <v>646</v>
      </c>
    </row>
    <row r="73" spans="1:5" x14ac:dyDescent="0.55000000000000004">
      <c r="A73" s="5" t="s">
        <v>604</v>
      </c>
      <c r="B73" s="35" t="s">
        <v>729</v>
      </c>
      <c r="C73" s="5" t="s">
        <v>261</v>
      </c>
      <c r="D73" s="35" t="s">
        <v>754</v>
      </c>
      <c r="E73" s="26" t="s">
        <v>646</v>
      </c>
    </row>
    <row r="74" spans="1:5" x14ac:dyDescent="0.55000000000000004">
      <c r="A74" s="5" t="s">
        <v>605</v>
      </c>
      <c r="B74" s="35" t="s">
        <v>730</v>
      </c>
      <c r="C74" s="5" t="s">
        <v>261</v>
      </c>
      <c r="D74" s="35" t="s">
        <v>754</v>
      </c>
      <c r="E74" s="26" t="s">
        <v>646</v>
      </c>
    </row>
    <row r="75" spans="1:5" x14ac:dyDescent="0.55000000000000004">
      <c r="A75" s="5" t="s">
        <v>606</v>
      </c>
      <c r="B75" s="35" t="s">
        <v>731</v>
      </c>
      <c r="C75" s="5" t="s">
        <v>261</v>
      </c>
      <c r="D75" s="35" t="s">
        <v>754</v>
      </c>
      <c r="E75" s="26" t="s">
        <v>646</v>
      </c>
    </row>
    <row r="76" spans="1:5" x14ac:dyDescent="0.55000000000000004">
      <c r="A76" s="5" t="s">
        <v>607</v>
      </c>
      <c r="B76" s="35" t="s">
        <v>732</v>
      </c>
      <c r="C76" s="5" t="s">
        <v>261</v>
      </c>
      <c r="D76" s="35" t="s">
        <v>754</v>
      </c>
      <c r="E76" s="26" t="s">
        <v>646</v>
      </c>
    </row>
    <row r="77" spans="1:5" x14ac:dyDescent="0.55000000000000004">
      <c r="A77" s="5" t="s">
        <v>608</v>
      </c>
      <c r="B77" s="35" t="s">
        <v>733</v>
      </c>
      <c r="C77" s="5" t="s">
        <v>261</v>
      </c>
      <c r="D77" s="35" t="s">
        <v>754</v>
      </c>
      <c r="E77" s="26" t="s">
        <v>646</v>
      </c>
    </row>
    <row r="78" spans="1:5" x14ac:dyDescent="0.55000000000000004">
      <c r="A78" s="5" t="s">
        <v>609</v>
      </c>
      <c r="B78" s="35" t="s">
        <v>734</v>
      </c>
      <c r="C78" s="5" t="s">
        <v>261</v>
      </c>
      <c r="D78" s="35" t="s">
        <v>754</v>
      </c>
      <c r="E78" s="26" t="s">
        <v>646</v>
      </c>
    </row>
    <row r="79" spans="1:5" x14ac:dyDescent="0.55000000000000004">
      <c r="A79" s="5" t="s">
        <v>610</v>
      </c>
      <c r="B79" s="35" t="s">
        <v>735</v>
      </c>
      <c r="C79" s="5" t="s">
        <v>261</v>
      </c>
      <c r="D79" s="35" t="s">
        <v>754</v>
      </c>
      <c r="E79" s="26" t="s">
        <v>646</v>
      </c>
    </row>
    <row r="80" spans="1:5" x14ac:dyDescent="0.55000000000000004">
      <c r="A80" s="5" t="s">
        <v>611</v>
      </c>
      <c r="B80" s="35" t="s">
        <v>736</v>
      </c>
      <c r="C80" s="5" t="s">
        <v>261</v>
      </c>
      <c r="D80" s="35" t="s">
        <v>754</v>
      </c>
      <c r="E80" s="26" t="s">
        <v>646</v>
      </c>
    </row>
    <row r="81" spans="1:5" x14ac:dyDescent="0.55000000000000004">
      <c r="A81" s="5" t="s">
        <v>612</v>
      </c>
      <c r="B81" s="35" t="s">
        <v>737</v>
      </c>
      <c r="C81" s="5" t="s">
        <v>562</v>
      </c>
      <c r="D81" s="35" t="s">
        <v>754</v>
      </c>
      <c r="E81" s="26" t="s">
        <v>646</v>
      </c>
    </row>
    <row r="82" spans="1:5" x14ac:dyDescent="0.55000000000000004">
      <c r="A82" s="5" t="s">
        <v>613</v>
      </c>
      <c r="B82" s="35" t="s">
        <v>738</v>
      </c>
      <c r="C82" s="5" t="s">
        <v>261</v>
      </c>
      <c r="D82" s="35" t="s">
        <v>754</v>
      </c>
      <c r="E82" s="26" t="s">
        <v>646</v>
      </c>
    </row>
    <row r="83" spans="1:5" x14ac:dyDescent="0.55000000000000004">
      <c r="A83" s="5" t="s">
        <v>614</v>
      </c>
      <c r="B83" s="35" t="s">
        <v>739</v>
      </c>
      <c r="C83" s="5" t="s">
        <v>261</v>
      </c>
      <c r="D83" s="35" t="s">
        <v>754</v>
      </c>
      <c r="E83" s="26" t="s">
        <v>646</v>
      </c>
    </row>
    <row r="84" spans="1:5" x14ac:dyDescent="0.55000000000000004">
      <c r="A84" s="5" t="s">
        <v>615</v>
      </c>
      <c r="B84" s="35" t="s">
        <v>740</v>
      </c>
      <c r="C84" s="5" t="s">
        <v>261</v>
      </c>
      <c r="D84" s="35" t="s">
        <v>754</v>
      </c>
      <c r="E84" s="26" t="s">
        <v>646</v>
      </c>
    </row>
    <row r="85" spans="1:5" x14ac:dyDescent="0.55000000000000004">
      <c r="A85" s="5" t="s">
        <v>616</v>
      </c>
      <c r="B85" s="35" t="s">
        <v>741</v>
      </c>
      <c r="C85" s="5" t="s">
        <v>261</v>
      </c>
      <c r="D85" s="35" t="s">
        <v>754</v>
      </c>
      <c r="E85" s="26" t="s">
        <v>646</v>
      </c>
    </row>
    <row r="86" spans="1:5" x14ac:dyDescent="0.55000000000000004">
      <c r="A86" s="5" t="s">
        <v>617</v>
      </c>
      <c r="B86" s="35" t="s">
        <v>742</v>
      </c>
      <c r="C86" s="5" t="s">
        <v>261</v>
      </c>
      <c r="D86" s="35" t="s">
        <v>754</v>
      </c>
      <c r="E86" s="26" t="s">
        <v>646</v>
      </c>
    </row>
    <row r="87" spans="1:5" x14ac:dyDescent="0.55000000000000004">
      <c r="A87" s="5" t="s">
        <v>618</v>
      </c>
      <c r="B87" s="35" t="s">
        <v>743</v>
      </c>
      <c r="C87" s="5" t="s">
        <v>261</v>
      </c>
      <c r="D87" s="35" t="s">
        <v>754</v>
      </c>
      <c r="E87" s="26" t="s">
        <v>646</v>
      </c>
    </row>
    <row r="88" spans="1:5" x14ac:dyDescent="0.55000000000000004">
      <c r="A88" s="5" t="s">
        <v>619</v>
      </c>
      <c r="B88" s="35" t="s">
        <v>744</v>
      </c>
      <c r="C88" s="5" t="s">
        <v>261</v>
      </c>
      <c r="D88" s="35" t="s">
        <v>754</v>
      </c>
      <c r="E88" s="26" t="s">
        <v>646</v>
      </c>
    </row>
    <row r="89" spans="1:5" x14ac:dyDescent="0.55000000000000004">
      <c r="A89" s="5" t="s">
        <v>620</v>
      </c>
      <c r="B89" s="35" t="s">
        <v>745</v>
      </c>
      <c r="C89" s="5" t="s">
        <v>261</v>
      </c>
      <c r="D89" s="35" t="s">
        <v>754</v>
      </c>
      <c r="E89" s="26" t="s">
        <v>646</v>
      </c>
    </row>
    <row r="90" spans="1:5" x14ac:dyDescent="0.55000000000000004">
      <c r="A90" s="5" t="s">
        <v>621</v>
      </c>
      <c r="B90" s="35" t="s">
        <v>746</v>
      </c>
      <c r="C90" s="5" t="s">
        <v>261</v>
      </c>
      <c r="D90" s="35" t="s">
        <v>754</v>
      </c>
      <c r="E90" s="26" t="s">
        <v>646</v>
      </c>
    </row>
    <row r="91" spans="1:5" x14ac:dyDescent="0.55000000000000004">
      <c r="A91" s="5" t="s">
        <v>622</v>
      </c>
      <c r="B91" s="35" t="s">
        <v>747</v>
      </c>
      <c r="C91" s="5" t="s">
        <v>261</v>
      </c>
      <c r="D91" s="35" t="s">
        <v>754</v>
      </c>
      <c r="E91" s="26" t="s">
        <v>646</v>
      </c>
    </row>
    <row r="92" spans="1:5" x14ac:dyDescent="0.55000000000000004">
      <c r="A92" s="5" t="s">
        <v>623</v>
      </c>
      <c r="B92" s="35" t="s">
        <v>748</v>
      </c>
      <c r="C92" s="5" t="s">
        <v>261</v>
      </c>
      <c r="D92" s="35" t="s">
        <v>754</v>
      </c>
      <c r="E92" s="26" t="s">
        <v>646</v>
      </c>
    </row>
    <row r="93" spans="1:5" x14ac:dyDescent="0.55000000000000004">
      <c r="A93" s="5" t="s">
        <v>624</v>
      </c>
      <c r="B93" s="35" t="s">
        <v>749</v>
      </c>
      <c r="C93" s="5" t="s">
        <v>261</v>
      </c>
      <c r="D93" s="35" t="s">
        <v>754</v>
      </c>
      <c r="E93" s="26" t="s">
        <v>646</v>
      </c>
    </row>
    <row r="94" spans="1:5" x14ac:dyDescent="0.55000000000000004">
      <c r="A94" s="5" t="s">
        <v>625</v>
      </c>
      <c r="B94" s="35" t="s">
        <v>750</v>
      </c>
      <c r="C94" s="5" t="s">
        <v>261</v>
      </c>
      <c r="D94" s="35" t="s">
        <v>754</v>
      </c>
      <c r="E94" s="26" t="s">
        <v>646</v>
      </c>
    </row>
    <row r="95" spans="1:5" x14ac:dyDescent="0.55000000000000004">
      <c r="A95" s="5" t="s">
        <v>626</v>
      </c>
      <c r="B95" s="35" t="s">
        <v>751</v>
      </c>
      <c r="C95" s="5" t="s">
        <v>261</v>
      </c>
      <c r="D95" s="35" t="s">
        <v>754</v>
      </c>
      <c r="E95" s="26" t="s">
        <v>646</v>
      </c>
    </row>
    <row r="96" spans="1:5" x14ac:dyDescent="0.55000000000000004">
      <c r="A96" s="5" t="s">
        <v>627</v>
      </c>
      <c r="B96" s="35" t="s">
        <v>752</v>
      </c>
      <c r="C96" s="5" t="s">
        <v>261</v>
      </c>
      <c r="D96" s="35" t="s">
        <v>754</v>
      </c>
      <c r="E96" s="26" t="s">
        <v>646</v>
      </c>
    </row>
    <row r="97" spans="1:5" x14ac:dyDescent="0.55000000000000004">
      <c r="A97" s="5" t="s">
        <v>628</v>
      </c>
      <c r="B97" s="35" t="s">
        <v>753</v>
      </c>
      <c r="C97" s="5" t="s">
        <v>261</v>
      </c>
      <c r="D97" s="35" t="s">
        <v>754</v>
      </c>
      <c r="E97" s="26" t="s">
        <v>646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7"/>
  <sheetViews>
    <sheetView topLeftCell="A121" workbookViewId="0">
      <selection activeCell="D138" sqref="D138"/>
    </sheetView>
  </sheetViews>
  <sheetFormatPr defaultRowHeight="14.4" x14ac:dyDescent="0.55000000000000004"/>
  <cols>
    <col min="1" max="1" width="4.20703125" style="18" customWidth="1"/>
    <col min="2" max="2" width="17.5234375" style="7" bestFit="1" customWidth="1"/>
    <col min="3" max="3" width="42.20703125" style="8" customWidth="1"/>
  </cols>
  <sheetData>
    <row r="1" spans="1:7" ht="24" customHeight="1" x14ac:dyDescent="0.55000000000000004">
      <c r="B1" s="61" t="s">
        <v>130</v>
      </c>
      <c r="C1" s="62"/>
    </row>
    <row r="2" spans="1:7" ht="28.8" x14ac:dyDescent="0.55000000000000004">
      <c r="B2" s="9" t="s">
        <v>103</v>
      </c>
      <c r="C2" s="15" t="s">
        <v>104</v>
      </c>
    </row>
    <row r="3" spans="1:7" ht="28.8" x14ac:dyDescent="0.55000000000000004">
      <c r="B3" s="10" t="s">
        <v>0</v>
      </c>
      <c r="C3" s="15" t="s">
        <v>101</v>
      </c>
    </row>
    <row r="4" spans="1:7" ht="28.8" x14ac:dyDescent="0.55000000000000004">
      <c r="B4" s="11" t="s">
        <v>69</v>
      </c>
      <c r="C4" s="15" t="s">
        <v>102</v>
      </c>
    </row>
    <row r="5" spans="1:7" ht="28.8" x14ac:dyDescent="0.55000000000000004">
      <c r="B5" s="12" t="s">
        <v>10</v>
      </c>
      <c r="C5" s="15" t="s">
        <v>105</v>
      </c>
    </row>
    <row r="6" spans="1:7" x14ac:dyDescent="0.55000000000000004">
      <c r="B6" s="13"/>
      <c r="C6" s="15" t="s">
        <v>106</v>
      </c>
    </row>
    <row r="7" spans="1:7" x14ac:dyDescent="0.55000000000000004">
      <c r="B7" s="20" t="s">
        <v>110</v>
      </c>
      <c r="C7" s="17" t="s">
        <v>131</v>
      </c>
    </row>
    <row r="8" spans="1:7" ht="29.1" thickBot="1" x14ac:dyDescent="0.6">
      <c r="B8" s="14"/>
      <c r="C8" s="16" t="s">
        <v>107</v>
      </c>
    </row>
    <row r="10" spans="1:7" ht="23.1" x14ac:dyDescent="0.55000000000000004">
      <c r="A10" s="63" t="s">
        <v>108</v>
      </c>
      <c r="B10" s="63"/>
      <c r="C10" s="63"/>
      <c r="D10" s="63"/>
      <c r="E10" s="63"/>
      <c r="F10" s="63"/>
      <c r="G10" s="63"/>
    </row>
    <row r="11" spans="1:7" ht="18.3" x14ac:dyDescent="0.55000000000000004">
      <c r="A11" s="19">
        <v>1</v>
      </c>
      <c r="B11" s="23" t="s">
        <v>115</v>
      </c>
    </row>
    <row r="12" spans="1:7" x14ac:dyDescent="0.55000000000000004">
      <c r="A12" s="18">
        <v>1.1000000000000001</v>
      </c>
      <c r="B12" s="64" t="s">
        <v>111</v>
      </c>
      <c r="C12" s="64"/>
      <c r="D12" s="64"/>
      <c r="E12" s="64"/>
      <c r="F12" s="64"/>
      <c r="G12" s="64"/>
    </row>
    <row r="13" spans="1:7" ht="6.75" customHeight="1" x14ac:dyDescent="0.55000000000000004">
      <c r="B13" s="22"/>
      <c r="C13" s="22"/>
      <c r="D13" s="22"/>
      <c r="E13" s="22"/>
      <c r="F13" s="22"/>
      <c r="G13" s="22"/>
    </row>
    <row r="14" spans="1:7" x14ac:dyDescent="0.55000000000000004">
      <c r="B14" s="7" t="s">
        <v>121</v>
      </c>
    </row>
    <row r="25" spans="1:7" ht="19.5" customHeight="1" x14ac:dyDescent="0.55000000000000004"/>
    <row r="26" spans="1:7" ht="18.3" x14ac:dyDescent="0.55000000000000004">
      <c r="A26" s="19">
        <v>2</v>
      </c>
      <c r="B26" s="60" t="s">
        <v>117</v>
      </c>
      <c r="C26" s="60"/>
      <c r="D26" s="60"/>
      <c r="E26" s="60"/>
      <c r="F26" s="60"/>
      <c r="G26" s="60"/>
    </row>
    <row r="27" spans="1:7" x14ac:dyDescent="0.55000000000000004">
      <c r="A27" s="18">
        <v>2.1</v>
      </c>
      <c r="B27" s="59" t="s">
        <v>109</v>
      </c>
      <c r="C27" s="59"/>
      <c r="D27" s="59"/>
      <c r="E27" s="59"/>
      <c r="F27" s="59"/>
      <c r="G27" s="59"/>
    </row>
    <row r="28" spans="1:7" ht="51.75" customHeight="1" x14ac:dyDescent="0.55000000000000004">
      <c r="A28" s="18">
        <v>2.2000000000000002</v>
      </c>
      <c r="B28" s="58" t="s">
        <v>132</v>
      </c>
      <c r="C28" s="59"/>
      <c r="D28" s="59"/>
      <c r="E28" s="59"/>
      <c r="F28" s="59"/>
      <c r="G28" s="59"/>
    </row>
    <row r="29" spans="1:7" ht="66.75" customHeight="1" x14ac:dyDescent="0.55000000000000004">
      <c r="A29" s="18">
        <v>2.2999999999999998</v>
      </c>
      <c r="B29" s="58" t="s">
        <v>116</v>
      </c>
      <c r="C29" s="58"/>
      <c r="D29" s="58"/>
      <c r="E29" s="58"/>
      <c r="F29" s="58"/>
      <c r="G29" s="58"/>
    </row>
    <row r="30" spans="1:7" ht="69" customHeight="1" x14ac:dyDescent="0.55000000000000004">
      <c r="A30" s="18">
        <v>2.4</v>
      </c>
      <c r="B30" s="58" t="s">
        <v>122</v>
      </c>
      <c r="C30" s="58"/>
      <c r="D30" s="58"/>
      <c r="E30" s="58"/>
      <c r="F30" s="58"/>
      <c r="G30" s="58"/>
    </row>
    <row r="31" spans="1:7" ht="6.75" customHeight="1" x14ac:dyDescent="0.55000000000000004">
      <c r="B31" s="21"/>
      <c r="C31" s="21"/>
      <c r="D31" s="21"/>
      <c r="E31" s="21"/>
      <c r="F31" s="21"/>
      <c r="G31" s="21"/>
    </row>
    <row r="32" spans="1:7" x14ac:dyDescent="0.55000000000000004">
      <c r="B32" s="7" t="s">
        <v>113</v>
      </c>
    </row>
    <row r="52" spans="2:2" x14ac:dyDescent="0.55000000000000004">
      <c r="B52" s="7" t="s">
        <v>112</v>
      </c>
    </row>
    <row r="79" spans="2:2" x14ac:dyDescent="0.55000000000000004">
      <c r="B79" s="7" t="s">
        <v>114</v>
      </c>
    </row>
    <row r="106" spans="1:7" ht="69.75" customHeight="1" x14ac:dyDescent="0.55000000000000004">
      <c r="A106" s="18">
        <v>2.5</v>
      </c>
      <c r="B106" s="58" t="s">
        <v>123</v>
      </c>
      <c r="C106" s="58"/>
      <c r="D106" s="58"/>
      <c r="E106" s="58"/>
      <c r="F106" s="58"/>
      <c r="G106" s="58"/>
    </row>
    <row r="107" spans="1:7" ht="191.25" customHeight="1" x14ac:dyDescent="0.55000000000000004"/>
    <row r="108" spans="1:7" ht="42" customHeight="1" x14ac:dyDescent="0.55000000000000004">
      <c r="A108" s="19">
        <v>3</v>
      </c>
      <c r="B108" s="60" t="s">
        <v>118</v>
      </c>
      <c r="C108" s="60"/>
      <c r="D108" s="60"/>
      <c r="E108" s="60"/>
      <c r="F108" s="60"/>
      <c r="G108" s="60"/>
    </row>
    <row r="109" spans="1:7" ht="33.75" customHeight="1" x14ac:dyDescent="0.55000000000000004">
      <c r="A109" s="18">
        <v>3.1</v>
      </c>
      <c r="B109" s="58" t="s">
        <v>120</v>
      </c>
      <c r="C109" s="58"/>
      <c r="D109" s="58"/>
      <c r="E109" s="58"/>
      <c r="F109" s="58"/>
      <c r="G109" s="58"/>
    </row>
    <row r="110" spans="1:7" ht="31.5" customHeight="1" x14ac:dyDescent="0.55000000000000004">
      <c r="A110" s="18">
        <v>3.2</v>
      </c>
      <c r="B110" s="58" t="s">
        <v>124</v>
      </c>
      <c r="C110" s="58"/>
      <c r="D110" s="58"/>
      <c r="E110" s="58"/>
      <c r="F110" s="58"/>
      <c r="G110" s="58"/>
    </row>
    <row r="112" spans="1:7" x14ac:dyDescent="0.55000000000000004">
      <c r="B112" s="7" t="s">
        <v>119</v>
      </c>
    </row>
    <row r="129" spans="1:7" ht="50.25" customHeight="1" x14ac:dyDescent="0.55000000000000004">
      <c r="A129" s="18">
        <v>3.3</v>
      </c>
      <c r="B129" s="57" t="s">
        <v>125</v>
      </c>
      <c r="C129" s="57"/>
      <c r="D129" s="57"/>
      <c r="E129" s="57"/>
      <c r="F129" s="57"/>
      <c r="G129" s="57"/>
    </row>
    <row r="130" spans="1:7" ht="47.25" customHeight="1" x14ac:dyDescent="0.55000000000000004">
      <c r="A130" s="18">
        <v>3.4</v>
      </c>
      <c r="B130" s="57" t="s">
        <v>126</v>
      </c>
      <c r="C130" s="57"/>
      <c r="D130" s="57"/>
      <c r="E130" s="57"/>
      <c r="F130" s="57"/>
      <c r="G130" s="57"/>
    </row>
    <row r="131" spans="1:7" ht="51" customHeight="1" x14ac:dyDescent="0.55000000000000004">
      <c r="A131" s="18">
        <v>3.5</v>
      </c>
      <c r="B131" s="57" t="s">
        <v>127</v>
      </c>
      <c r="C131" s="57"/>
      <c r="D131" s="57"/>
      <c r="E131" s="57"/>
      <c r="F131" s="57"/>
      <c r="G131" s="57"/>
    </row>
    <row r="132" spans="1:7" ht="63.75" customHeight="1" x14ac:dyDescent="0.55000000000000004">
      <c r="A132" s="18">
        <v>3.6</v>
      </c>
      <c r="B132" s="57" t="s">
        <v>128</v>
      </c>
      <c r="C132" s="57"/>
      <c r="D132" s="57"/>
      <c r="E132" s="57"/>
      <c r="F132" s="57"/>
      <c r="G132" s="57"/>
    </row>
    <row r="133" spans="1:7" ht="34.5" customHeight="1" x14ac:dyDescent="0.55000000000000004">
      <c r="A133" s="18">
        <v>3.7</v>
      </c>
      <c r="B133" s="57" t="s">
        <v>129</v>
      </c>
      <c r="C133" s="57"/>
      <c r="D133" s="57"/>
      <c r="E133" s="57"/>
      <c r="F133" s="57"/>
      <c r="G133" s="57"/>
    </row>
    <row r="135" spans="1:7" x14ac:dyDescent="0.55000000000000004">
      <c r="A135" s="18">
        <v>4</v>
      </c>
      <c r="B135" s="7" t="s">
        <v>420</v>
      </c>
    </row>
    <row r="136" spans="1:7" x14ac:dyDescent="0.55000000000000004">
      <c r="A136" s="18">
        <v>4.0999999999999996</v>
      </c>
      <c r="B136" s="7" t="s">
        <v>421</v>
      </c>
    </row>
    <row r="137" spans="1:7" x14ac:dyDescent="0.55000000000000004">
      <c r="B137" s="7" t="s">
        <v>422</v>
      </c>
      <c r="D137" s="52" t="s">
        <v>423</v>
      </c>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hyperlinks>
    <hyperlink ref="D137" r:id="rId1" xr:uid="{CA049FB6-9C05-44E3-A830-3FD244F20E02}"/>
  </hyperlinks>
  <pageMargins left="0.25" right="0.25"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RawData</vt:lpstr>
      <vt:lpstr>Validated</vt:lpstr>
      <vt:lpstr>Dictionary</vt:lpstr>
      <vt:lpstr>FlatbedScans</vt:lpstr>
      <vt:lpstr>HandledScans</vt:lpstr>
      <vt:lpstr>FieldSettings</vt:lpstr>
      <vt:lpstr>Configuration</vt:lpstr>
      <vt:lpstr>SQL_Update</vt:lpstr>
      <vt:lpstr>FBS_TempLoad</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2020-12-10T00:50:01Z</dcterms:modified>
</cp:coreProperties>
</file>